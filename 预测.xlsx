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3420" activeTab="8"/>
  </bookViews>
  <sheets>
    <sheet name="Sheet2" sheetId="14" r:id="rId1"/>
    <sheet name="Sheet6" sheetId="15" r:id="rId2"/>
    <sheet name="Sheet7" sheetId="16" r:id="rId3"/>
    <sheet name="Sheet8" sheetId="17" r:id="rId4"/>
    <sheet name="Sheet9" sheetId="18" r:id="rId5"/>
    <sheet name="Sheet10" sheetId="19" r:id="rId6"/>
    <sheet name="Sheet3" sheetId="10" r:id="rId7"/>
    <sheet name="Sheet5" sheetId="13" r:id="rId8"/>
    <sheet name="预测" sheetId="9" r:id="rId9"/>
    <sheet name="Sheet1" sheetId="12" r:id="rId10"/>
    <sheet name="Sheet4" sheetId="11" r:id="rId11"/>
  </sheets>
  <definedNames>
    <definedName name="_xlnm._FilterDatabase" localSheetId="8" hidden="1">预测!$A$1:$BS$602</definedName>
    <definedName name="_xlnm._FilterDatabase" localSheetId="10" hidden="1">Sheet4!$A$1:$U$204</definedName>
  </definedNames>
  <calcPr calcId="191029"/>
  <pivotCaches>
    <pivotCache cacheId="0" r:id="rId13"/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Pedro Yang(杨小鸿_SM)</author>
    <author>Stephen Hu(胡 伟_GMO)</author>
    <author>Bill Yang(杨帆_SM)</author>
  </authors>
  <commentList>
    <comment ref="G17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  <comment ref="G42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  <comment ref="N105" authorId="1">
      <text>
        <r>
          <rPr>
            <b/>
            <sz val="9"/>
            <rFont val="宋体"/>
            <charset val="134"/>
          </rPr>
          <t>Stephen Hu(胡 伟_GMO):</t>
        </r>
        <r>
          <rPr>
            <sz val="9"/>
            <rFont val="宋体"/>
            <charset val="134"/>
          </rPr>
          <t xml:space="preserve">
八九万百只的量，赛卓供200多万只，都是供给长安汽车</t>
        </r>
      </text>
    </comment>
    <comment ref="G226" authorId="2">
      <text>
        <r>
          <rPr>
            <b/>
            <sz val="9"/>
            <rFont val="宋体"/>
            <charset val="134"/>
          </rPr>
          <t>Bill Yang(杨帆_SM):</t>
        </r>
        <r>
          <rPr>
            <sz val="9"/>
            <rFont val="宋体"/>
            <charset val="134"/>
          </rPr>
          <t xml:space="preserve">
后续需要新型号，S极响应
</t>
        </r>
      </text>
    </comment>
    <comment ref="B232" authorId="0">
      <text>
        <r>
          <rPr>
            <b/>
            <sz val="9"/>
            <rFont val="宋体"/>
            <charset val="134"/>
          </rPr>
          <t>Pedro Yang(杨小鸿_SM):磁编6701替换 3.8含税</t>
        </r>
      </text>
    </comment>
    <comment ref="G421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  <comment ref="G436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消费， 豆浆机
单极 19-45Gs</t>
        </r>
      </text>
    </comment>
    <comment ref="G438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<sst xmlns="http://schemas.openxmlformats.org/spreadsheetml/2006/main" count="9785" uniqueCount="1652">
  <si>
    <t>序号</t>
  </si>
  <si>
    <t>客户</t>
  </si>
  <si>
    <t>等级</t>
  </si>
  <si>
    <t>代理商</t>
  </si>
  <si>
    <t>TMS销售</t>
  </si>
  <si>
    <t>代理销售</t>
  </si>
  <si>
    <t>产品型号</t>
  </si>
  <si>
    <t>生产料号</t>
  </si>
  <si>
    <t>丝印</t>
  </si>
  <si>
    <t>档位</t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</si>
  <si>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</si>
  <si>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</si>
  <si>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</si>
  <si>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</si>
  <si>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</si>
  <si>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</si>
  <si>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</si>
  <si>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</si>
  <si>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</si>
  <si>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</si>
  <si>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</si>
  <si>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</si>
  <si>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</si>
  <si>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</si>
  <si>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</si>
  <si>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</si>
  <si>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</si>
  <si>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</si>
  <si>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</si>
  <si>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</si>
  <si>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</si>
  <si>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</si>
  <si>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</si>
  <si>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</si>
  <si>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</si>
  <si>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</si>
  <si>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</si>
  <si>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</si>
  <si>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</si>
  <si>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</si>
  <si>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</si>
  <si>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</si>
  <si>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</si>
  <si>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</si>
  <si>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</si>
  <si>
    <t>销售部</t>
  </si>
  <si>
    <t>产品线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</si>
  <si>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</si>
  <si>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</si>
  <si>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</si>
  <si>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</si>
  <si>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</si>
  <si>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</si>
  <si>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</si>
  <si>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</si>
  <si>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</si>
  <si>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</si>
  <si>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</si>
  <si>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</si>
  <si>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</si>
  <si>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</si>
  <si>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</si>
  <si>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</si>
  <si>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5月</t>
  </si>
  <si>
    <t>6月</t>
  </si>
  <si>
    <t>7月</t>
  </si>
  <si>
    <t>8月</t>
  </si>
  <si>
    <t>9月</t>
  </si>
  <si>
    <t>10月</t>
  </si>
  <si>
    <t>11月</t>
  </si>
  <si>
    <t>12月</t>
  </si>
  <si>
    <t>广州市沃燊电子科技有限公司</t>
  </si>
  <si>
    <t>一般客户</t>
  </si>
  <si>
    <t>深圳市大凌电子有限公司</t>
  </si>
  <si>
    <t>Bill</t>
  </si>
  <si>
    <t>Shu</t>
  </si>
  <si>
    <t>SC1134UA-BK</t>
  </si>
  <si>
    <t>NM.SC1134UA-CI-00AK</t>
  </si>
  <si>
    <t>舞台灯光</t>
  </si>
  <si>
    <t>批量</t>
  </si>
  <si>
    <t>3部</t>
  </si>
  <si>
    <t>磁性位置传感器</t>
  </si>
  <si>
    <t>消费电子</t>
  </si>
  <si>
    <t>广州飞玛光电科技有限公司</t>
  </si>
  <si>
    <t>深圳市智芯诚科技有限公司</t>
  </si>
  <si>
    <t>Guo</t>
  </si>
  <si>
    <t>NM</t>
  </si>
  <si>
    <t>摇头灯</t>
  </si>
  <si>
    <t>已量产</t>
  </si>
  <si>
    <t>无</t>
  </si>
  <si>
    <t>广州市鸿远电子科技有限公司</t>
  </si>
  <si>
    <t>无锡华芯晟科技有限公司</t>
  </si>
  <si>
    <t>重要客户</t>
  </si>
  <si>
    <t>Harry</t>
  </si>
  <si>
    <t>SC1134UA-CI-00AK-43F</t>
  </si>
  <si>
    <t>43F</t>
  </si>
  <si>
    <t>B</t>
  </si>
  <si>
    <t>杭州湖微科技有限公司</t>
  </si>
  <si>
    <t>广州汇昕微电子科技有限公司</t>
  </si>
  <si>
    <t>Ricky</t>
  </si>
  <si>
    <t>SC1138SO-N-TR-Q</t>
  </si>
  <si>
    <t>SC1138SO-N-Q-CC-00LR-1138</t>
  </si>
  <si>
    <t>电剪刀</t>
  </si>
  <si>
    <t>量产</t>
  </si>
  <si>
    <t>了解电动剪刀市场</t>
  </si>
  <si>
    <t>2部</t>
  </si>
  <si>
    <t>工业和机器人</t>
  </si>
  <si>
    <t>电动工具</t>
  </si>
  <si>
    <t>电动工具位置开关</t>
  </si>
  <si>
    <t>苏州扬信德汽车零部件有限公司</t>
  </si>
  <si>
    <t>上海亚特联科技有限公司</t>
  </si>
  <si>
    <t>Elon</t>
  </si>
  <si>
    <t>朱晓贤</t>
  </si>
  <si>
    <t>电子怀档</t>
  </si>
  <si>
    <t>小批量</t>
  </si>
  <si>
    <t>NA</t>
  </si>
  <si>
    <t>1部</t>
  </si>
  <si>
    <t>汽车电子</t>
  </si>
  <si>
    <t>底盘电子</t>
  </si>
  <si>
    <t>换挡系统</t>
  </si>
  <si>
    <t>换挡传感器</t>
  </si>
  <si>
    <t>重汽</t>
  </si>
  <si>
    <t>T7</t>
  </si>
  <si>
    <t>温州市精一智能料技有限公司</t>
  </si>
  <si>
    <t>天津越尔兴电子科技有限公司</t>
  </si>
  <si>
    <t>Sales</t>
  </si>
  <si>
    <t>SC1134UA-CI-00AK-44E</t>
  </si>
  <si>
    <t>其他</t>
  </si>
  <si>
    <t>常州普芝机电有限公司</t>
  </si>
  <si>
    <t>深圳市首显电子设计有限公司</t>
  </si>
  <si>
    <t>Suzy</t>
  </si>
  <si>
    <t>SC1445A1</t>
  </si>
  <si>
    <t>SC1445A1-41F</t>
  </si>
  <si>
    <t>电摩电机</t>
  </si>
  <si>
    <t>正常下单</t>
  </si>
  <si>
    <t>替代交通</t>
  </si>
  <si>
    <t xml:space="preserve">	宁波恒佑电机有限公司</t>
  </si>
  <si>
    <t xml:space="preserve">	孚津利（上海）电子科技有限公司</t>
  </si>
  <si>
    <t>王伟</t>
  </si>
  <si>
    <t>跑步机电机位置检测</t>
  </si>
  <si>
    <t>工业电机</t>
  </si>
  <si>
    <t>工业电机电控</t>
  </si>
  <si>
    <t>工业伺服电机</t>
  </si>
  <si>
    <t>车身电子</t>
  </si>
  <si>
    <t>天窗系统</t>
  </si>
  <si>
    <t>天窗控制器</t>
  </si>
  <si>
    <t>求和项:年预测销售额</t>
  </si>
  <si>
    <t>求和项:6月预测</t>
  </si>
  <si>
    <t>求和项:7月预测</t>
  </si>
  <si>
    <t>求和项:8月预测</t>
  </si>
  <si>
    <t>求和项:9月预测</t>
  </si>
  <si>
    <t>求和项:10月预测</t>
  </si>
  <si>
    <t>求和项:11月预测</t>
  </si>
  <si>
    <t>求和项:12月预测</t>
  </si>
  <si>
    <t>3100-3100</t>
  </si>
  <si>
    <t>(空白)</t>
  </si>
  <si>
    <t>PFD1014A</t>
  </si>
  <si>
    <t>PSTC9G001C</t>
  </si>
  <si>
    <t>SC1002N1-BK</t>
  </si>
  <si>
    <t>SC1002N1-CL-00HK-42N</t>
  </si>
  <si>
    <t>SC1002S1-BK</t>
  </si>
  <si>
    <t>SC1133UA-BK</t>
  </si>
  <si>
    <t>SC1133UA-CJ-00AK-1133</t>
  </si>
  <si>
    <t>SC1134BU-TR</t>
  </si>
  <si>
    <t>SC1134BU-CI-00AR-1134</t>
  </si>
  <si>
    <t>SC1134SO-N-TR</t>
  </si>
  <si>
    <t>SC1134SO-N-CF-00LR-1134</t>
  </si>
  <si>
    <t>SC1134SO-N-TR-Q</t>
  </si>
  <si>
    <t>SC1134SO-N-Q-CI-00LR-1134</t>
  </si>
  <si>
    <t>A</t>
  </si>
  <si>
    <t>SC1134UA-CI-00AK-1134</t>
  </si>
  <si>
    <t>SC1245A3-BK</t>
  </si>
  <si>
    <t>SC1245A3-CD-00CK-41F</t>
  </si>
  <si>
    <t>SC1245SO-N-TR</t>
  </si>
  <si>
    <t>SC1245SO-N-CD-00NR-1245</t>
  </si>
  <si>
    <t>SC1645A1-BK</t>
  </si>
  <si>
    <t>SC1645A1-AI-00HK-1466</t>
  </si>
  <si>
    <t>SC1645A1-AI-00HK-4601H</t>
  </si>
  <si>
    <t>SC1645A1-AI-00HK-65HA</t>
  </si>
  <si>
    <t>SC1645B1-BK</t>
  </si>
  <si>
    <t>SC1645A1-AI-00HK-615HA</t>
  </si>
  <si>
    <t>SC1645B1-AE-00HK-4601</t>
  </si>
  <si>
    <t>SC1845A1-BK</t>
  </si>
  <si>
    <t>SC1845A2-BK</t>
  </si>
  <si>
    <t>SC1845F1-BK</t>
  </si>
  <si>
    <t>SC1845F1-AI-00HK-41F</t>
  </si>
  <si>
    <t>SC1845F1-AI-00HK-S41H</t>
  </si>
  <si>
    <t>SC1845S1-BK</t>
  </si>
  <si>
    <t>SC1845S1-AI-00AK-41F</t>
  </si>
  <si>
    <t>SC1845S1-AI-00AK-S41H</t>
  </si>
  <si>
    <t>SC1919SO-N-Q</t>
  </si>
  <si>
    <t>SC1945A1-BK</t>
  </si>
  <si>
    <t>SC1945A1-AJ-00HK-N13</t>
  </si>
  <si>
    <t>SC1945B1-BK</t>
  </si>
  <si>
    <t>SC1945B1-AJ-00HK-N603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</si>
  <si>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</si>
  <si>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</si>
  <si>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</si>
  <si>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</si>
  <si>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</si>
  <si>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</si>
  <si>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</si>
  <si>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</si>
  <si>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</si>
  <si>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</si>
  <si>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SC2242SO-Q-CH-10CR-2642</t>
  </si>
  <si>
    <t>SC2242UA-BK</t>
  </si>
  <si>
    <t>SC2242UA-CE-00AK-2242</t>
  </si>
  <si>
    <t>SC2242UA-BK-Q</t>
  </si>
  <si>
    <t>SC2242UA-Q-CH-10AK-2242</t>
  </si>
  <si>
    <t>SC2402SO-N-TR</t>
  </si>
  <si>
    <t>SC2402SO-N-CJ-00NR-2402</t>
  </si>
  <si>
    <t>上华</t>
  </si>
  <si>
    <t>SC2402SO-N-CJ-00NR-6571</t>
  </si>
  <si>
    <t>CSMC</t>
  </si>
  <si>
    <t>SC2402SO-N-GA-00NR-2402</t>
  </si>
  <si>
    <t>GTA-A</t>
  </si>
  <si>
    <t>GTA</t>
  </si>
  <si>
    <t>SC2402UA-BK</t>
  </si>
  <si>
    <t>SC2402UA-CJ-90AK-2402</t>
  </si>
  <si>
    <t>SC2402UA-GB-00AK-177</t>
  </si>
  <si>
    <t>SC2402UA-GB-0XAK-2402</t>
  </si>
  <si>
    <t>SC2402UA-GB-0XAK-U18</t>
  </si>
  <si>
    <t>SC2413SO-N-TR</t>
  </si>
  <si>
    <t>SC2413SO-N-CD-00LR-44E</t>
  </si>
  <si>
    <t>SC2432SO-N-TR</t>
  </si>
  <si>
    <t>SC2432SO-N-CI-10CR-2432</t>
  </si>
  <si>
    <t>SC2432SO-N-TR-Q</t>
  </si>
  <si>
    <t>SC2432SO-N-Q-CI-10CR-2432</t>
  </si>
  <si>
    <t>SC2432SO-TR</t>
  </si>
  <si>
    <t>SC2432SO-CM-10CR-2432</t>
  </si>
  <si>
    <t>SC2432SO-TR-Q</t>
  </si>
  <si>
    <t>SC2432SO-Q-CM-10CR-2432</t>
  </si>
  <si>
    <t>SC2432UA-BK</t>
  </si>
  <si>
    <t>SC2432UA-CI-10AK-6232</t>
  </si>
  <si>
    <t>SC2432UA-BK-Q</t>
  </si>
  <si>
    <t>SC2434SO-N-TR</t>
  </si>
  <si>
    <t>SC2434SO-N-CI-10CR-2434</t>
  </si>
  <si>
    <t>SC2434SO-TR</t>
  </si>
  <si>
    <t>SC2434SO-CM-10CR-2434</t>
  </si>
  <si>
    <t>SC2436SO-TR</t>
  </si>
  <si>
    <t>SC2436SO-CM-10CR-2436</t>
  </si>
  <si>
    <t>SC2436SO-TR-Q</t>
  </si>
  <si>
    <t>SC2436UA-BK</t>
  </si>
  <si>
    <t>SC2436UA-CI-10AK-6210</t>
  </si>
  <si>
    <t>SC2438SO-TR</t>
  </si>
  <si>
    <t>SC2438SO-CM-10CR-2438</t>
  </si>
  <si>
    <t>SC2438SO-TR-Q</t>
  </si>
  <si>
    <t>SC2438SO-Q-CM-10CR-2438</t>
  </si>
  <si>
    <t>SC2438UA-BK</t>
  </si>
  <si>
    <t>SC2438UA-CI-10AK-2438</t>
  </si>
  <si>
    <t>SC243XSO-TR-Q</t>
  </si>
  <si>
    <t>SC243XSO-Q-CM-10CR-243X</t>
  </si>
  <si>
    <t>SC243XUA-BK</t>
  </si>
  <si>
    <t>SC2442SO-N-TR</t>
  </si>
  <si>
    <t>SC2442SO-N-CP-10CR-2442</t>
  </si>
  <si>
    <t>SC2442SO-N-TR-Q</t>
  </si>
  <si>
    <t>SC2442SO-N-Q-CP-10CR-2662</t>
  </si>
  <si>
    <t>SC2442SO-N-Q-DB-60CR-2442</t>
  </si>
  <si>
    <t>SC2442SO-TR</t>
  </si>
  <si>
    <t>SC2442SO-CR-10CR-2442</t>
  </si>
  <si>
    <t>SC2442SO-TR-Q</t>
  </si>
  <si>
    <t>SC2442SO-Q-DB-60CR-2442</t>
  </si>
  <si>
    <t>SC2442UA-BK</t>
  </si>
  <si>
    <t>SC2442UA-CP-10AK-2442</t>
  </si>
  <si>
    <t>SC2442UA-CP-10AK-U18</t>
  </si>
  <si>
    <t>SC2442UA-BK-Q</t>
  </si>
  <si>
    <t>SC2442UA-Q-DB-60AK-2442</t>
  </si>
  <si>
    <t>SC2443SO-H-TR-Q</t>
  </si>
  <si>
    <t>SC2443SO-H-Q-DB-60AR-2443H</t>
  </si>
  <si>
    <t>SC2443SO-TR-Q</t>
  </si>
  <si>
    <t>SC2443SO-Q-DB-60CR-2443</t>
  </si>
  <si>
    <t>SC2443UA-BK-Q</t>
  </si>
  <si>
    <t>SC2443UA-Q-DB-60AK-2443</t>
  </si>
  <si>
    <t>SC2448SO-H-TR-Q</t>
  </si>
  <si>
    <t>SC2448SO-H-Q-DB-60AR-2448H</t>
  </si>
  <si>
    <t>SC2448SO-TR-Q</t>
  </si>
  <si>
    <t>SC2448SO-Q-DB-40CR-2448</t>
  </si>
  <si>
    <t>SC2448UA-N-BK-Q</t>
  </si>
  <si>
    <t>SC2448UA-N-Q-DB-60AK-2448</t>
  </si>
  <si>
    <t>SC2452SO-TR-Q</t>
  </si>
  <si>
    <t>SC2455SO-TR-Q</t>
  </si>
  <si>
    <t>SC2455SO-Q-CK-10CR-2455</t>
  </si>
  <si>
    <t>SC2462SO-TR</t>
  </si>
  <si>
    <t>SC2462SO-CJ-10CR-2462</t>
  </si>
  <si>
    <t>SC2462SO-TR-Q</t>
  </si>
  <si>
    <t>SC2462SO-Q-CJ-10CR-2462</t>
  </si>
  <si>
    <t>SC2462UA-BK</t>
  </si>
  <si>
    <t>SC2462UA-CJ-10AK-2462</t>
  </si>
  <si>
    <t>SC2462UA-CJ-10AK-6472</t>
  </si>
  <si>
    <t>SC2464SO-TR</t>
  </si>
  <si>
    <t>SC2464SO-CJ-10CR-2464</t>
  </si>
  <si>
    <t>SC2466SO-TR</t>
  </si>
  <si>
    <t>SC2466SO-CO-10CR-2466</t>
  </si>
  <si>
    <t>SC2473S5-TR</t>
  </si>
  <si>
    <t>SC2498CUA-N-BK-Q</t>
  </si>
  <si>
    <t>SC2498CUA-N-Q-DB-60AK-2498C</t>
  </si>
  <si>
    <t>SC2498SO-TR-Q</t>
  </si>
  <si>
    <t>SC2498SO-Q-DB-60CR-2498</t>
  </si>
  <si>
    <t>SC2498TSO-TR-Q</t>
  </si>
  <si>
    <t>SC2498TSO-Q-CC-10CR-2498T</t>
  </si>
  <si>
    <t>SC2498UA-N-BK-Q</t>
  </si>
  <si>
    <t>SC2498UA-N-Q-DB-60AK-2498</t>
  </si>
  <si>
    <t>SC25271S06</t>
  </si>
  <si>
    <t>SC2527S6-AB-TR-Q</t>
  </si>
  <si>
    <t>SC2527S6-AB-Q-DA-40CR-2527</t>
  </si>
  <si>
    <t>SC2527S6-SD-TR-Q</t>
  </si>
  <si>
    <t>SC2527S6-SD-Q-DA-40CR-2527</t>
  </si>
  <si>
    <t>SC2546VB-AB-BK</t>
  </si>
  <si>
    <t>SC2546VB-AB-DA-00AK-2546</t>
  </si>
  <si>
    <t>SC2569X</t>
  </si>
  <si>
    <t>SC25791CUA-A-Q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</si>
  <si>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</si>
  <si>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</si>
  <si>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</si>
  <si>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</si>
  <si>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</si>
  <si>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SC2942SO-TR-Q</t>
  </si>
  <si>
    <t>SC2943SO-TR-Q</t>
  </si>
  <si>
    <t>SC2943SO-Q-DB-60CR-2943</t>
  </si>
  <si>
    <t>SC2948S2-BK</t>
  </si>
  <si>
    <t>SC2948S2-DB-60AK-61H</t>
  </si>
  <si>
    <t>SC2968S1-N-BK</t>
  </si>
  <si>
    <t>SC2968S1-N-DC-4XAK-S21C</t>
  </si>
  <si>
    <t>SC4001SE-TR</t>
  </si>
  <si>
    <t>SC4001SE-CB-90CR-4001</t>
  </si>
  <si>
    <t>SC4002BU-TR</t>
  </si>
  <si>
    <t>SC4002BU-CA-00CR-4002</t>
  </si>
  <si>
    <t>SC4002SO</t>
  </si>
  <si>
    <t>SC4002SO-N-TR</t>
  </si>
  <si>
    <t>SC4002UA-BK</t>
  </si>
  <si>
    <t>SC4002UA-CA-00AK-4002</t>
  </si>
  <si>
    <t>SC4002UA-CA-00AK-95A</t>
  </si>
  <si>
    <t>SC4011DN</t>
  </si>
  <si>
    <t>SC4011DN-4011</t>
  </si>
  <si>
    <t>SC4011SO</t>
  </si>
  <si>
    <t>SC4011SO-N-TR</t>
  </si>
  <si>
    <t>SC4011SO-N-CB-90NR-49E</t>
  </si>
  <si>
    <t>H/L</t>
  </si>
  <si>
    <t>SC4015SO-N-A-TR</t>
  </si>
  <si>
    <t>SC4015SO-N-A-CE-90NR-4015</t>
  </si>
  <si>
    <t>SC4015SO-N-TR</t>
  </si>
  <si>
    <t>SC4015SO-N-CE-90NR-CY19</t>
  </si>
  <si>
    <t>SC4015SO-N-CE-90NR-G01M</t>
  </si>
  <si>
    <t>SC4019S7-BK</t>
  </si>
  <si>
    <t>SC4019S7-CC-90AK-49E</t>
  </si>
  <si>
    <t>SC4019SO-N-TR</t>
  </si>
  <si>
    <t>SC4101DN</t>
  </si>
  <si>
    <t>SC4101DN-TR</t>
  </si>
  <si>
    <t>SC4103DN</t>
  </si>
  <si>
    <t>SC4103DN(STC11201B1)-4103</t>
  </si>
  <si>
    <t>SC4104SE-TR</t>
  </si>
  <si>
    <t>SC4104SE-GB-00LR-4104</t>
  </si>
  <si>
    <t>SC4123SO-N-TR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</si>
  <si>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</si>
  <si>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</si>
  <si>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</si>
  <si>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</si>
  <si>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</si>
  <si>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</si>
  <si>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</si>
  <si>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</si>
  <si>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SC4624DC-20A-TR</t>
  </si>
  <si>
    <t>SC4624SP20B5</t>
  </si>
  <si>
    <t>SC4643SA-BK-Q</t>
  </si>
  <si>
    <t>SC4643SA-Q-DE-40CK-4643</t>
  </si>
  <si>
    <t>SC4643SA-Q-DE-40HK-2100</t>
  </si>
  <si>
    <t>SC4643SA-HBL-BK-Q</t>
  </si>
  <si>
    <t>SC4643SA-HBL-Q-DE-40HK-2100</t>
  </si>
  <si>
    <t>SC4643SA-S-TR-Q</t>
  </si>
  <si>
    <t>SC4643SA-S-Q-DE-40HR-2100</t>
  </si>
  <si>
    <t>SC4643VB-BK-Q</t>
  </si>
  <si>
    <t>SC4643VB-Q-DE-40CK-4643</t>
  </si>
  <si>
    <t>SC4643VB-Q-DE-40CK-FFH-L43</t>
  </si>
  <si>
    <t>SC4643VB-Q-DE-40CR-FFH-L43</t>
  </si>
  <si>
    <t>SC4643VB-G-BK-Q</t>
  </si>
  <si>
    <t>SC4643VB-G-Q-DE-40CK-4643</t>
  </si>
  <si>
    <t>SC4643VB-P-BK-Q</t>
  </si>
  <si>
    <t>SC4643VB-P-Q-DE-40CK-4643</t>
  </si>
  <si>
    <t>SC4643VB-P-TR-Q</t>
  </si>
  <si>
    <t>SC4643VB-P-Q-DE-40CR-4643</t>
  </si>
  <si>
    <t>SC4643VB-S-BK-Q</t>
  </si>
  <si>
    <t>SC4643VB-S-Q-DE-40CK-4643</t>
  </si>
  <si>
    <t>SC4643VB-S-TR-Q</t>
  </si>
  <si>
    <t>SC4643VB-S-Q-DE-40CR-4643</t>
  </si>
  <si>
    <t>SC4645VB-BK</t>
  </si>
  <si>
    <t>SC4645VB-DF-00CK-4645</t>
  </si>
  <si>
    <t>SC4665VB-BK</t>
  </si>
  <si>
    <t>SC4665VB-HB-33CK-4665</t>
  </si>
  <si>
    <t>SC4688DC-TR</t>
  </si>
  <si>
    <t>SC4688DC-DC-40AR-2425</t>
  </si>
  <si>
    <t>SC4688DC-TR-Q</t>
  </si>
  <si>
    <t>SC4688DC-Q-DC-40CR-4688</t>
  </si>
  <si>
    <t>SC4688SA-BK-Q</t>
  </si>
  <si>
    <t>SC4688SA-Q-DC-40CK-4688</t>
  </si>
  <si>
    <t>SC4688SA-Q-DC-40CK-888K</t>
  </si>
  <si>
    <t>SC4689SA-BK-Q</t>
  </si>
  <si>
    <t>SC4689SA-Q-DF-40CK-4689</t>
  </si>
  <si>
    <t>SC4823S6-TR</t>
  </si>
  <si>
    <t>SC4823S6-GA-00NR-4823</t>
  </si>
  <si>
    <t>SC4923SO-N-TR</t>
  </si>
  <si>
    <t>SC4923SO-N-CD-00NR-4923</t>
  </si>
  <si>
    <t>SC60221-D-256</t>
  </si>
  <si>
    <t>SC60221-D-50</t>
  </si>
  <si>
    <t>SC60224</t>
  </si>
  <si>
    <t>SC60224DC-TB</t>
  </si>
  <si>
    <t>SC60228DC-TR</t>
  </si>
  <si>
    <t>SC60228DC-DC-00AR-60228</t>
  </si>
  <si>
    <t>SC60228DC-DC-00AR-NM</t>
  </si>
  <si>
    <t>SC60370</t>
  </si>
  <si>
    <t>SC60370(STC9D05C)-60370</t>
  </si>
  <si>
    <t>SC69401DC-SPI-TR-Q</t>
  </si>
  <si>
    <t>SC69401DC-SPI-Q-HD-4XCR-69401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</si>
  <si>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</si>
  <si>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</si>
  <si>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</si>
  <si>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</si>
  <si>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</si>
  <si>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</si>
  <si>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</si>
  <si>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</si>
  <si>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</si>
  <si>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</si>
  <si>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</si>
  <si>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</si>
  <si>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</si>
  <si>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</si>
  <si>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</si>
  <si>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</si>
  <si>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</si>
  <si>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</si>
  <si>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</si>
  <si>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</si>
  <si>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</si>
  <si>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</si>
  <si>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SC9625VB-TR</t>
  </si>
  <si>
    <t>SC9625VB-CE-00CR-9625L</t>
  </si>
  <si>
    <t>SC9632VB-BK</t>
  </si>
  <si>
    <t>SC9632VB-CE-00CK-9632</t>
  </si>
  <si>
    <t>SC9641TS-PC-TR-Q</t>
  </si>
  <si>
    <t>SC9641TS-PC-Q-AI-10LR-9641PC</t>
  </si>
  <si>
    <t>SC9641TS-P-TR</t>
  </si>
  <si>
    <t>SC9641TS-P-AI-10LR-41CPA</t>
  </si>
  <si>
    <t>SC9641TS-P-TR-Q</t>
  </si>
  <si>
    <t>SC9641TS-P-Q-AI-10LR-9641P</t>
  </si>
  <si>
    <t>SC9641TS-TR-Q</t>
  </si>
  <si>
    <t>SC9641TS-Q-CB-10LR-9641</t>
  </si>
  <si>
    <t>SC9641TS-362-Q-CB-10LR-9641</t>
  </si>
  <si>
    <t>SC9642TS-EC-TR-Q</t>
  </si>
  <si>
    <t>SC9642TS-EC-Q-AH-4XLR-9642</t>
  </si>
  <si>
    <t>SC9642TS-E-TR</t>
  </si>
  <si>
    <t>SC9642TS-E-AH-4XLR-9642</t>
  </si>
  <si>
    <t>SC9642TS-E-TR-Q</t>
  </si>
  <si>
    <t>SC9642TS-E362-Q-AH-4XLR-9642</t>
  </si>
  <si>
    <t>SC9642TS-E-Q-AH-4XLR-9642</t>
  </si>
  <si>
    <t>SC9642TS-TR-Q</t>
  </si>
  <si>
    <t>SC9642TS-Q-AG-4XHK-9642</t>
  </si>
  <si>
    <t>SC9648TS-TR</t>
  </si>
  <si>
    <t>SC9648TS-AI-10AR-9648</t>
  </si>
  <si>
    <t>SC9675IM-HRF001-TR-Q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</si>
  <si>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</si>
  <si>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</si>
  <si>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</si>
  <si>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</si>
  <si>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</si>
  <si>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SC9675IM-LRF01-TR-Q</t>
  </si>
  <si>
    <t>SC9675IM-LRF01-Q-AB-4XAR-9675</t>
  </si>
  <si>
    <t>SC9675IM-TR-Q</t>
  </si>
  <si>
    <t>SC9675IM-Q-AB-4XAR-9675</t>
  </si>
  <si>
    <t>SC9675T3-TR-Q</t>
  </si>
  <si>
    <t>SC9675T3-Q-AB-4XAR-9675</t>
  </si>
  <si>
    <t>SC9683TS-TR-Q</t>
  </si>
  <si>
    <t>SC9683TS-Q-DB-4XAR-9683</t>
  </si>
  <si>
    <t>SC9684TS-TR-Q</t>
  </si>
  <si>
    <t>SC9684TS-Q-DB-4XAR-9684</t>
  </si>
  <si>
    <t>SC9685TS-RP120-TR-Q</t>
  </si>
  <si>
    <t>SC9685TS-RP120-Q-DB-46AR-96852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</si>
  <si>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</si>
  <si>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</si>
  <si>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</si>
  <si>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</si>
  <si>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</si>
  <si>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</si>
  <si>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</si>
  <si>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</si>
  <si>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</si>
  <si>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</si>
  <si>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</si>
  <si>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</si>
  <si>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</si>
  <si>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</si>
  <si>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</si>
  <si>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STC4011B-DS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</si>
  <si>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</si>
  <si>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</si>
  <si>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</si>
  <si>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</si>
  <si>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</si>
  <si>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</si>
  <si>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</si>
  <si>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</si>
  <si>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VE2430QI-33-TR-Q</t>
  </si>
  <si>
    <t>VE8600EC-TR</t>
  </si>
  <si>
    <t>VE8602A5R</t>
  </si>
  <si>
    <t>TRVE8602A5R-8602</t>
  </si>
  <si>
    <t>VE8602AKR</t>
  </si>
  <si>
    <t>VE8602AKR-8602</t>
  </si>
  <si>
    <t>ZH619DC-TR</t>
  </si>
  <si>
    <t>ZH6200</t>
  </si>
  <si>
    <t>ZH6338</t>
  </si>
  <si>
    <t>ZH6531</t>
  </si>
  <si>
    <t>新料（低功耗）</t>
  </si>
  <si>
    <t>SC60104</t>
  </si>
  <si>
    <t>NM.SC60104</t>
  </si>
  <si>
    <t>SC60226SS-TB</t>
  </si>
  <si>
    <t>NA.SC60226SS-DC</t>
  </si>
  <si>
    <t>SC1134B1-BK</t>
  </si>
  <si>
    <t>SC1134B1-CI-00HK-43F</t>
  </si>
  <si>
    <t>总计</t>
  </si>
  <si>
    <t>行标签</t>
  </si>
  <si>
    <t>求和项:6月</t>
  </si>
  <si>
    <t>求和项:7月</t>
  </si>
  <si>
    <t>求和项:8月</t>
  </si>
  <si>
    <t>求和项:9月</t>
  </si>
  <si>
    <t>求和项:10月</t>
  </si>
  <si>
    <t>求和项:11月</t>
  </si>
  <si>
    <t>求和项:12月</t>
  </si>
  <si>
    <t>战略客户</t>
  </si>
  <si>
    <t>宁波高石电子科技有限公司</t>
  </si>
  <si>
    <t>上海优昕电子信息技术有限公司</t>
  </si>
  <si>
    <t>Freya</t>
  </si>
  <si>
    <t>贾超</t>
  </si>
  <si>
    <t>电流传感器</t>
  </si>
  <si>
    <t>三电系统</t>
  </si>
  <si>
    <t>三电电驱控制</t>
  </si>
  <si>
    <t>电控电流传感器</t>
  </si>
  <si>
    <t>电流传感器模组</t>
  </si>
  <si>
    <t>西安华旭电气自动化技术有限公司</t>
  </si>
  <si>
    <t>盐城展拓电子有限公司</t>
  </si>
  <si>
    <t>Yinan</t>
  </si>
  <si>
    <t>王强</t>
  </si>
  <si>
    <t>天津易鼎丰动力科技有限公司</t>
  </si>
  <si>
    <t>深圳诺信微科技有限公司</t>
  </si>
  <si>
    <t>湖南天雁机械股份有限公司</t>
  </si>
  <si>
    <t>汽车增压器</t>
  </si>
  <si>
    <t>角度传感器</t>
  </si>
  <si>
    <t>动力总成</t>
  </si>
  <si>
    <t>发动机</t>
  </si>
  <si>
    <t>节气门</t>
  </si>
  <si>
    <t>博世汽车部件（长沙）有限公司</t>
  </si>
  <si>
    <t>座椅电机</t>
  </si>
  <si>
    <t>MT8361</t>
  </si>
  <si>
    <t>Josh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</si>
  <si>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</si>
  <si>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</si>
  <si>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</si>
  <si>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</si>
  <si>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</si>
  <si>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</si>
  <si>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水平电机调节</t>
  </si>
  <si>
    <t>样品测试完成</t>
  </si>
  <si>
    <t>车身其他</t>
  </si>
  <si>
    <t>吉利</t>
  </si>
  <si>
    <t>河北安闻汽车零部件有限公司</t>
  </si>
  <si>
    <t>深圳市杰恒芯科技有限公司</t>
  </si>
  <si>
    <t>刘煦</t>
  </si>
  <si>
    <t>座椅通风电机</t>
  </si>
  <si>
    <t>SDC1183</t>
  </si>
  <si>
    <t>座椅风扇</t>
  </si>
  <si>
    <t>项目丢失</t>
  </si>
  <si>
    <t>目前驱动类产品客户供应商太多，暂时不会考虑</t>
  </si>
  <si>
    <t>A5947</t>
  </si>
  <si>
    <t>Axel</t>
  </si>
  <si>
    <t>电机驱动</t>
  </si>
  <si>
    <t>江苏雷利电机股份有限公司</t>
  </si>
  <si>
    <t>深圳市宝创科技有限公司</t>
  </si>
  <si>
    <t>凡莹</t>
  </si>
  <si>
    <t>华为抬头显示电机</t>
  </si>
  <si>
    <t>TDK1507</t>
  </si>
  <si>
    <t>冰箱内部制冰机</t>
  </si>
  <si>
    <t>SS341RT</t>
  </si>
  <si>
    <t>智能家居</t>
  </si>
  <si>
    <t>大型家电</t>
  </si>
  <si>
    <t>冰箱</t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</si>
  <si>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</si>
  <si>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</si>
  <si>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</si>
  <si>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</si>
  <si>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</si>
  <si>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</si>
  <si>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</si>
  <si>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惠而浦制冰机</t>
  </si>
  <si>
    <t>已经告知客户在低电压下HALL休眠滞后于MCU，push客户进行测试</t>
  </si>
  <si>
    <t>CH913SR</t>
  </si>
  <si>
    <t>GE的冰箱压缩机散热风扇</t>
  </si>
  <si>
    <t>客户项目已经立项</t>
  </si>
  <si>
    <t>宁波希磁电子科技有限公司</t>
  </si>
  <si>
    <t>三电BMS</t>
  </si>
  <si>
    <t>BMS电流传感器</t>
  </si>
  <si>
    <t>SC4643VB-TR-Q</t>
  </si>
  <si>
    <t>延锋安道拓方德电机有限公司上海分公司</t>
  </si>
  <si>
    <t>上海碧讯实业有限公司</t>
  </si>
  <si>
    <t>吕斐</t>
  </si>
  <si>
    <t>追觅科技（苏州）有限公司</t>
  </si>
  <si>
    <t>扫地机器人</t>
  </si>
  <si>
    <t>PUSH客户进行产品验证</t>
  </si>
  <si>
    <t>MT8631AT</t>
  </si>
  <si>
    <t>扫地机</t>
  </si>
  <si>
    <t>扫地机尘盒</t>
  </si>
  <si>
    <t>上海胜华波汽车电器有限公司</t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</si>
  <si>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</si>
  <si>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</si>
  <si>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</si>
  <si>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</si>
  <si>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</si>
  <si>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吉利，比亚迪，长安</t>
  </si>
  <si>
    <t>2024年底才大批量</t>
  </si>
  <si>
    <t>比亚迪，广汽</t>
  </si>
  <si>
    <t>推进中</t>
  </si>
  <si>
    <t>资料提报，看日产是否认可推荐</t>
  </si>
  <si>
    <t>N/A</t>
  </si>
  <si>
    <t>深圳胜华波汽车电器有限公司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</si>
  <si>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</si>
  <si>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</si>
  <si>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</si>
  <si>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</si>
  <si>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</si>
  <si>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</si>
  <si>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电动剪刀</t>
  </si>
  <si>
    <t>说服客户SC2063试产</t>
  </si>
  <si>
    <t>AH464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</si>
  <si>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</si>
  <si>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</si>
  <si>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</si>
  <si>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</si>
  <si>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</si>
  <si>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</si>
  <si>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</si>
  <si>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</si>
  <si>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</si>
  <si>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</si>
  <si>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</si>
  <si>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</si>
  <si>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</si>
  <si>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</si>
  <si>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</si>
  <si>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</si>
  <si>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</si>
  <si>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</si>
  <si>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</si>
  <si>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</si>
  <si>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</si>
  <si>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</si>
  <si>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</si>
  <si>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</si>
  <si>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</si>
  <si>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</si>
  <si>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</si>
  <si>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</si>
  <si>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</si>
  <si>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</si>
  <si>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</si>
  <si>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</si>
  <si>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</si>
  <si>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</si>
  <si>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</si>
  <si>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</si>
  <si>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</si>
  <si>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</si>
  <si>
    <t>电动撑杆</t>
  </si>
  <si>
    <t>南通新德昇电子科技有限公司</t>
  </si>
  <si>
    <t>约见客户，确定实际用量情况</t>
  </si>
  <si>
    <t>白板</t>
  </si>
  <si>
    <t>金华市聚杰电器有限公司</t>
  </si>
  <si>
    <t>宁波瑞霖机械科技有限公司</t>
  </si>
  <si>
    <t>宁波友博电子有限公司</t>
  </si>
  <si>
    <t xml:space="preserve">	珠海创伟领航科技有限公司</t>
  </si>
  <si>
    <t>榨汁机</t>
  </si>
  <si>
    <t>深圳市方力洋科技有限公司</t>
  </si>
  <si>
    <t>苏州柯尔特测控技术有限公司</t>
  </si>
  <si>
    <t>手柄</t>
  </si>
  <si>
    <t>电动二轮/三轮</t>
  </si>
  <si>
    <t>威廉姆斯（苏州）控制系统有限公司</t>
  </si>
  <si>
    <t>上海亿韧电子有限公司</t>
  </si>
  <si>
    <t>深圳市艾华迪技术有限公司</t>
  </si>
  <si>
    <t>三合一电驱</t>
  </si>
  <si>
    <t>艾菲汽车零部件（武汉）有限公司</t>
  </si>
  <si>
    <t>曲轴传感器</t>
  </si>
  <si>
    <t>速度传感器</t>
  </si>
  <si>
    <t>凸轮轴传感器</t>
  </si>
  <si>
    <t>驭芯科技（上海）有限公司</t>
  </si>
  <si>
    <t>上海霍通电子有限公司</t>
  </si>
  <si>
    <t>张翼虎</t>
  </si>
  <si>
    <t>上海感先汽车传感器有限公司</t>
  </si>
  <si>
    <t>湖北三环汽车电器有限公司</t>
  </si>
  <si>
    <t>焦志军</t>
  </si>
  <si>
    <t>油电口盖</t>
  </si>
  <si>
    <t>换挡器</t>
  </si>
  <si>
    <t>重庆睿格汽车部件有限公司</t>
  </si>
  <si>
    <t>商用车换挡器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</si>
  <si>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</si>
  <si>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</si>
  <si>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</si>
  <si>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</si>
  <si>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</si>
  <si>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</si>
  <si>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</si>
  <si>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</si>
  <si>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</si>
  <si>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</si>
  <si>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工程车辆遥感</t>
  </si>
  <si>
    <t>湖北飞耀汽车控制系统有限公司</t>
  </si>
  <si>
    <t>上海岱美汽车内饰件股份有限公司</t>
  </si>
  <si>
    <t>上海佩岭电子科技有限公司</t>
  </si>
  <si>
    <t>朱一</t>
  </si>
  <si>
    <t>化妆镜位置检测</t>
  </si>
  <si>
    <t>建德市五星车业有限公司</t>
  </si>
  <si>
    <t>上海和煦光电科技有限公司</t>
  </si>
  <si>
    <t>陈云</t>
  </si>
  <si>
    <t>电动车转板</t>
  </si>
  <si>
    <t>盛势启创科技有限公司</t>
  </si>
  <si>
    <t>鸿赛芯（上海）科技有限公司</t>
  </si>
  <si>
    <t>袁海峰</t>
  </si>
  <si>
    <t>江西昱恩电子技术有限公司</t>
  </si>
  <si>
    <t>前装送样</t>
  </si>
  <si>
    <t>当下重点推进</t>
  </si>
  <si>
    <t>宁波永信汽车部件股份有限公司</t>
  </si>
  <si>
    <t>换挡执行器</t>
  </si>
  <si>
    <t>技术交流</t>
  </si>
  <si>
    <t>浙江科博达工业有限公司</t>
  </si>
  <si>
    <t>苏州安连电子有限公司上海第一分公司</t>
  </si>
  <si>
    <t>何梁辉</t>
  </si>
  <si>
    <t>电子节气门体</t>
  </si>
  <si>
    <t>位移传感器</t>
  </si>
  <si>
    <t>武汉汉升汽车传感系统有限责任公司</t>
  </si>
  <si>
    <t>凸轮轴相位传感器</t>
  </si>
  <si>
    <t>ATS675</t>
  </si>
  <si>
    <t>曲轴位置传感器</t>
  </si>
  <si>
    <t>TLE4921-5U</t>
  </si>
  <si>
    <t>MLX90217</t>
  </si>
  <si>
    <t>无锡盛邦电子有限公司</t>
  </si>
  <si>
    <t>TLE4924</t>
  </si>
  <si>
    <t>用在长柴商用车项目</t>
  </si>
  <si>
    <t>客户成本压力高，客户准备用SC9675TS做潍柴项目，需要赛卓给出磁铁方案，可能需要赛卓编好程出货给他们，另外需要仿真支持</t>
  </si>
  <si>
    <t>苏州微测电子有限公司</t>
  </si>
  <si>
    <t>ABS轮速传感器</t>
  </si>
  <si>
    <t>深圳市森世泰科技有限公司</t>
  </si>
  <si>
    <t>十堰合容汽车电器股份有限公司</t>
  </si>
  <si>
    <t>霍尼韦尔（中国)有限公司</t>
  </si>
  <si>
    <t>武汉沃达瑞电子科技有限公司</t>
  </si>
  <si>
    <t>周晓雨</t>
  </si>
  <si>
    <t>湖北瑞磁科技有限公司</t>
  </si>
  <si>
    <t>贝能电子（上海）有限公司</t>
  </si>
  <si>
    <t>张雨泽</t>
  </si>
  <si>
    <t>宜美科技集团有限公司</t>
  </si>
  <si>
    <t>上海博邦汽车技术有限公司</t>
  </si>
  <si>
    <t>Leo</t>
  </si>
  <si>
    <t>500W的气泵无刷电机，（OEM奇瑞）</t>
  </si>
  <si>
    <t>250509：已经按照18K的月需求滚动备料，5月开始拉动，实际以保隆采购下单为准；但是现在碧讯有54K库存，已经够用。（5，6，7月用库存即可）</t>
  </si>
  <si>
    <t>TLE4961-1M</t>
  </si>
  <si>
    <t>悬架系统</t>
  </si>
  <si>
    <t>车身高度传感器</t>
  </si>
  <si>
    <t>天窗电机（OEM蔚来）</t>
  </si>
  <si>
    <t>250509：项目等待中，暂无更新</t>
  </si>
  <si>
    <t>MLX92211BAA-202</t>
  </si>
  <si>
    <t>天窗电机</t>
  </si>
  <si>
    <t>浙江泰米电子科技有限公司</t>
  </si>
  <si>
    <t>9641/70K每月</t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</si>
  <si>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</si>
  <si>
    <t>9642/3K每月</t>
  </si>
  <si>
    <t>250509：年降25%，赛卓谈定只承担原厂10%，其他由碧讯搞定
250425：节后和代理商一同去客户正式拜访
250418：上周转移到Leo这，发了一次订单</t>
  </si>
  <si>
    <t>9621/1K每月</t>
  </si>
  <si>
    <t>250509：年降25%，不同意降价
250425：节后和代理商一同去客户正式拜访
250418：上周转移到Leo这，发了一次订单</t>
  </si>
  <si>
    <t>杭州临安天隆电子有限公司</t>
  </si>
  <si>
    <t>张翼鹏</t>
  </si>
  <si>
    <t>250509：5-26那周周和代理商一同去客户正式拜访
20240418：已通知代理商，从5月1日起开始封装切换至佛山蓝箭</t>
  </si>
  <si>
    <t>长安汽车</t>
  </si>
  <si>
    <t>上海昕荧科技有限公司</t>
  </si>
  <si>
    <t>上海众知晓电子科技有限公司</t>
  </si>
  <si>
    <t>赵书晓</t>
  </si>
  <si>
    <t>250509：正常供货；但4688没有断线检测，又重新送了4689的样去救场。</t>
  </si>
  <si>
    <t>HAL888/ FI6710</t>
  </si>
  <si>
    <t>变速箱</t>
  </si>
  <si>
    <t>拨叉位置传感器</t>
  </si>
  <si>
    <t>无锡凌思科技有限公司</t>
  </si>
  <si>
    <t>惯性导航</t>
  </si>
  <si>
    <t>250509：客户未反馈，状态TBD
无锡凌思已经调通了，现在在准备做高温环境下的稳定性验证,5月份DV,年底PV。</t>
  </si>
  <si>
    <t>4.5-40的XL1509</t>
  </si>
  <si>
    <t>电源管理</t>
  </si>
  <si>
    <t>工业与机器人</t>
  </si>
  <si>
    <t>工程机械</t>
  </si>
  <si>
    <t>挖掘机</t>
  </si>
  <si>
    <t>GNSS模块</t>
  </si>
  <si>
    <t>伟巴斯特车顶供暖系统（上海）有限公司</t>
  </si>
  <si>
    <t>深圳市道合顺网络有限公司</t>
  </si>
  <si>
    <t>韩晓锐</t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</si>
  <si>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</si>
  <si>
    <t>A1221</t>
  </si>
  <si>
    <t>天窗总成</t>
  </si>
  <si>
    <t>天窗电机控制器</t>
  </si>
  <si>
    <t>L946</t>
  </si>
  <si>
    <t>5年</t>
  </si>
  <si>
    <t>上海禾赛科技有限公司</t>
  </si>
  <si>
    <t>上海全一通讯技术有限公司</t>
  </si>
  <si>
    <t>邬亮峰</t>
  </si>
  <si>
    <t>Lindar</t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</si>
  <si>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</si>
  <si>
    <t>MT836X</t>
  </si>
  <si>
    <t>激光雷达执行器</t>
  </si>
  <si>
    <t>比亚迪半导体股份有限公司</t>
  </si>
  <si>
    <t>Stephen</t>
  </si>
  <si>
    <t>上海龙感汽车电子有限公司</t>
  </si>
  <si>
    <t>上海君芷电子科技有限公司</t>
  </si>
  <si>
    <t>黄慧</t>
  </si>
  <si>
    <t>上海文襄汽车传感器有限公司</t>
  </si>
  <si>
    <t>陆博汽车电子（曲阜）有限公司</t>
  </si>
  <si>
    <t>常州迈莱芯电子有限公司</t>
  </si>
  <si>
    <t>王健</t>
  </si>
  <si>
    <t>黄山辛贤汽车电子有限公司</t>
  </si>
  <si>
    <t>无锡摩芯半导体有限公司</t>
  </si>
  <si>
    <t>王伟强</t>
  </si>
  <si>
    <t>浙江亚特电器股份有限公司</t>
  </si>
  <si>
    <t>欧铂电子科技（上海）有限公司</t>
  </si>
  <si>
    <t>天域智控科技（上海）科技有限公司</t>
  </si>
  <si>
    <t>SC2442SO-N-Q-CP-10CR-2442</t>
  </si>
  <si>
    <t>上海艾铭思汽车控制系统有限公司</t>
  </si>
  <si>
    <t>瑞悍电子科技（上海）有限公司</t>
  </si>
  <si>
    <t>浙江帆舟电子科技有限公司</t>
  </si>
  <si>
    <t>车窗防夹电机</t>
  </si>
  <si>
    <t>昌辉汽车电器（黄山）股份公司</t>
  </si>
  <si>
    <t>组合开关</t>
  </si>
  <si>
    <t>黄山市瑞兴汽车电子有限公司</t>
  </si>
  <si>
    <t>电子换挡器</t>
  </si>
  <si>
    <t>宁波拓普集团股份有限公司</t>
  </si>
  <si>
    <t>电子膨胀阀</t>
  </si>
  <si>
    <t>东莞市铱鑫电子科技有限公司</t>
  </si>
  <si>
    <t>水流量传感器</t>
  </si>
  <si>
    <t xml:space="preserve">	德惠市北方汽车底盘零部件有限公司</t>
  </si>
  <si>
    <t>制动灯传感器</t>
  </si>
  <si>
    <t>宁波新思创机电科技有限公司</t>
  </si>
  <si>
    <t>合肥邦立电子股份有限公司</t>
  </si>
  <si>
    <t>广州瑞立科密汽车电子股份有限公司</t>
  </si>
  <si>
    <t>领联汽车零部件制造（上海）有限公司</t>
  </si>
  <si>
    <t>利奥电子(南京)有限公司</t>
  </si>
  <si>
    <t>重庆佳速汽车零部件有限公司</t>
  </si>
  <si>
    <t>电子油门踏板</t>
  </si>
  <si>
    <t>瑞安市金洲汽车配件有限公司</t>
  </si>
  <si>
    <t>浙江科丰传感器股份有限公司</t>
  </si>
  <si>
    <t>宿州奥凯森汽车部件有限公司</t>
  </si>
  <si>
    <t>凯晟动力技术（嘉兴）有限公司</t>
  </si>
  <si>
    <t>上海聚臣电子科技有限公司</t>
  </si>
  <si>
    <t>张伟</t>
  </si>
  <si>
    <t>麦格纳（太仓）汽车科技有限公司</t>
  </si>
  <si>
    <t>尾门电机</t>
  </si>
  <si>
    <t>上海新跃联汇电子科技有限公司</t>
  </si>
  <si>
    <t>上海葳脉电子科技有限公司</t>
  </si>
  <si>
    <t>Y</t>
  </si>
  <si>
    <t>京山雪乾汽车部件有限公司</t>
  </si>
  <si>
    <t>上海凯众材料科技股份有限公司</t>
  </si>
  <si>
    <t>瑞安瑞派汽车部件有限公司</t>
  </si>
  <si>
    <t>瑞安东辰汽车部件有限公司</t>
  </si>
  <si>
    <t>瑞安江和汽车部件有限公司</t>
  </si>
  <si>
    <t>进气歧管执行器</t>
  </si>
  <si>
    <t>瑞安泽纳科技有限公司</t>
  </si>
  <si>
    <t>上海金巨源热能技术有限公司</t>
  </si>
  <si>
    <t>浙江汉博汽车传感器有限公司</t>
  </si>
  <si>
    <t>浙江瑞奇汽车电子有限公司</t>
  </si>
  <si>
    <t>温州伟力汽车部件有限公司</t>
  </si>
  <si>
    <t>宁德市沃德汽车配件有限公司</t>
  </si>
  <si>
    <t>浙江顺加汽车配件有限公司</t>
  </si>
  <si>
    <t>重庆亚川电器有限公司</t>
  </si>
  <si>
    <t>里程表传感器</t>
  </si>
  <si>
    <t>芜湖联诺电器有限公司</t>
  </si>
  <si>
    <t>浙江可得电子科技有限公司</t>
  </si>
  <si>
    <t>浙江好亚汽车配件有限公司</t>
  </si>
  <si>
    <t>颖晶电子科技(上海)有限公司</t>
  </si>
  <si>
    <t>曾文鼎</t>
  </si>
  <si>
    <t>杭州沃能汽车传感技术有限公司</t>
  </si>
  <si>
    <t>浙江卓瑞控制系统有限公司</t>
  </si>
  <si>
    <t>温州鑫亚汽车电子有限公司</t>
  </si>
  <si>
    <t>瑞安市众品汽车配件制造有限公司</t>
  </si>
  <si>
    <t>温州峰汇汽车部件有限公司</t>
  </si>
  <si>
    <t>温州楷瑞电子科技有限公司</t>
  </si>
  <si>
    <t>BLDC</t>
  </si>
  <si>
    <t>温州市祺隆汽车电子有限公司</t>
  </si>
  <si>
    <t>瑞安市宇泰汽车电子有限公司</t>
  </si>
  <si>
    <t>广东九和新电器科技有限公司</t>
  </si>
  <si>
    <t>水压传感器</t>
  </si>
  <si>
    <t>浙江华地电子有限公司</t>
  </si>
  <si>
    <t>杭州飞越汽车零部件有限公司</t>
  </si>
  <si>
    <t>扭矩传感器</t>
  </si>
  <si>
    <t>余姚市博使通电子科技有限公司</t>
  </si>
  <si>
    <t>临沂市国连电子有限公司</t>
  </si>
  <si>
    <t>轮速传感器</t>
  </si>
  <si>
    <t>温州万辅科技有限公司</t>
  </si>
  <si>
    <t>江西格泰汽车零部件有限公司</t>
  </si>
  <si>
    <t>电子节气门</t>
  </si>
  <si>
    <t>温州瑞感科技有限公司</t>
  </si>
  <si>
    <t>温州市雷迅电子科技有限公司</t>
  </si>
  <si>
    <t>温州弘腾科技有限公司</t>
  </si>
  <si>
    <t>EGR阀</t>
  </si>
  <si>
    <t>上海智穆汽车配件有限公司</t>
  </si>
  <si>
    <t>温州品一车辆配件有限公司</t>
  </si>
  <si>
    <t>电子水泵</t>
  </si>
  <si>
    <t>瑞安市浩南电器有限公司</t>
  </si>
  <si>
    <t>浙江中创汽车部件有限公司</t>
  </si>
  <si>
    <t>阀体</t>
  </si>
  <si>
    <t>深圳市齐锴电子有限公司</t>
  </si>
  <si>
    <t>陈义财</t>
  </si>
  <si>
    <t>速度表</t>
  </si>
  <si>
    <t>深圳市中旭源科技有限公司</t>
  </si>
  <si>
    <t>Kevin</t>
  </si>
  <si>
    <t>应急电源300W</t>
  </si>
  <si>
    <t>东莞市朗泰通科技股份有限公司</t>
  </si>
  <si>
    <t>路灯电源100W</t>
  </si>
  <si>
    <t>广州广沃电子有限公司</t>
  </si>
  <si>
    <t>拉杆音响200W</t>
  </si>
  <si>
    <t>歌特贝斯(广州)电子有限公司</t>
  </si>
  <si>
    <t>拉杆音响300W</t>
  </si>
  <si>
    <t>广州一凡电子有限公司</t>
  </si>
  <si>
    <t>拉杆音响150W</t>
  </si>
  <si>
    <t>广州翔科电子科技有限公司</t>
  </si>
  <si>
    <t>广东声视美电子有限公司</t>
  </si>
  <si>
    <t>广东新越电子有限公司</t>
  </si>
  <si>
    <t>广东创芯辉电子有限公司</t>
  </si>
  <si>
    <t>广东旭杰电子有限公司</t>
  </si>
  <si>
    <t>广州明生电子有限公司</t>
  </si>
  <si>
    <t>清远辉杰智能有限公司</t>
  </si>
  <si>
    <t>广东浩声科技有限公司</t>
  </si>
  <si>
    <t>广东心乐电子有限公司</t>
  </si>
  <si>
    <t>东莞市景盛电子科技有限公司</t>
  </si>
  <si>
    <t>深圳市亚特联科技有限公司</t>
  </si>
  <si>
    <t>陈松玲</t>
  </si>
  <si>
    <t>游戏扳机</t>
  </si>
  <si>
    <t>推动研发人员进行测试，测试通过后封装改为正封测试</t>
  </si>
  <si>
    <t>MT9105、CC6503</t>
  </si>
  <si>
    <t>电脑周边</t>
  </si>
  <si>
    <t>游戏摇杆</t>
  </si>
  <si>
    <t>珠海创伟领航科技有限公司</t>
  </si>
  <si>
    <t>无刷电机控制板</t>
  </si>
  <si>
    <t>177直插</t>
  </si>
  <si>
    <t>上海飞智电子科技有限公司</t>
  </si>
  <si>
    <t>磁轴键盘，游戏手柄</t>
  </si>
  <si>
    <t>深圳市万至达电机制造有限公司</t>
  </si>
  <si>
    <t>电动牙刷电机方案，无刷电机</t>
  </si>
  <si>
    <t>个人护理</t>
  </si>
  <si>
    <t>电动牙刷</t>
  </si>
  <si>
    <t>惠州市金力变速实业发展有限公司</t>
  </si>
  <si>
    <t>May</t>
  </si>
  <si>
    <t>扫地机三相无刷电机</t>
  </si>
  <si>
    <t>英能同步拜访，建立方案级合作</t>
  </si>
  <si>
    <t>MT876X、MH188</t>
  </si>
  <si>
    <t>扫地机行走电机</t>
  </si>
  <si>
    <t>浙江仕优驱动有限公司</t>
  </si>
  <si>
    <t>轮椅电机</t>
  </si>
  <si>
    <t>跟进后续需求</t>
  </si>
  <si>
    <t>电机编码器</t>
  </si>
  <si>
    <t>深圳市金跃达电子有限公司</t>
  </si>
  <si>
    <t>晏紫莹</t>
  </si>
  <si>
    <t>撑杆电机（电动车尾门）</t>
  </si>
  <si>
    <t>尾门系统</t>
  </si>
  <si>
    <t>尾门撑杆电机</t>
  </si>
  <si>
    <t>共享单车锁</t>
  </si>
  <si>
    <t>深圳市恒驱电机股份有限公司</t>
  </si>
  <si>
    <t>待量产后，进行1000Pcs小批量测试</t>
  </si>
  <si>
    <t>MT9101</t>
  </si>
  <si>
    <t>转子定位</t>
  </si>
  <si>
    <t>广州华望半导体科技有限公司</t>
  </si>
  <si>
    <t>姚振环</t>
  </si>
  <si>
    <t>送样测试阶段</t>
  </si>
  <si>
    <t>深圳市永诚创科技有限公司</t>
  </si>
  <si>
    <t>Chen</t>
  </si>
  <si>
    <t>新项目</t>
  </si>
  <si>
    <t>深圳市清联同创汽车电子有限公司</t>
  </si>
  <si>
    <t>汽车尾门电机</t>
  </si>
  <si>
    <t>深圳市太美亚电子科技有限公司（恒盟鑫）</t>
  </si>
  <si>
    <t>深圳微羽智能科技有限公司</t>
  </si>
  <si>
    <t>Wayne</t>
  </si>
  <si>
    <t>工业电机驱动</t>
  </si>
  <si>
    <t>广东芯通电子科技有限公司</t>
  </si>
  <si>
    <t>商用电磁炉开关</t>
  </si>
  <si>
    <t>云台定位</t>
  </si>
  <si>
    <t>待带量产进行小批量测试</t>
  </si>
  <si>
    <t>MT9102</t>
  </si>
  <si>
    <t>摄像头云台</t>
  </si>
  <si>
    <t>中山市群荣电子厂</t>
  </si>
  <si>
    <t>大凌-SC1134SO-N</t>
  </si>
  <si>
    <t>大凌-SC2434SO-N</t>
  </si>
  <si>
    <t>佛山联睿电子科技有限公司</t>
  </si>
  <si>
    <t>散热风扇，家电控制板</t>
  </si>
  <si>
    <t>深圳市方珘电子有限公司</t>
  </si>
  <si>
    <t>电动牙刷电机方案</t>
  </si>
  <si>
    <t>MT9101DT</t>
  </si>
  <si>
    <t>深圳市海富创电子科技有限公司</t>
  </si>
  <si>
    <t>广东鑫控电子科技有限公司</t>
  </si>
  <si>
    <t>亚美达电气（深圳）有限公司</t>
  </si>
  <si>
    <t>加湿器电机控制板（华为）</t>
  </si>
  <si>
    <t>SDC177</t>
  </si>
  <si>
    <t>佛山市小点电子科技有限公司</t>
  </si>
  <si>
    <t>大凌-SC1134BU</t>
  </si>
  <si>
    <t>大凌-SC2442UA</t>
  </si>
  <si>
    <t>大凌-SC2063SO</t>
  </si>
  <si>
    <t>豆浆机/料理机电机</t>
  </si>
  <si>
    <t>中山澳多科技有限公司</t>
  </si>
  <si>
    <t>转向锁</t>
  </si>
  <si>
    <t>汉宇集团股份有限公司</t>
  </si>
  <si>
    <t>洗碗机水泵</t>
  </si>
  <si>
    <t>深圳市拓邦自动化技术有限公司</t>
  </si>
  <si>
    <t>深圳市光耀发展实业有限公司</t>
  </si>
  <si>
    <t>陈博</t>
  </si>
  <si>
    <t>智能马桶（开合盖）-恒洁</t>
  </si>
  <si>
    <t>智能马桶</t>
  </si>
  <si>
    <t>马桶开盖</t>
  </si>
  <si>
    <t>大凌-SC1245SO-N</t>
  </si>
  <si>
    <t>电机霍尔板</t>
  </si>
  <si>
    <t>直发器</t>
  </si>
  <si>
    <t>惠州市谷粒精密制造有限公司</t>
  </si>
  <si>
    <t>Suyun.Yan</t>
  </si>
  <si>
    <t>游戏手柄-霍尔摇杆</t>
  </si>
  <si>
    <t>现测试未达效果，需要改结构，具体需面谈</t>
  </si>
  <si>
    <t>SL93</t>
  </si>
  <si>
    <t>东莞市创美时科技有限公司</t>
  </si>
  <si>
    <t>大凌-SC2402SO-N-G</t>
  </si>
  <si>
    <t>家电电机</t>
  </si>
  <si>
    <t>深圳市捷诺科智能科技有限公司</t>
  </si>
  <si>
    <t>Davy</t>
  </si>
  <si>
    <t>IOT 升降桌</t>
  </si>
  <si>
    <t>东莞恒达电机制造有限公司</t>
  </si>
  <si>
    <t>隐藏式门把手</t>
  </si>
  <si>
    <t>画板调试阶段</t>
  </si>
  <si>
    <t>车门系统</t>
  </si>
  <si>
    <t>小米</t>
  </si>
  <si>
    <t>Su7</t>
  </si>
  <si>
    <t>智能马桶（流量计）-恒洁</t>
  </si>
  <si>
    <t>US2882_TSOT_3L</t>
  </si>
  <si>
    <t>流量计</t>
  </si>
  <si>
    <t>深圳市唯真电机发展有限公司</t>
  </si>
  <si>
    <t>工缝电机</t>
  </si>
  <si>
    <t>广东锦富智能科技有限公司</t>
  </si>
  <si>
    <t>GH39F</t>
  </si>
  <si>
    <t>东莞福哥电子</t>
  </si>
  <si>
    <t>测试通过，项目卡在客户的销售环节，跟进中</t>
  </si>
  <si>
    <t>广东东箭汽车科技股份有限公司</t>
  </si>
  <si>
    <t>深圳市三美电子科技有限公司</t>
  </si>
  <si>
    <t>德昌电机集团</t>
  </si>
  <si>
    <t xml:space="preserve">CHARGING LID LOCK </t>
  </si>
  <si>
    <t>广州市明电照明科技有限公司</t>
  </si>
  <si>
    <t>深圳市力辉电机有限公司</t>
  </si>
  <si>
    <t>汽车座椅电机</t>
  </si>
  <si>
    <t>座椅调角电机</t>
  </si>
  <si>
    <t xml:space="preserve"> 	深圳市博海威电子科技有限公司</t>
  </si>
  <si>
    <t>电动工具扳值位置检测</t>
  </si>
  <si>
    <t>位置开关</t>
  </si>
  <si>
    <t>深圳市鸿飞机电科技有限公司</t>
  </si>
  <si>
    <t>深圳市凯创德科技有限公司</t>
  </si>
  <si>
    <t>Ma</t>
  </si>
  <si>
    <t>东莞市臻智慧电子有限公司</t>
  </si>
  <si>
    <t>玩具</t>
  </si>
  <si>
    <t>CH605</t>
  </si>
  <si>
    <t>MT9103DT</t>
  </si>
  <si>
    <t>深圳市星闪悦动科技有限公司</t>
  </si>
  <si>
    <t>键盘方案商</t>
  </si>
  <si>
    <t>深圳市容圆科技有限公司</t>
  </si>
  <si>
    <t>深圳市贝盈科技有限公司</t>
  </si>
  <si>
    <t>惠州市华密智能科技有限公司</t>
  </si>
  <si>
    <t>键盘品牌方（自己方案）</t>
  </si>
  <si>
    <t>天津市久安科技发展有限公司</t>
  </si>
  <si>
    <t>深圳市和沐科技有限公司</t>
  </si>
  <si>
    <t>键盘方案商和品牌方</t>
  </si>
  <si>
    <t>MA7919</t>
  </si>
  <si>
    <t>深圳市盛牛科技有限公司</t>
  </si>
  <si>
    <t>深圳市思德创新科技有限公司</t>
  </si>
  <si>
    <t>佛山市瀚燊电子科技发展有限公司</t>
  </si>
  <si>
    <t>水流量计</t>
  </si>
  <si>
    <t>易良盛</t>
  </si>
  <si>
    <t>水流量检测</t>
  </si>
  <si>
    <t>水表、气表</t>
  </si>
  <si>
    <t>深圳市长天智能有限公司</t>
  </si>
  <si>
    <t>EMS电流检测</t>
  </si>
  <si>
    <t>MLX91209</t>
  </si>
  <si>
    <t>深圳市矢量科技有限公司</t>
  </si>
  <si>
    <t>MT910XDT</t>
  </si>
  <si>
    <t>深圳市富士泰科电子有限公司</t>
  </si>
  <si>
    <t>高速风筒</t>
  </si>
  <si>
    <t>SA2601</t>
  </si>
  <si>
    <t>宁波柯力传感科技股份有限公司</t>
  </si>
  <si>
    <t>防爆开关</t>
  </si>
  <si>
    <t>东莞市本末科技有限公司</t>
  </si>
  <si>
    <t>无刷电机位置检测</t>
  </si>
  <si>
    <t>接触</t>
  </si>
  <si>
    <t>6月之前确认结果</t>
  </si>
  <si>
    <t>深圳市和生创新技术有限公司</t>
  </si>
  <si>
    <t>加湿器水位检测—工厂瑞德智能</t>
  </si>
  <si>
    <t>009案子重新验证</t>
  </si>
  <si>
    <t>深圳市浦瑞克机电技术有限公司</t>
  </si>
  <si>
    <t>无刷电机定位</t>
  </si>
  <si>
    <t>等新案子机会</t>
  </si>
  <si>
    <t>中山澳多电子科技有限公司</t>
  </si>
  <si>
    <t>云鲸智能（深圳）有限公司</t>
  </si>
  <si>
    <t>深圳市蓝东明科技有限公司</t>
  </si>
  <si>
    <t>深圳市创科维信电子有限公司</t>
  </si>
  <si>
    <t>电机方案商</t>
  </si>
  <si>
    <t>深圳市银色风暴科技有限公司</t>
  </si>
  <si>
    <t>东莞市永巨科技有限公司</t>
  </si>
  <si>
    <t>磁轴键盘</t>
  </si>
  <si>
    <t>深圳思维奇电子科技有限公司</t>
  </si>
  <si>
    <t>深圳意义之塔科技有限公司</t>
  </si>
  <si>
    <t>华奋达（东莞）科技有限公司</t>
  </si>
  <si>
    <t>广东长耀光电科技有限公司</t>
  </si>
  <si>
    <t>CY19S</t>
  </si>
  <si>
    <t>东莞市微技电子科技有限公司</t>
  </si>
  <si>
    <t>深圳市志德机电科技有限公司</t>
  </si>
  <si>
    <t>泛仕达机电股份有限公司</t>
  </si>
  <si>
    <t>广东瑞讯电子科技有限公司</t>
  </si>
  <si>
    <t>惠州市立源电器有限公司</t>
  </si>
  <si>
    <t>乐清市三合电子有限公司</t>
  </si>
  <si>
    <t>41F</t>
  </si>
  <si>
    <t>宁波皓源智能科技有限公司</t>
  </si>
  <si>
    <t>厦门华联电子股份有限公司</t>
  </si>
  <si>
    <t>厦门市瑞尔特卫浴科技股份有限公司</t>
  </si>
  <si>
    <t>深圳阿比特科技有限公司</t>
  </si>
  <si>
    <t>G01M</t>
  </si>
  <si>
    <t>深圳瀚迪高科技有限公司</t>
  </si>
  <si>
    <t>深圳巨力神电气有限公司</t>
  </si>
  <si>
    <t>深圳骏飞扬科技有限公司</t>
  </si>
  <si>
    <t>深圳市迪美思机电科技有限公司</t>
  </si>
  <si>
    <t>深圳市华源鑫电器有限公司</t>
  </si>
  <si>
    <t>深圳市骏飞阳科技有限公司</t>
  </si>
  <si>
    <t>深圳市诺必成电子有限公司</t>
  </si>
  <si>
    <t>深圳市唯川科技有限公司</t>
  </si>
  <si>
    <t>深圳市小龙电器科技有限公司</t>
  </si>
  <si>
    <t>深圳市旭顺电子有限公司</t>
  </si>
  <si>
    <t>深圳市雅腾电机有限公司</t>
  </si>
  <si>
    <t>深圳市智芯云技术有限责任公司</t>
  </si>
  <si>
    <t>深圳烨昊科技有限公司</t>
  </si>
  <si>
    <t>温州市展芯电子科技有限公司</t>
  </si>
  <si>
    <t>友贸电机（深圳）有限公司</t>
  </si>
  <si>
    <t>台州市乐利电子科技有限公司</t>
  </si>
  <si>
    <t>台州同异元电子科技有限公司</t>
  </si>
  <si>
    <t>安乃达驱动技术（上海）股份有限公司</t>
  </si>
  <si>
    <t>成都市力远新能源电动车有限公司</t>
  </si>
  <si>
    <t>无锡赛盈动力科技有限公司</t>
  </si>
  <si>
    <t>49E</t>
  </si>
  <si>
    <t>S41H</t>
  </si>
  <si>
    <t>42N</t>
  </si>
  <si>
    <t>U18</t>
  </si>
  <si>
    <t>61H</t>
  </si>
  <si>
    <t>S21C</t>
  </si>
  <si>
    <t>无锡友创电子有限公司</t>
  </si>
  <si>
    <t>南京博士朗新能源科技有限公司</t>
  </si>
  <si>
    <t>Alex</t>
  </si>
  <si>
    <t>电子油门踏板，奇瑞和哪吒</t>
  </si>
  <si>
    <t>HAL888</t>
  </si>
  <si>
    <t>安全与智驾</t>
  </si>
  <si>
    <t>油门踏板</t>
  </si>
  <si>
    <t>奇瑞</t>
  </si>
  <si>
    <t>T19</t>
  </si>
  <si>
    <t>江苏恒立液压股份有限公司</t>
  </si>
  <si>
    <t>直线位置检测，大型液压油缸行程位置检测</t>
  </si>
  <si>
    <t>目前已经完成小批量验证，无问题。</t>
  </si>
  <si>
    <t>其他_3</t>
  </si>
  <si>
    <t>恒立液压股份</t>
  </si>
  <si>
    <t>南京奥联汽车电子电器股份有限公司</t>
  </si>
  <si>
    <t>1430QC5</t>
  </si>
  <si>
    <t>电子换挡器、怀挡、组合开关电源转换</t>
  </si>
  <si>
    <t>客户成本太低，并且量少，切换动力不足。只能在新项目上看是否有机会</t>
  </si>
  <si>
    <t>LN2054YQ1</t>
  </si>
  <si>
    <t>Torres</t>
  </si>
  <si>
    <t>第三代电子油门踏板，目前还在DV实验中，未定点</t>
  </si>
  <si>
    <t xml:space="preserve">无 </t>
  </si>
  <si>
    <t>平台件</t>
  </si>
  <si>
    <t>商用车电子节气门，一汽解放定点项目</t>
  </si>
  <si>
    <t>目前已经开始PV，无问题</t>
  </si>
  <si>
    <t>MLX90365</t>
  </si>
  <si>
    <t>发动机变速箱</t>
  </si>
  <si>
    <t>一汽商用车</t>
  </si>
  <si>
    <t>电子油门踏板，量产车厂有广汽，一汽奔腾</t>
  </si>
  <si>
    <t>关注客户目前量产情况以及质量表现，稳步提升份额</t>
  </si>
  <si>
    <t>电子换挡器，一汽项目</t>
  </si>
  <si>
    <t>A1106</t>
  </si>
  <si>
    <t>电子换挡器，长安项目</t>
  </si>
  <si>
    <t>宁波高发汽车控制系统股份有限公司</t>
  </si>
  <si>
    <t>目前卡在胡万训上，主要矛盾点是对我司产品的不信任。不想当小白鼠。25年重点跟进项目</t>
  </si>
  <si>
    <t>平台产品</t>
  </si>
  <si>
    <t>高发未来主推产品，第三代电子油门踏板，目前在长安定点</t>
  </si>
  <si>
    <t>配合客户和车厂的相关测试。 价格讨论</t>
  </si>
  <si>
    <t>MT6511</t>
  </si>
  <si>
    <t>长安</t>
  </si>
  <si>
    <t>车身高度传感器-奇瑞定点项目</t>
  </si>
  <si>
    <t xml:space="preserve">NA </t>
  </si>
  <si>
    <t>配合客户和车厂的相关测试</t>
  </si>
  <si>
    <t>888K</t>
  </si>
  <si>
    <t>电子油门踏板，国内商用车市场，以及五菱，BYD等</t>
  </si>
  <si>
    <t>持续跟进项目状态，以及量产提量。同时，注重产品质量，重点关注24年8月之后出货质量</t>
  </si>
  <si>
    <t>国内商用车，广汽，五菱，BYD，长安等</t>
  </si>
  <si>
    <t>电子换挡器，主要终端是奇瑞和吉利</t>
  </si>
  <si>
    <t>鸣志电器（太仓）有限公司</t>
  </si>
  <si>
    <t>上海霍通电子科技有限公司</t>
  </si>
  <si>
    <t>无刷电机编码器项目-华为云台项目（108，145，146）</t>
  </si>
  <si>
    <t>华为</t>
  </si>
  <si>
    <t>无刷电机霍尔-华为天玑项目</t>
  </si>
  <si>
    <t>11月底华为将开始招标，目前鸣志成功率接近80%。最新消息，项目最终由1部量产。目前正在积极接触1部相关人员</t>
  </si>
  <si>
    <t>宁波汽车软轴软管有限公司</t>
  </si>
  <si>
    <t>上海致馨电子科技有限公司</t>
  </si>
  <si>
    <t>电子油门踏板，主要是出口市场以及国内电车市场</t>
  </si>
  <si>
    <t>客户目前准备全面切换，目前主要是量产产线跟进中。（同时客户在和飞仙接触，飞仙价格2元）</t>
  </si>
  <si>
    <t>领跑，出口项目</t>
  </si>
  <si>
    <t>客户移交给陈端淇</t>
  </si>
  <si>
    <t>2.5</t>
  </si>
  <si>
    <t>壁挂炉水压力传感器</t>
  </si>
  <si>
    <t>浙江三花汽车零部件有限公司</t>
  </si>
  <si>
    <t>电子膨胀阀开合角度检测</t>
  </si>
  <si>
    <t>交货，和客户确认换封装厂事宜</t>
  </si>
  <si>
    <t>MLX92211</t>
  </si>
  <si>
    <t>项目延续，量少</t>
  </si>
  <si>
    <t>智邦-SC2063SO</t>
  </si>
  <si>
    <t>深圳市智邦电子有限公司</t>
  </si>
  <si>
    <t>Tom</t>
  </si>
  <si>
    <t>手持榨汁机</t>
  </si>
  <si>
    <t>豆浆机/咖啡机</t>
  </si>
  <si>
    <t>智邦-SC1134SO-N</t>
  </si>
  <si>
    <t>余姚市瑞玛特电器有限公司</t>
  </si>
  <si>
    <t>其他电机控制板</t>
  </si>
  <si>
    <t>电动工具电机电控</t>
  </si>
  <si>
    <t>跟踪样品评估</t>
  </si>
  <si>
    <t>余姚市电控电器三厂</t>
  </si>
  <si>
    <t>上海养盈电子科技有限公司</t>
  </si>
  <si>
    <t>漏保插头</t>
  </si>
  <si>
    <t>M54123</t>
  </si>
  <si>
    <t>养盈-SD477S</t>
  </si>
  <si>
    <t>OCH477H</t>
  </si>
  <si>
    <t>养盈-SD2276</t>
  </si>
  <si>
    <t>SDC276</t>
  </si>
  <si>
    <t>养盈-SD211VB</t>
  </si>
  <si>
    <t>SDC211</t>
  </si>
  <si>
    <t>养盈-SC4688SA</t>
  </si>
  <si>
    <t>外贸</t>
  </si>
  <si>
    <t>农机</t>
  </si>
  <si>
    <t>农机踏板/转把</t>
  </si>
  <si>
    <t>养盈-SC4002UA</t>
  </si>
  <si>
    <t>其他电机电机控制板</t>
  </si>
  <si>
    <t>养盈-SC2063UA</t>
  </si>
  <si>
    <t>门磁开关</t>
  </si>
  <si>
    <t>养盈-SC1134SO-N</t>
  </si>
  <si>
    <t>养盈-SC1134B1</t>
  </si>
  <si>
    <t>亚世欧-KH477</t>
  </si>
  <si>
    <t>深圳市亚世欧实业有限公司</t>
  </si>
  <si>
    <t>亚世欧-KH276</t>
  </si>
  <si>
    <t>亚世欧-KH211</t>
  </si>
  <si>
    <t>温州嘉迪电器有限公司</t>
  </si>
  <si>
    <t>断路器</t>
  </si>
  <si>
    <t>LW310B</t>
  </si>
  <si>
    <t>LW54123A</t>
  </si>
  <si>
    <t>温州诚富电器有限公司</t>
  </si>
  <si>
    <t>深圳鑫宝电器科技有限公司</t>
  </si>
  <si>
    <t>其他无刷电机</t>
  </si>
  <si>
    <t>深圳市粤科源兴科技有限公司</t>
  </si>
  <si>
    <t>17CA</t>
  </si>
  <si>
    <t>深圳市航嘉驰源电气股份有限公司</t>
  </si>
  <si>
    <t>H项目</t>
  </si>
  <si>
    <t>鹏芯-SD276</t>
  </si>
  <si>
    <t>绍兴鹏芯电子科技有限公司</t>
  </si>
  <si>
    <t>鹏芯-SC2063</t>
  </si>
  <si>
    <t>电源开关</t>
  </si>
  <si>
    <t>宁波市欣新电器科技有限公司</t>
  </si>
  <si>
    <t>宁波市北仑拓立模具技术有限公司</t>
  </si>
  <si>
    <t>各类门机编码器</t>
  </si>
  <si>
    <t>编码器</t>
  </si>
  <si>
    <t>宁波北仑拓立摸具技术有限公司</t>
  </si>
  <si>
    <t>宁波精成车业电机有限公司</t>
  </si>
  <si>
    <t>车窗电机</t>
  </si>
  <si>
    <t>寻找跟进关键人</t>
  </si>
  <si>
    <t>车窗系统</t>
  </si>
  <si>
    <t>宁波恒特汽车零部件有限公司</t>
  </si>
  <si>
    <t>加强客情关系</t>
  </si>
  <si>
    <t>宁波恒帅股份有限公司</t>
  </si>
  <si>
    <t>跟进样品测试</t>
  </si>
  <si>
    <t>A1220/1210</t>
  </si>
  <si>
    <t>惠州市卓邦电子有限公司</t>
  </si>
  <si>
    <t>杭州小飞电器科技有限公司</t>
  </si>
  <si>
    <t>44E</t>
  </si>
  <si>
    <t>无锡迪士科技</t>
  </si>
  <si>
    <t>东莞市巨搏悦科技有限公司</t>
  </si>
  <si>
    <t>电机</t>
  </si>
  <si>
    <t>宁波明芯智能科技有限公司</t>
  </si>
  <si>
    <t>新能源</t>
  </si>
  <si>
    <t>太阳能</t>
  </si>
  <si>
    <t>逆变器</t>
  </si>
  <si>
    <t>逆变器电流传感器</t>
  </si>
  <si>
    <t>宁波瀚朗智能驱动科技股份有限公司</t>
  </si>
  <si>
    <t>宁波晴控智能有限公司</t>
  </si>
  <si>
    <t>筋膜枪</t>
  </si>
  <si>
    <t>筋膜枪电机</t>
  </si>
  <si>
    <t>宁波瑞利特电子科技有限公司</t>
  </si>
  <si>
    <t>水位计</t>
  </si>
  <si>
    <t>水流检测</t>
  </si>
  <si>
    <t>水表</t>
  </si>
  <si>
    <t>东莞市鸿飞科技有限公司</t>
  </si>
  <si>
    <t>养盈-2462SO</t>
  </si>
  <si>
    <t>宁波铭瑞传感器有限公司</t>
  </si>
  <si>
    <t>养盈-2402UA-U18-BK</t>
  </si>
  <si>
    <t>手柄摇杆</t>
  </si>
  <si>
    <t>玉环普天单向器科技有限公司</t>
  </si>
  <si>
    <t>跟踪客户产线调试</t>
  </si>
  <si>
    <t>宁波纳福电子</t>
  </si>
  <si>
    <t>Pedro</t>
  </si>
  <si>
    <t>纺织电机</t>
  </si>
  <si>
    <t>深圳霍芯电子科技有限公司</t>
  </si>
  <si>
    <t>嘉兴礼海电气科技有限公司</t>
  </si>
  <si>
    <t>深圳旭意达</t>
  </si>
  <si>
    <t>大型家电其他</t>
  </si>
  <si>
    <t>热水器</t>
  </si>
  <si>
    <t>芜湖莫森泰克汽车科技股份有限公司</t>
  </si>
  <si>
    <t>合肥贝森特电子科技有限公司</t>
  </si>
  <si>
    <t>徐彬</t>
  </si>
  <si>
    <t>天窗</t>
  </si>
  <si>
    <t>250228：及时确认客户交货情况</t>
  </si>
  <si>
    <t>MLX92212LSE-AAA-000-R</t>
  </si>
  <si>
    <t>250228：送样</t>
  </si>
  <si>
    <t>车窗</t>
  </si>
  <si>
    <t>250427：跳过小批，直接批量比亚迪汉项目，预计3周左右时间。
250422：已确认本月会上车3K
250228：待新项目上车，争取三月底完成</t>
  </si>
  <si>
    <t>TLE4966-3G</t>
  </si>
  <si>
    <t>车窗总成</t>
  </si>
  <si>
    <t>车窗电机防夹</t>
  </si>
  <si>
    <t>东洋车窗</t>
  </si>
  <si>
    <t>250228：测试中</t>
  </si>
  <si>
    <t>上海依工塑料五金有限公司</t>
  </si>
  <si>
    <t>苏州台信达电子有限公司</t>
  </si>
  <si>
    <t>杨帆</t>
  </si>
  <si>
    <t>250506：信和达交付一个最小包装
2504009：本月确定商流
250328：依工在德昌指定赛卓物料，需要做供应链保护
250228：持续增量中</t>
  </si>
  <si>
    <t>理想，比亚迪，奇瑞</t>
  </si>
  <si>
    <t>充电口盖板开关</t>
  </si>
  <si>
    <t>250228：配合客户改进编程器，当前每天有10多例需要多次标定的。</t>
  </si>
  <si>
    <t>充电口</t>
  </si>
  <si>
    <t>充电口盖板</t>
  </si>
  <si>
    <t>理想</t>
  </si>
  <si>
    <t>L9/8/7</t>
  </si>
  <si>
    <t>充电口执行器</t>
  </si>
  <si>
    <t>250409：引导客户切换SC2493
250228：平台产品，需要我司内部完成车规</t>
  </si>
  <si>
    <t>阿维塔，理想，比亚迪，奇瑞</t>
  </si>
  <si>
    <t>E12，L9/8/7, ES3,A19,D609,740D</t>
  </si>
  <si>
    <t>苏州烨炜上品电气有限公司</t>
  </si>
  <si>
    <t>电梯电源和控制板电流传感器</t>
  </si>
  <si>
    <t>250512：送样</t>
  </si>
  <si>
    <t>Wenjie</t>
  </si>
  <si>
    <t>浙江天成航空科技有限公司</t>
  </si>
  <si>
    <t>苏州柏达电子有限公司</t>
  </si>
  <si>
    <t>王俊佳</t>
  </si>
  <si>
    <t>座椅水平电机1*1</t>
  </si>
  <si>
    <t>250228：推动上量</t>
  </si>
  <si>
    <t>座椅总成</t>
  </si>
  <si>
    <t>比亚迪，广汽，东风，上汽</t>
  </si>
  <si>
    <t>调角电机1*1</t>
  </si>
  <si>
    <t>250228：跟进客户产线建设情况</t>
  </si>
  <si>
    <t>山东凯欧电机科技有限公司</t>
  </si>
  <si>
    <t>杨小鸿</t>
  </si>
  <si>
    <t>农机位置传感器</t>
  </si>
  <si>
    <t>25410：464t批次再PWM供电下异常，准备换货
拓尔微报价0.2， 凯欧小老板在主持测试工作</t>
  </si>
  <si>
    <t>湖北金镶银科技有限公司</t>
  </si>
  <si>
    <t>奇瑞凸轮轴， 刚开始做，芜湖力诺工程师</t>
  </si>
  <si>
    <t>250513：已经可以批产状态，终端还没有订单过来</t>
  </si>
  <si>
    <t>液位传感器</t>
  </si>
  <si>
    <t>250228：推广在线编程凸轮轴和ABS摩托车传感器</t>
  </si>
  <si>
    <t>摩托车ABS传感器</t>
  </si>
  <si>
    <t>250513：需要确认ABS摩托车传感器状态，客户还开发？</t>
  </si>
  <si>
    <t>上海六盛电机有限公司</t>
  </si>
  <si>
    <t>上海创滦电子科技有限公司</t>
  </si>
  <si>
    <t>闵洁</t>
  </si>
  <si>
    <t>直流无刷冰箱电机风扇1*1</t>
  </si>
  <si>
    <t>250228：待PM与客户的驱动拜访结果</t>
  </si>
  <si>
    <t>大家电</t>
  </si>
  <si>
    <t>冰箱电机风扇</t>
  </si>
  <si>
    <t>卧龙电气驱动集团股份有限公司</t>
  </si>
  <si>
    <t>空调压缩机电机1*3</t>
  </si>
  <si>
    <t>250228：挖掘更多业务机会点</t>
  </si>
  <si>
    <t>空调</t>
  </si>
  <si>
    <t>空调压缩机电机</t>
  </si>
  <si>
    <t>上海嘉辀电子科技有限公司</t>
  </si>
  <si>
    <t>奇瑞门把手</t>
  </si>
  <si>
    <t>约拓绅拜访</t>
  </si>
  <si>
    <t>江苏一东航空机械有限公司</t>
  </si>
  <si>
    <t>小米昆仑，车窗电机1*2，平行感应方式</t>
  </si>
  <si>
    <t>250228: 测试中， 跟进测试结果</t>
  </si>
  <si>
    <t>华为尚界汽车，一东供电机给上实，车窗电机1*2，平行感应方式，预计月3万车，25年9月批量。</t>
  </si>
  <si>
    <t>250512: 磁环位置评估中</t>
  </si>
  <si>
    <t>汪送华</t>
  </si>
  <si>
    <t>车用环境亮度传感器</t>
  </si>
  <si>
    <t>250314：角度传感器需要确认断线检测是否满足功能
250228：3月中前确认批量时间</t>
  </si>
  <si>
    <t>250512：PCB设计中</t>
  </si>
  <si>
    <t>250512：选型中</t>
  </si>
  <si>
    <t>制动灯开关接近开关</t>
  </si>
  <si>
    <t>250513：样件设计中</t>
  </si>
  <si>
    <t>制动系统</t>
  </si>
  <si>
    <t>长春富晟汽车电子有限公司</t>
  </si>
  <si>
    <t>P301项目，SC2443SO 红旗HS5天窗项目，25年量产，到2030年，年100K， 单机1*1</t>
  </si>
  <si>
    <t>250228：争取更多业务机会</t>
  </si>
  <si>
    <t>青岛蚂蚁机器人有限责任公司</t>
  </si>
  <si>
    <t>机器人导航，同立镖，单板64颗粒</t>
  </si>
  <si>
    <t>250214：客户批量28K
250228：3月落实订单</t>
  </si>
  <si>
    <t>工业自动化</t>
  </si>
  <si>
    <t>筛选机器人</t>
  </si>
  <si>
    <t>磁导航条</t>
  </si>
  <si>
    <t>磁导航机器人，单机64，3月开始DV， 预计6月开始批量上升使用，25年预计4000-6000套，送样测试， 隔离电压模块， 电机外购，代工带采的形式。</t>
  </si>
  <si>
    <t>250422：小批3K
25410：测试OK，近期会有小批订单。
250228：加深客情关系</t>
  </si>
  <si>
    <t>重庆讯华实业（集团）有限公司</t>
  </si>
  <si>
    <t>遮阳板开关1*1</t>
  </si>
  <si>
    <t>苏州承逸电子有限公司</t>
  </si>
  <si>
    <t>谢国平</t>
  </si>
  <si>
    <t>后装凸轮轴传感器</t>
  </si>
  <si>
    <t>250427：订单需要PM安排人员做编程交付。
250228：落实3月订单DW</t>
  </si>
  <si>
    <t>TLE4986</t>
  </si>
  <si>
    <t xml:space="preserve">浙江奥正机电有限公司 </t>
  </si>
  <si>
    <t>电机控制板</t>
  </si>
  <si>
    <t>250512：样品设计中</t>
  </si>
  <si>
    <t>浙江华诺康科技有限公司</t>
  </si>
  <si>
    <t>电子医疗内窥镜，接近开关</t>
  </si>
  <si>
    <t>250512：验证OK， 客户系统物料号建号。</t>
  </si>
  <si>
    <t>浙江中力机械股份有限公司</t>
  </si>
  <si>
    <t>星瀚微（上海）电子科技有限公司</t>
  </si>
  <si>
    <t>葛庆庆</t>
  </si>
  <si>
    <t>应用在 中力 牌 叉车的角度上</t>
  </si>
  <si>
    <t>250409：MLX90315库存消耗中，月需求大概4K</t>
  </si>
  <si>
    <t>叉车</t>
  </si>
  <si>
    <t>中力</t>
  </si>
  <si>
    <t>叉车油门踏板</t>
  </si>
  <si>
    <t>250416：需要紧急供货16K，月12K的需求</t>
  </si>
  <si>
    <t>叉车转向电机编码器</t>
  </si>
  <si>
    <t>250416：送样，做好客户Din支持</t>
  </si>
  <si>
    <t>A1230</t>
  </si>
  <si>
    <t>转把</t>
  </si>
  <si>
    <t>浙江立镖机器人有限公司</t>
  </si>
  <si>
    <t>用在 立镖 柔性分拣机器人上 用于导航功能使用</t>
  </si>
  <si>
    <t>250416：客户预计5月会提货150K， 后续需求在5月才能更新。</t>
  </si>
  <si>
    <t>宁波高悦电机技术有限公司</t>
  </si>
  <si>
    <t>吉利的EDS 电机和康明斯第一版尿素泵上</t>
  </si>
  <si>
    <t>250416：SC2442UA变更封装尺寸， 急需提供样品给客户验证</t>
  </si>
  <si>
    <t>燃油箱</t>
  </si>
  <si>
    <t>尿素泵</t>
  </si>
  <si>
    <t>康明斯第二版尿素泵上</t>
  </si>
  <si>
    <t>250416：正常批量</t>
  </si>
  <si>
    <t>东风汽车</t>
  </si>
  <si>
    <t>S73</t>
  </si>
  <si>
    <t>美国Rivian的电子油泵项目上</t>
  </si>
  <si>
    <t>250408：正常批量</t>
  </si>
  <si>
    <t>热管理</t>
  </si>
  <si>
    <t>电子油泵</t>
  </si>
  <si>
    <t>侧滑门电机无刷控制器</t>
  </si>
  <si>
    <t>250408：送样，做好客户Din支持</t>
  </si>
  <si>
    <t>宁波拓普电器有限公司</t>
  </si>
  <si>
    <t>轮速传感器国产化项目</t>
  </si>
  <si>
    <t>250416: EC测试已OK，五菱试点，需要做客户拜访。
250408：了解客户项目时间节点</t>
  </si>
  <si>
    <t>TLE4942</t>
  </si>
  <si>
    <t>杭州智源电子有限公司</t>
  </si>
  <si>
    <t>用于宁波新思创的电磁阀项目上</t>
  </si>
  <si>
    <t>250416：客户在争取项目中</t>
  </si>
  <si>
    <t>电磁阀</t>
  </si>
  <si>
    <t>北京经纬恒润科技股份有限公司</t>
  </si>
  <si>
    <t>赛卓电子科技（上海）股份有限公司</t>
  </si>
  <si>
    <t>麦格纳Xin1-奇瑞项目，三相电采样，多合一。</t>
  </si>
  <si>
    <t>250506：设计中</t>
  </si>
  <si>
    <t>吉利星驱E22H海外版电流传感器；±100A内精度误差不超过2A，±100A以外，精度误差不超过±2%。OEM：吉利；SOP时间：2026年6月30；配套年限：4年；配套量：共41W</t>
  </si>
  <si>
    <t>250506：定期跟进客户项目进度</t>
  </si>
  <si>
    <t>电机控制器</t>
  </si>
  <si>
    <t>珠海英搏尔电气股份有限公司</t>
  </si>
  <si>
    <t>二轮车电机</t>
  </si>
  <si>
    <t>T81</t>
  </si>
  <si>
    <t>仪表开关组合</t>
  </si>
  <si>
    <t>浙江万超电器有限公司</t>
  </si>
  <si>
    <t>浙江长江汽车电子有限公司</t>
  </si>
  <si>
    <t>MT6511CT</t>
  </si>
  <si>
    <t>中控系统</t>
  </si>
  <si>
    <t>组合开关怀挡</t>
  </si>
  <si>
    <t>MT6501GT</t>
  </si>
  <si>
    <t>宁波精华电子科技股份有限公司</t>
  </si>
  <si>
    <t>周鑫</t>
  </si>
  <si>
    <t>MLX922llSE</t>
  </si>
  <si>
    <t>上汽</t>
  </si>
  <si>
    <t>扶手箱位置检测</t>
  </si>
  <si>
    <t>嘉兴市尚瑞电子科技有限公司</t>
  </si>
  <si>
    <t>扶手箱开合</t>
  </si>
  <si>
    <t>车载冰箱抽屉</t>
  </si>
  <si>
    <t>浙江泰康电子有限公司</t>
  </si>
  <si>
    <t>安全带卡扣</t>
  </si>
  <si>
    <t>MLX92241CUA</t>
  </si>
  <si>
    <t>安全带系统</t>
  </si>
  <si>
    <t>安全带插锁</t>
  </si>
  <si>
    <t>中控PAD支架</t>
  </si>
  <si>
    <t>PAD伸缩支架</t>
  </si>
  <si>
    <t>YF</t>
  </si>
  <si>
    <t>小桌板位置检测</t>
  </si>
  <si>
    <t>座椅控制器</t>
  </si>
  <si>
    <t>充电口盖检测</t>
  </si>
  <si>
    <t>方向盘开关板子</t>
  </si>
  <si>
    <t>组合开关方向盘滚轮</t>
  </si>
  <si>
    <t>浙江卡巴尔电气有限公司</t>
  </si>
  <si>
    <t>工程机械遥控设备</t>
  </si>
  <si>
    <t>上海奥众汽车部件制造有限公司</t>
  </si>
  <si>
    <t>·</t>
  </si>
  <si>
    <t>芜湖美达科技有限公司</t>
  </si>
  <si>
    <t>方向盘滚轮</t>
  </si>
  <si>
    <t>江苏启达机电有限公司</t>
  </si>
  <si>
    <t>穆博伟</t>
  </si>
  <si>
    <t>湖北开特汽车电子有限公司</t>
  </si>
  <si>
    <t>电子水阀</t>
  </si>
  <si>
    <t>泵</t>
  </si>
  <si>
    <t>斯丹德，松枝</t>
  </si>
  <si>
    <t>福田</t>
  </si>
  <si>
    <t>刹车系统</t>
  </si>
  <si>
    <t>ABS传感器</t>
  </si>
  <si>
    <t>福特</t>
  </si>
  <si>
    <t>MLX92211LSE</t>
  </si>
  <si>
    <t>BYD</t>
  </si>
  <si>
    <t>上海沃巴弗电子科技有限公司</t>
  </si>
  <si>
    <t>HAL3725</t>
  </si>
  <si>
    <t>江苏安智欣电子科技有限公司</t>
  </si>
  <si>
    <t>蓝牙控制器</t>
  </si>
  <si>
    <t>广东麦格纳汽车镜像有限公司</t>
  </si>
  <si>
    <t>杭州港德电子有限公司</t>
  </si>
  <si>
    <t>闫总</t>
  </si>
  <si>
    <t>伟速达（中国）汽车安全系统有限公司</t>
  </si>
  <si>
    <t>英纳法汽车天窗系统（上海）有限公司</t>
  </si>
  <si>
    <t>尾门控制器</t>
  </si>
  <si>
    <t>英纳法智联科技（北京）有限公司</t>
  </si>
  <si>
    <t>天窗氛围灯</t>
  </si>
  <si>
    <t xml:space="preserve">	上海拓殷电子科技技术有限公司</t>
  </si>
  <si>
    <t>上海继峰座椅有限公司</t>
  </si>
  <si>
    <t>隐藏式扶手</t>
  </si>
  <si>
    <t>苏州锐璟科技有限公司</t>
  </si>
  <si>
    <t>扶手箱移动</t>
  </si>
  <si>
    <t>座椅扶手位置</t>
  </si>
  <si>
    <t>广州爱者科技有限公司</t>
  </si>
  <si>
    <t>黎海峰</t>
  </si>
  <si>
    <t>车门电机</t>
  </si>
  <si>
    <t>柳州五达汽车部件有限公司</t>
  </si>
  <si>
    <t>五菱</t>
  </si>
  <si>
    <t>宾果</t>
  </si>
  <si>
    <t xml:space="preserve">	天津英创汇智汽车技术有限公司</t>
  </si>
  <si>
    <t>王帅</t>
  </si>
  <si>
    <t>上海泰崇电气有限公司</t>
  </si>
  <si>
    <t>赵凯</t>
  </si>
  <si>
    <t>家居电机</t>
  </si>
  <si>
    <t>电动家具</t>
  </si>
  <si>
    <t>电动桌椅</t>
  </si>
  <si>
    <t>升降桌电机</t>
  </si>
  <si>
    <t>侧移门检测</t>
  </si>
  <si>
    <t>上海英汇科技发展有限公司</t>
  </si>
  <si>
    <t>车门踏板</t>
  </si>
  <si>
    <t>车门踏板电机</t>
  </si>
  <si>
    <t>浙江宏发精密科技有限公司</t>
  </si>
  <si>
    <t>Vivi</t>
  </si>
  <si>
    <t>光伏电流传感器</t>
  </si>
  <si>
    <t>储能</t>
  </si>
  <si>
    <t>储能BMS</t>
  </si>
  <si>
    <t>BMS</t>
  </si>
  <si>
    <t>储能电流传感器</t>
  </si>
  <si>
    <t>电摩电流传感器</t>
  </si>
  <si>
    <t>厦门宏发电力电器有限公司</t>
  </si>
  <si>
    <t>高压直流继电器</t>
  </si>
  <si>
    <t>奥托立夫（上海）汽车安全系统研发有限公司</t>
  </si>
  <si>
    <t>武汉艾捷芯汽车科技有限公司</t>
  </si>
  <si>
    <t>陈颖</t>
  </si>
  <si>
    <t>MLX92241LSE</t>
  </si>
  <si>
    <t>MLX92242LUA</t>
  </si>
  <si>
    <t>安全带卷收器</t>
  </si>
  <si>
    <t>TLE4963-1M</t>
  </si>
  <si>
    <t>大众</t>
  </si>
  <si>
    <t>安全带支架</t>
  </si>
  <si>
    <t>HAL835A</t>
  </si>
  <si>
    <t>安全带BTS</t>
  </si>
  <si>
    <t>卡奥斯创智物联科技有限公司</t>
  </si>
  <si>
    <t>帕太国际贸易（上海）有限公司</t>
  </si>
  <si>
    <t>王金</t>
  </si>
  <si>
    <t>洗衣机排水泵</t>
  </si>
  <si>
    <t>海尔</t>
  </si>
  <si>
    <t>工业风机</t>
  </si>
  <si>
    <t>CC6904</t>
  </si>
  <si>
    <t>冰箱门检测</t>
  </si>
  <si>
    <t>BD7411G</t>
  </si>
  <si>
    <t>深圳华美和控制系统有限公司</t>
  </si>
  <si>
    <t>童建东</t>
  </si>
  <si>
    <t>摩托车ABS轮速传感器</t>
  </si>
  <si>
    <t>TLE4941</t>
  </si>
  <si>
    <t>八方电气（苏州）股份有限公司</t>
  </si>
  <si>
    <t>曹友生</t>
  </si>
  <si>
    <t>Ebike中置电机速度检测</t>
  </si>
  <si>
    <t>逸航汽车零部件（嘉善）有限公司</t>
  </si>
  <si>
    <t>待定</t>
  </si>
  <si>
    <t>尾门电撑杆</t>
  </si>
  <si>
    <t>BBA/Tesla</t>
  </si>
  <si>
    <t>座椅位置检测</t>
  </si>
  <si>
    <t>转向角度检测</t>
  </si>
  <si>
    <t>TLE4906</t>
  </si>
  <si>
    <t>重庆伟时光电科技有限公司</t>
  </si>
  <si>
    <t>东芝家用电器制造（南海）有限公司</t>
  </si>
  <si>
    <t>鉴微信息科技（上海）有限公司</t>
  </si>
  <si>
    <t>王军</t>
  </si>
  <si>
    <t>冰箱门开合检测</t>
  </si>
  <si>
    <t>制冰机开合检测</t>
  </si>
  <si>
    <t>合肥美的电冰箱有限公司</t>
  </si>
  <si>
    <t>冰箱门角度检测</t>
  </si>
  <si>
    <t>冰箱升降搁架</t>
  </si>
  <si>
    <t>宁波华德汽车零部件有限公司</t>
  </si>
  <si>
    <t>陆建明</t>
  </si>
  <si>
    <t>隐藏式门锁</t>
  </si>
  <si>
    <t>MT8315ET</t>
  </si>
  <si>
    <t>泛亚汽车技术中心有限公司</t>
  </si>
  <si>
    <t>待确认</t>
  </si>
  <si>
    <t>合肥巨一动力系统有限公司</t>
  </si>
  <si>
    <t>麻龙龙</t>
  </si>
  <si>
    <t>杰必机电（中国）有限公司</t>
  </si>
  <si>
    <t>智能后视镜</t>
  </si>
  <si>
    <t>后视镜</t>
  </si>
  <si>
    <r>
      <rPr>
        <sz val="10"/>
        <rFont val="Microsoft YaHei Light"/>
        <charset val="134"/>
      </rPr>
      <t>微进电子科技（上海）有限公司</t>
    </r>
  </si>
  <si>
    <t>上海保隆汽车科技（安徽）有限公司</t>
  </si>
  <si>
    <t>空气悬架压缩机控制器</t>
  </si>
  <si>
    <t>杭州神林电子有限公司</t>
  </si>
  <si>
    <t>仪征三科智电子有限公司</t>
  </si>
  <si>
    <t>中山市利兴诚德电子有限公司</t>
  </si>
  <si>
    <t>华夏磁电子技术(河南)有限公司</t>
  </si>
  <si>
    <t>上海茂晶电子科技有限公司</t>
  </si>
  <si>
    <t>磁性电机编码器</t>
  </si>
  <si>
    <t>求和项:6月预测2</t>
  </si>
  <si>
    <t>求和项:7月预测2</t>
  </si>
  <si>
    <t>求和项:8月预测2</t>
  </si>
  <si>
    <t>求和项:9月预测2</t>
  </si>
  <si>
    <t>求和项:10月预测2</t>
  </si>
  <si>
    <t>求和项:11月预测2</t>
  </si>
  <si>
    <t>求和项:12月预测2</t>
  </si>
  <si>
    <t>数量合计</t>
  </si>
  <si>
    <t>1月出货</t>
  </si>
  <si>
    <t>2月出货</t>
  </si>
  <si>
    <t>3月出货</t>
  </si>
  <si>
    <t>4月出货</t>
  </si>
  <si>
    <t>5月出货</t>
  </si>
  <si>
    <t>SC1134B1</t>
  </si>
  <si>
    <t>SC1134B1-43F</t>
  </si>
  <si>
    <t>SC1134UA-CI-00AK-44L</t>
  </si>
  <si>
    <t>SC2402S1-BK</t>
  </si>
  <si>
    <t>SC2402S1-CJ-90AK-6571</t>
  </si>
  <si>
    <t>SC2432SO-Q-CM-10CR-NM</t>
  </si>
  <si>
    <t>SC4688DC-Q-DC-40AR-6388</t>
  </si>
  <si>
    <t>SC9314UA</t>
  </si>
  <si>
    <t>SC9314UA-9201L</t>
  </si>
  <si>
    <t>SC9314UA-9209</t>
  </si>
  <si>
    <t>SC9314UA-CF-0XAK-2414</t>
  </si>
  <si>
    <t>SC9633VB-BK</t>
  </si>
  <si>
    <t>SC9633VB-CF-00CK-9633</t>
  </si>
  <si>
    <t>SC9634VB-BK</t>
  </si>
  <si>
    <t>SC9634VB-CG-00CK-9634</t>
  </si>
  <si>
    <t>SC9675IM-LRF00-Q-AB-4XAR-9675</t>
  </si>
  <si>
    <t>SC9685TS-RP180-TR-Q</t>
  </si>
  <si>
    <t>SC9685TS-RP180-Q-DB-46AR-96851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</si>
</sst>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  <numFmt numFmtId="177" formatCode="_ * #,##0.000_ ;_ * \-#,##0.000_ ;_ * &quot;-&quot;??_ ;_ @_ "/>
    <numFmt numFmtId="178" formatCode="\¥#,##0.00000;[Red]\¥#,##0.00000"/>
    <numFmt numFmtId="179" formatCode="#,##0_);[Red]\(#,##0\)"/>
    <numFmt numFmtId="180" formatCode="\¥#,##0.000_);[Red]\(\¥#,##0.000\)"/>
    <numFmt numFmtId="181" formatCode="\¥#,##0.00_);[Red]\(\¥#,##0.00\)"/>
    <numFmt numFmtId="182" formatCode="\¥#,##0;[Red]\¥#,##0"/>
    <numFmt numFmtId="183" formatCode="#,##0.00_);[Red]\(#,##0.00\)"/>
    <numFmt numFmtId="184" formatCode="#,##0;[Red]#,##0"/>
    <numFmt numFmtId="185" formatCode="\¥#,##0.000;[Red]\¥#,##0.000"/>
    <numFmt numFmtId="186" formatCode="\¥#,##0_);[Red]\(\¥#,##0\)"/>
    <numFmt numFmtId="187" formatCode="\¥#,##0.0000;[Red]\¥#,##0.0000"/>
    <numFmt numFmtId="188" formatCode="0.000_ "/>
    <numFmt numFmtId="189" formatCode="#,##0_);[Red]\(#,##0\)"/>
    <numFmt numFmtId="190" formatCode="#,##0_);[Red]\(#,##0\)"/>
  </numFmts>
  <fonts count="29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theme="0" tint="-0.0499893185216834"/>
      <name val="黑体"/>
      <charset val="134"/>
    </font>
    <font>
      <sz val="10"/>
      <name val="宋体"/>
      <charset val="134"/>
    </font>
    <font>
      <sz val="10"/>
      <color rgb="FFFF0000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宋体"/>
      <charset val="134"/>
    </font>
    <font>
      <sz val="10"/>
      <name val="Microsoft YaHei Light"/>
      <charset val="134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0" fontId="0" fillId="0" borderId="0"/>
    <xf numFmtId="0" fontId="25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</cellStyleXfs>
  <cellXfs count="10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176" fontId="0" fillId="0" borderId="0" xfId="1" applyNumberFormat="1" applyFont="1" applyAlignment="1"/>
    <xf numFmtId="177" fontId="0" fillId="0" borderId="0" xfId="1" applyNumberFormat="1" applyFont="1" applyAlignment="1"/>
    <xf numFmtId="0" fontId="1" fillId="0" borderId="1" xfId="0" applyFont="1" applyBorder="1" applyAlignment="1">
      <alignment horizontal="center" vertical="center"/>
    </xf>
    <xf numFmtId="176" fontId="1" fillId="0" borderId="1" xfId="1" applyNumberFormat="1" applyFont="1" applyBorder="1" applyAlignment="1">
      <alignment horizontal="center" vertical="center"/>
    </xf>
    <xf numFmtId="0" fontId="0" fillId="0" borderId="1" xfId="0" applyBorder="1"/>
    <xf numFmtId="176" fontId="0" fillId="0" borderId="1" xfId="1" applyNumberFormat="1" applyFont="1" applyBorder="1" applyAlignment="1"/>
    <xf numFmtId="0" fontId="2" fillId="0" borderId="1" xfId="0" applyFont="1" applyBorder="1"/>
    <xf numFmtId="176" fontId="2" fillId="0" borderId="1" xfId="1" applyNumberFormat="1" applyFont="1" applyBorder="1" applyAlignment="1"/>
    <xf numFmtId="177" fontId="1" fillId="0" borderId="1" xfId="1" applyNumberFormat="1" applyFont="1" applyBorder="1" applyAlignment="1">
      <alignment horizontal="center" vertical="center"/>
    </xf>
    <xf numFmtId="177" fontId="0" fillId="0" borderId="1" xfId="1" applyNumberFormat="1" applyFont="1" applyBorder="1" applyAlignment="1"/>
    <xf numFmtId="177" fontId="2" fillId="0" borderId="1" xfId="1" applyNumberFormat="1" applyFont="1" applyBorder="1" applyAlignment="1"/>
    <xf numFmtId="177" fontId="0" fillId="2" borderId="1" xfId="1" applyNumberFormat="1" applyFont="1" applyFill="1" applyBorder="1" applyAlignment="1"/>
    <xf numFmtId="176" fontId="1" fillId="3" borderId="1" xfId="1" applyNumberFormat="1" applyFont="1" applyFill="1" applyBorder="1" applyAlignment="1">
      <alignment horizontal="center" vertical="center"/>
    </xf>
    <xf numFmtId="176" fontId="0" fillId="3" borderId="1" xfId="1" applyNumberFormat="1" applyFont="1" applyFill="1" applyBorder="1" applyAlignment="1"/>
    <xf numFmtId="176" fontId="2" fillId="3" borderId="1" xfId="1" applyNumberFormat="1" applyFont="1" applyFill="1" applyBorder="1" applyAlignment="1"/>
    <xf numFmtId="176" fontId="1" fillId="0" borderId="0" xfId="1" applyNumberFormat="1" applyFont="1" applyAlignment="1">
      <alignment horizontal="center" vertical="center"/>
    </xf>
    <xf numFmtId="176" fontId="2" fillId="0" borderId="1" xfId="1" applyNumberFormat="1" applyFont="1" applyFill="1" applyBorder="1" applyAlignment="1"/>
    <xf numFmtId="176" fontId="0" fillId="0" borderId="1" xfId="1" applyNumberFormat="1" applyFont="1" applyFill="1" applyBorder="1" applyAlignment="1"/>
    <xf numFmtId="177" fontId="2" fillId="0" borderId="1" xfId="1" applyNumberFormat="1" applyFont="1" applyFill="1" applyBorder="1" applyAlignment="1"/>
    <xf numFmtId="177" fontId="0" fillId="0" borderId="1" xfId="1" applyNumberFormat="1" applyFont="1" applyFill="1" applyBorder="1" applyAlignment="1"/>
    <xf numFmtId="0" fontId="0" fillId="0" borderId="0" xfId="0" applyAlignment="1">
      <alignment horizontal="left"/>
    </xf>
    <xf numFmtId="176" fontId="0" fillId="0" borderId="0" xfId="0" applyNumberFormat="1"/>
    <xf numFmtId="0" fontId="0" fillId="4" borderId="0" xfId="0" applyFill="1"/>
    <xf numFmtId="178" fontId="0" fillId="0" borderId="0" xfId="0" applyNumberFormat="1"/>
    <xf numFmtId="0" fontId="3" fillId="5" borderId="1" xfId="57" applyFont="1" applyFill="1" applyBorder="1" applyAlignment="1">
      <alignment horizontal="center" vertical="center"/>
    </xf>
    <xf numFmtId="0" fontId="4" fillId="0" borderId="1" xfId="58" applyFont="1" applyBorder="1" applyAlignment="1">
      <alignment horizontal="left" vertical="center"/>
    </xf>
    <xf numFmtId="0" fontId="4" fillId="0" borderId="1" xfId="60" applyFont="1" applyBorder="1" applyAlignment="1">
      <alignment horizontal="left" vertical="center"/>
    </xf>
    <xf numFmtId="0" fontId="4" fillId="0" borderId="1" xfId="57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59" applyFont="1" applyBorder="1" applyAlignment="1">
      <alignment horizontal="left" vertical="center"/>
    </xf>
    <xf numFmtId="0" fontId="4" fillId="0" borderId="1" xfId="55" applyFont="1" applyBorder="1" applyAlignment="1">
      <alignment horizontal="left" vertical="center"/>
    </xf>
    <xf numFmtId="0" fontId="3" fillId="4" borderId="1" xfId="57" applyFont="1" applyFill="1" applyBorder="1" applyAlignment="1">
      <alignment horizontal="center" vertical="center"/>
    </xf>
    <xf numFmtId="0" fontId="4" fillId="4" borderId="1" xfId="57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60" applyFont="1" applyFill="1" applyBorder="1" applyAlignment="1">
      <alignment horizontal="left" vertical="center"/>
    </xf>
    <xf numFmtId="179" fontId="3" fillId="5" borderId="1" xfId="57" applyNumberFormat="1" applyFont="1" applyFill="1" applyBorder="1" applyAlignment="1">
      <alignment horizontal="center" vertical="center"/>
    </xf>
    <xf numFmtId="179" fontId="4" fillId="0" borderId="1" xfId="57" applyNumberFormat="1" applyFont="1" applyBorder="1" applyAlignment="1">
      <alignment horizontal="left" vertical="center"/>
    </xf>
    <xf numFmtId="176" fontId="4" fillId="0" borderId="1" xfId="61" applyNumberFormat="1" applyFont="1" applyFill="1" applyBorder="1" applyAlignment="1">
      <alignment horizontal="left" vertical="center"/>
    </xf>
    <xf numFmtId="180" fontId="3" fillId="5" borderId="1" xfId="57" applyNumberFormat="1" applyFont="1" applyFill="1" applyBorder="1" applyAlignment="1">
      <alignment horizontal="center" vertical="center"/>
    </xf>
    <xf numFmtId="181" fontId="4" fillId="0" borderId="1" xfId="57" applyNumberFormat="1" applyFont="1" applyBorder="1" applyAlignment="1">
      <alignment horizontal="left" vertical="center"/>
    </xf>
    <xf numFmtId="181" fontId="4" fillId="0" borderId="1" xfId="60" applyNumberFormat="1" applyFont="1" applyBorder="1" applyAlignment="1">
      <alignment horizontal="left" vertical="center"/>
    </xf>
    <xf numFmtId="178" fontId="3" fillId="5" borderId="1" xfId="57" applyNumberFormat="1" applyFont="1" applyFill="1" applyBorder="1" applyAlignment="1">
      <alignment horizontal="center" vertical="center"/>
    </xf>
    <xf numFmtId="176" fontId="3" fillId="5" borderId="1" xfId="1" applyNumberFormat="1" applyFont="1" applyFill="1" applyBorder="1" applyAlignment="1">
      <alignment horizontal="center" vertical="center"/>
    </xf>
    <xf numFmtId="182" fontId="3" fillId="5" borderId="1" xfId="61" applyNumberFormat="1" applyFont="1" applyFill="1" applyBorder="1" applyAlignment="1">
      <alignment horizontal="center" vertical="center"/>
    </xf>
    <xf numFmtId="179" fontId="4" fillId="0" borderId="1" xfId="1" applyNumberFormat="1" applyFont="1" applyFill="1" applyBorder="1" applyAlignment="1">
      <alignment horizontal="left" vertical="center"/>
    </xf>
    <xf numFmtId="179" fontId="4" fillId="0" borderId="1" xfId="61" applyNumberFormat="1" applyFont="1" applyFill="1" applyBorder="1" applyAlignment="1">
      <alignment horizontal="left" vertical="center"/>
    </xf>
    <xf numFmtId="183" fontId="4" fillId="0" borderId="1" xfId="57" applyNumberFormat="1" applyFont="1" applyBorder="1" applyAlignment="1">
      <alignment horizontal="left" vertical="center"/>
    </xf>
    <xf numFmtId="181" fontId="4" fillId="0" borderId="1" xfId="55" applyNumberFormat="1" applyFont="1" applyBorder="1" applyAlignment="1">
      <alignment horizontal="left" vertical="center"/>
    </xf>
    <xf numFmtId="178" fontId="4" fillId="0" borderId="1" xfId="55" applyNumberFormat="1" applyFont="1" applyBorder="1" applyAlignment="1">
      <alignment horizontal="left" vertical="center"/>
    </xf>
    <xf numFmtId="179" fontId="4" fillId="0" borderId="1" xfId="55" applyNumberFormat="1" applyFont="1" applyBorder="1" applyAlignment="1">
      <alignment horizontal="left" vertical="center"/>
    </xf>
    <xf numFmtId="3" fontId="4" fillId="0" borderId="1" xfId="57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14" fontId="4" fillId="0" borderId="1" xfId="57" applyNumberFormat="1" applyFont="1" applyBorder="1" applyAlignment="1">
      <alignment horizontal="left" vertical="center"/>
    </xf>
    <xf numFmtId="184" fontId="3" fillId="5" borderId="1" xfId="0" applyNumberFormat="1" applyFont="1" applyFill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center"/>
    </xf>
    <xf numFmtId="184" fontId="4" fillId="0" borderId="1" xfId="57" applyNumberFormat="1" applyFont="1" applyBorder="1" applyAlignment="1">
      <alignment horizontal="left" vertical="center"/>
    </xf>
    <xf numFmtId="9" fontId="4" fillId="0" borderId="1" xfId="50" applyFont="1" applyFill="1" applyBorder="1" applyAlignment="1">
      <alignment horizontal="left" vertical="center"/>
    </xf>
    <xf numFmtId="14" fontId="4" fillId="0" borderId="1" xfId="55" applyNumberFormat="1" applyFont="1" applyBorder="1" applyAlignment="1">
      <alignment horizontal="left" vertical="center"/>
    </xf>
    <xf numFmtId="9" fontId="3" fillId="5" borderId="1" xfId="3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9" fontId="4" fillId="0" borderId="1" xfId="49" applyFont="1" applyFill="1" applyBorder="1" applyAlignment="1">
      <alignment horizontal="left" vertical="center"/>
    </xf>
    <xf numFmtId="0" fontId="4" fillId="2" borderId="1" xfId="59" applyFont="1" applyFill="1" applyBorder="1" applyAlignment="1">
      <alignment horizontal="left" vertical="center"/>
    </xf>
    <xf numFmtId="178" fontId="4" fillId="0" borderId="1" xfId="57" applyNumberFormat="1" applyFont="1" applyBorder="1" applyAlignment="1">
      <alignment horizontal="left" vertical="center"/>
    </xf>
    <xf numFmtId="9" fontId="4" fillId="0" borderId="1" xfId="60" applyNumberFormat="1" applyFont="1" applyBorder="1" applyAlignment="1">
      <alignment horizontal="left" vertical="center"/>
    </xf>
    <xf numFmtId="0" fontId="4" fillId="4" borderId="1" xfId="54" applyFont="1" applyFill="1" applyBorder="1" applyAlignment="1">
      <alignment horizontal="left" vertical="center"/>
    </xf>
    <xf numFmtId="0" fontId="4" fillId="0" borderId="1" xfId="54" applyFont="1" applyBorder="1" applyAlignment="1">
      <alignment horizontal="left" vertical="center"/>
    </xf>
    <xf numFmtId="178" fontId="4" fillId="0" borderId="1" xfId="0" applyNumberFormat="1" applyFont="1" applyBorder="1" applyAlignment="1">
      <alignment horizontal="left"/>
    </xf>
    <xf numFmtId="185" fontId="4" fillId="0" borderId="1" xfId="0" applyNumberFormat="1" applyFont="1" applyBorder="1" applyAlignment="1">
      <alignment horizontal="left"/>
    </xf>
    <xf numFmtId="0" fontId="4" fillId="0" borderId="1" xfId="52" applyFont="1" applyBorder="1" applyAlignment="1">
      <alignment horizontal="left" vertical="center"/>
    </xf>
    <xf numFmtId="179" fontId="4" fillId="0" borderId="1" xfId="54" applyNumberFormat="1" applyFont="1" applyBorder="1" applyAlignment="1">
      <alignment horizontal="left" vertical="center"/>
    </xf>
    <xf numFmtId="181" fontId="4" fillId="0" borderId="1" xfId="54" applyNumberFormat="1" applyFont="1" applyBorder="1" applyAlignment="1">
      <alignment horizontal="left" vertical="center"/>
    </xf>
    <xf numFmtId="186" fontId="4" fillId="0" borderId="1" xfId="61" applyNumberFormat="1" applyFont="1" applyFill="1" applyBorder="1" applyAlignment="1">
      <alignment horizontal="left" vertical="center"/>
    </xf>
    <xf numFmtId="176" fontId="4" fillId="0" borderId="1" xfId="1" applyNumberFormat="1" applyFont="1" applyFill="1" applyBorder="1" applyAlignment="1">
      <alignment horizontal="left" vertical="center"/>
    </xf>
    <xf numFmtId="179" fontId="4" fillId="0" borderId="1" xfId="0" applyNumberFormat="1" applyFont="1" applyBorder="1" applyAlignment="1">
      <alignment horizontal="left" vertical="center"/>
    </xf>
    <xf numFmtId="179" fontId="4" fillId="0" borderId="1" xfId="0" applyNumberFormat="1" applyFont="1" applyBorder="1" applyAlignment="1">
      <alignment horizontal="left"/>
    </xf>
    <xf numFmtId="14" fontId="4" fillId="0" borderId="1" xfId="0" applyNumberFormat="1" applyFont="1" applyBorder="1" applyAlignment="1">
      <alignment horizontal="left" vertical="center"/>
    </xf>
    <xf numFmtId="181" fontId="4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57" applyFont="1" applyBorder="1" applyAlignment="1">
      <alignment horizontal="left" vertical="center"/>
    </xf>
    <xf numFmtId="0" fontId="5" fillId="4" borderId="1" xfId="57" applyFont="1" applyFill="1" applyBorder="1" applyAlignment="1">
      <alignment horizontal="left" vertical="center"/>
    </xf>
    <xf numFmtId="0" fontId="5" fillId="0" borderId="1" xfId="52" applyFont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181" fontId="5" fillId="0" borderId="1" xfId="57" applyNumberFormat="1" applyFont="1" applyBorder="1" applyAlignment="1">
      <alignment horizontal="left" vertical="center"/>
    </xf>
    <xf numFmtId="179" fontId="5" fillId="0" borderId="1" xfId="61" applyNumberFormat="1" applyFont="1" applyFill="1" applyBorder="1" applyAlignment="1">
      <alignment horizontal="left" vertical="center"/>
    </xf>
    <xf numFmtId="187" fontId="4" fillId="0" borderId="1" xfId="57" applyNumberFormat="1" applyFont="1" applyBorder="1" applyAlignment="1">
      <alignment horizontal="left" vertical="center"/>
    </xf>
    <xf numFmtId="185" fontId="4" fillId="0" borderId="1" xfId="57" applyNumberFormat="1" applyFont="1" applyBorder="1" applyAlignment="1">
      <alignment horizontal="left" vertical="center"/>
    </xf>
    <xf numFmtId="179" fontId="4" fillId="2" borderId="1" xfId="61" applyNumberFormat="1" applyFont="1" applyFill="1" applyBorder="1" applyAlignment="1">
      <alignment horizontal="left" vertical="center"/>
    </xf>
    <xf numFmtId="186" fontId="4" fillId="0" borderId="1" xfId="62" applyNumberFormat="1" applyFont="1" applyFill="1" applyBorder="1" applyAlignment="1">
      <alignment horizontal="left" vertical="center"/>
    </xf>
    <xf numFmtId="188" fontId="4" fillId="0" borderId="1" xfId="57" applyNumberFormat="1" applyFont="1" applyBorder="1" applyAlignment="1">
      <alignment horizontal="left" vertical="center"/>
    </xf>
    <xf numFmtId="0" fontId="4" fillId="4" borderId="1" xfId="58" applyFont="1" applyFill="1" applyBorder="1" applyAlignment="1">
      <alignment horizontal="left" vertical="center"/>
    </xf>
    <xf numFmtId="176" fontId="5" fillId="0" borderId="1" xfId="61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4" fillId="0" borderId="1" xfId="58" applyFont="1" applyBorder="1" applyAlignment="1">
      <alignment horizontal="left" vertical="top"/>
    </xf>
    <xf numFmtId="179" fontId="5" fillId="0" borderId="1" xfId="57" applyNumberFormat="1" applyFont="1" applyBorder="1" applyAlignment="1">
      <alignment horizontal="left" vertical="center"/>
    </xf>
    <xf numFmtId="185" fontId="5" fillId="0" borderId="1" xfId="57" applyNumberFormat="1" applyFont="1" applyBorder="1" applyAlignment="1">
      <alignment horizontal="left" vertical="center"/>
    </xf>
    <xf numFmtId="186" fontId="5" fillId="0" borderId="1" xfId="61" applyNumberFormat="1" applyFont="1" applyFill="1" applyBorder="1" applyAlignment="1">
      <alignment horizontal="left" vertical="center"/>
    </xf>
    <xf numFmtId="176" fontId="4" fillId="2" borderId="1" xfId="61" applyNumberFormat="1" applyFont="1" applyFill="1" applyBorder="1" applyAlignment="1">
      <alignment horizontal="left" vertical="center"/>
    </xf>
    <xf numFmtId="184" fontId="5" fillId="0" borderId="1" xfId="57" applyNumberFormat="1" applyFont="1" applyBorder="1" applyAlignment="1">
      <alignment horizontal="left" vertical="center"/>
    </xf>
    <xf numFmtId="14" fontId="5" fillId="0" borderId="1" xfId="57" applyNumberFormat="1" applyFont="1" applyBorder="1" applyAlignment="1">
      <alignment horizontal="left" vertical="center"/>
    </xf>
    <xf numFmtId="9" fontId="5" fillId="0" borderId="1" xfId="49" applyFont="1" applyFill="1" applyBorder="1" applyAlignment="1">
      <alignment horizontal="left" vertical="center"/>
    </xf>
    <xf numFmtId="0" fontId="4" fillId="2" borderId="1" xfId="57" applyFont="1" applyFill="1" applyBorder="1" applyAlignment="1">
      <alignment horizontal="left" vertical="center"/>
    </xf>
    <xf numFmtId="0" fontId="0" fillId="4" borderId="1" xfId="0" applyFill="1" applyBorder="1"/>
    <xf numFmtId="178" fontId="0" fillId="0" borderId="1" xfId="0" applyNumberFormat="1" applyBorder="1"/>
    <xf numFmtId="14" fontId="0" fillId="0" borderId="0" xfId="0" applyNumberFormat="1"/>
  </cellXfs>
  <cellStyles count="6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 2" xfId="49"/>
    <cellStyle name="百分比 3 2" xfId="50"/>
    <cellStyle name="常规 12" xfId="51"/>
    <cellStyle name="常规 2" xfId="52"/>
    <cellStyle name="常规 2 10" xfId="53"/>
    <cellStyle name="常规 2 2 2 2" xfId="54"/>
    <cellStyle name="常规 2 3 2 2" xfId="55"/>
    <cellStyle name="常规 2 4 2" xfId="56"/>
    <cellStyle name="常规 2 4 2 2" xfId="57"/>
    <cellStyle name="常规 7" xfId="58"/>
    <cellStyle name="常规 7 2" xfId="59"/>
    <cellStyle name="常规 8 2" xfId="60"/>
    <cellStyle name="千位分隔 2" xfId="61"/>
    <cellStyle name="千位分隔 4 2" xfId="62"/>
  </cellStyles>
  <dxfs count="5">
    <dxf>
      <numFmt numFmtId="14" formatCode="yyyy/m/d"/>
    </dxf>
    <dxf>
      <numFmt numFmtId="14" formatCode="yyyy/m/d"/>
    </dxf>
    <dxf>
      <numFmt numFmtId="14" formatCode="yyyy/m/d"/>
    </dxf>
    <dxf>
      <numFmt numFmtId="14" formatCode="yyyy/m/d"/>
    </dxf>
    <dxf>
      <numFmt numFmtId="14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821.7452726852" refreshedBy="Zhenrong Zhang(张珍荣_MM)" recordCount="203">
  <cacheSource type="worksheet">
    <worksheetSource ref="A1:Z204" sheet="Sheet4"/>
  </cacheSource>
  <cacheFields count="26">
    <cacheField name="产品型号" numFmtId="0"/>
    <cacheField name="生产料号" numFmtId="0"/>
    <cacheField name="档位" numFmtId="176"/>
    <cacheField name="年预测销售额" numFmtId="176"/>
    <cacheField name="数量合计" numFmtId="176"/>
    <cacheField name="单价" numFmtId="177"/>
    <cacheField name="6月预测" numFmtId="176"/>
    <cacheField name="7月预测" numFmtId="176"/>
    <cacheField name="8月预测" numFmtId="176"/>
    <cacheField name="9月预测" numFmtId="176"/>
    <cacheField name="10月预测" numFmtId="176"/>
    <cacheField name="11月预测" numFmtId="176"/>
    <cacheField name="12月预测" numFmtId="176"/>
    <cacheField name="1月出货" numFmtId="176"/>
    <cacheField name="2月出货" numFmtId="176"/>
    <cacheField name="3月出货" numFmtId="176"/>
    <cacheField name="4月出货" numFmtId="176"/>
    <cacheField name="5月出货" numFmtId="176"/>
    <cacheField name="产品线" numFmtId="176">
      <sharedItems containsNumber="1" containsInteger="1" containsMixedTypes="1" count="9">
        <s v="电流传感器"/>
        <s v="电机驱动"/>
        <s v="磁性位置传感器"/>
        <s v="角度传感器"/>
        <s v="电机编码器"/>
        <s v="速度传感器"/>
        <n v="0"/>
        <s v="电源管理"/>
        <s v="磁性电机编码器"/>
      </sharedItems>
    </cacheField>
    <cacheField name="6月预测2" numFmtId="176"/>
    <cacheField name="7月预测2" numFmtId="176"/>
    <cacheField name="8月预测2" numFmtId="176"/>
    <cacheField name="9月预测2" numFmtId="176"/>
    <cacheField name="10月预测2" numFmtId="176"/>
    <cacheField name="11月预测2" numFmtId="176"/>
    <cacheField name="12月预测2" numFmtId="176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821.7512188657" refreshedBy="Zhenrong Zhang(张珍荣_MM)" recordCount="601">
  <cacheSource type="worksheet">
    <worksheetSource ref="A1:BS602" sheet="预测"/>
  </cacheSource>
  <cacheFields count="71">
    <cacheField name="序号" numFmtId="0"/>
    <cacheField name="客户" numFmtId="0"/>
    <cacheField name="等级" numFmtId="0">
      <sharedItems count="3">
        <s v="一般客户"/>
        <s v="重要客户"/>
        <s v="战略客户"/>
      </sharedItems>
    </cacheField>
    <cacheField name="代理商" numFmtId="0"/>
    <cacheField name="TMS销售" numFmtId="0"/>
    <cacheField name="代理销售" numFmtId="0"/>
    <cacheField name="产品型号" numFmtId="0">
      <sharedItems containsBlank="1" containsNumber="1" containsInteger="1" containsMixedTypes="1" count="187">
        <s v="SC4643VB-BK-Q"/>
        <s v="SC4643VB-G-BK-Q"/>
        <s v="SC4616UA-10.2NF-BK"/>
        <s v="SPD3242"/>
        <s v="SC69401DC-TR-Q"/>
        <s v="SC2498TSO-TR-Q"/>
        <s v="SC2498SO-TR-Q"/>
        <s v="SC2442SO-TR-Q"/>
        <s v="ZH6338"/>
        <s v="SC2438SO-TR"/>
        <s v="SC2434SO-N-TR"/>
        <s v="SC2402SO-N-TR"/>
        <s v="SC2064SO-TR"/>
        <s v="SC2402UA-BK"/>
        <s v="SC2498CUA-N-BK-Q"/>
        <s v="SC2448SO-TR-Q"/>
        <s v="SC2063SO-TR"/>
        <s v="SC2462SO-TR"/>
        <s v="SC2498UA-N-BK-Q"/>
        <s v="SC2448UA-N-BK-Q"/>
        <s v="ZH6531"/>
        <s v="SC2466SO-TR"/>
        <s v="SC2432SO-N-TR"/>
        <s v="SC1134SO-N-TR"/>
        <s v="SC1138SO-N-TR-Q"/>
        <s v="SC1134UA-BK"/>
        <s v="SC2442UA-BK"/>
        <s v="SC2443SO-TR-Q"/>
        <s v="SC1245SO-N-TR"/>
        <s v="SC4001SE-TR"/>
        <s v="SC2442SO-N-TR"/>
        <s v="SC4688DC-TR"/>
        <s v="SC4688DC-TR-Q"/>
        <s v="SC4645VB-BK"/>
        <s v="SC9621VB-BK"/>
        <s v="SC9675IM-TR-Q"/>
        <s v="SC9314UA-BK"/>
        <s v="SC9625VB-BK"/>
        <s v="SC9675IM-HRF001-TR-Q"/>
        <s v="SC9675IM-HRF00-TR-Q"/>
        <s v="SC9675IM-LRF01-TR-Q"/>
        <s v="SC2462SO-TR-Q"/>
        <s v="SC2432SO-TR-Q"/>
        <s v="SC1134SO-N-TR-Q"/>
        <s v="SC2436SO-TR-Q"/>
        <s v="SC69401DC-SPI-TR-Q"/>
        <s v="SC2438SO-TR-Q"/>
        <s v="SC4019S7-BK"/>
        <s v="SC4643VB-S-TR-Q"/>
        <s v="SC4643VB-P-TR-Q"/>
        <s v="SC4643VB-P-BK-Q"/>
        <s v="SC4643VB-S-BK-Q"/>
        <s v="SC4688SA-BK-Q"/>
        <s v="SC9314UA-BK-Q"/>
        <s v="SC9625VB-TR"/>
        <s v="SC9675T3-TR-Q"/>
        <s v="SC9642TS-EC-TR-Q"/>
        <s v="SC69401HS-SPI-TR-Q"/>
        <s v="SC9641TS-P-TR"/>
        <s v="SC9642TS-E-TR-Q"/>
        <s v="SC9621VB-TR-Q"/>
        <s v="SC9685TS-RP120-TR-Q"/>
        <s v="SC9641TS-P-TR-Q"/>
        <s v="VE2430QI-33-TR-Q"/>
        <s v="SC2442SO-N-TR-Q"/>
        <s v="SC4643SA-BK-Q"/>
        <s v="SC4643SA-HBL-BK-Q"/>
        <s v="SC4643SA-S-TR-Q"/>
        <s v="SC9641TS-PC-TR-Q"/>
        <s v="SC9642TS-TR-Q"/>
        <s v="SC9641TS-TR-Q"/>
        <s v="SC2443UA-BK-Q"/>
        <s v="SC2242SO-TR-Q"/>
        <s v="SC243XUA-BK"/>
        <s v="SC9683TS-TR-Q"/>
        <s v="SC4689SA-BK-Q"/>
        <s v="SC9648TS-TR"/>
        <s v="SC69401HS-TR-Q"/>
        <s v="SC69401DC-TR"/>
        <s v="SC9684TS-TR-Q"/>
        <s v="SC2442SO-TR"/>
        <s v="SC9675IM-HRF11-TR-Q"/>
        <s v="SC69401HS-TR"/>
        <s v="SC9642TS-E-TR"/>
        <m/>
        <s v="VE8602AKR"/>
        <s v="VE8602A5R"/>
        <s v="SC4104SE-TR"/>
        <s v="SC4011DN"/>
        <s v="SC60224"/>
        <s v="SC2462UA-BK"/>
        <s v="SC4251D3-TR"/>
        <s v="SC60221-D-256"/>
        <s v="SC2242UA-BK-Q"/>
        <s v="SC2442UA-BK-Q"/>
        <s v="SC60221-D-50"/>
        <s v="SC4103DN"/>
        <s v="SC1134BU-TR"/>
        <s v="SC1133UA-BK"/>
        <s v="SC2202SO-N-TR"/>
        <s v="SC4002SO"/>
        <s v="SC4011SO"/>
        <s v="SC1445A1"/>
        <s v="SC2438UA-BK"/>
        <s v="SC2464SO-TR"/>
        <s v="SC4101DN-TR"/>
        <s v="SC4002SO-N-TR"/>
        <s v="SC4011SO-N-TR"/>
        <s v="SC4123SO-N-TR"/>
        <s v="ZH619DC-TR"/>
        <s v="SC4019SO-N-TR"/>
        <s v="SC4923SO-N-TR"/>
        <s v="SC4391S6-TR"/>
        <s v="SC4823S6-TR"/>
        <s v="SC4015SO-N-A-TR"/>
        <s v="SC4015SO-N-TR"/>
        <s v="STC4011B-DS"/>
        <s v="SC2242UA-BK"/>
        <s v="SC1245A3-BK"/>
        <s v="SC2546VB-AB-BK"/>
        <s v="SC60228DC-TR"/>
        <s v="SC4101DN"/>
        <s v="SC1645A1-BK"/>
        <s v="SC1645B1-BK"/>
        <s v="SC1945B1-BK"/>
        <s v="SC1845S1-BK"/>
        <s v="SC1845F1-BK"/>
        <s v="SC1845A1-BK"/>
        <s v="SC1845A2-BK"/>
        <s v="SC1002S1-BK"/>
        <s v="SC1002N1-BK"/>
        <s v="SC2436UA-BK"/>
        <s v="SC2948S2-BK"/>
        <s v="SC2968S1-N-BK"/>
        <s v="SC2432UA-BK"/>
        <s v="SC4616BU"/>
        <s v="VE1430Q1CA3R5"/>
        <s v="SC2455SO-TR-Q"/>
        <s v="SC2436SO-TR"/>
        <s v="SC60370"/>
        <s v="SC4002UA-BK"/>
        <s v="SC60224DC-TB"/>
        <s v="SL54123ADC-TR"/>
        <s v="SD477VB-BK"/>
        <s v="SD2276VB-BK"/>
        <s v="SD211VB-BK"/>
        <s v="SC2063UA-BK"/>
        <s v="SC1134B1-BK"/>
        <s v="SL002147DC-TR"/>
        <s v="PFD1014A"/>
        <s v="PSTC9G001C"/>
        <s v="SC9632VB-BK"/>
        <s v="SC2942SO-TR-Q"/>
        <s v="SC2413SO-N-TR"/>
        <s v="ZH6200"/>
        <s v="SC2527S6-SD-TR-Q"/>
        <s v="SC25271S06"/>
        <s v="SC243XSO-TR-Q"/>
        <s v="SC4624SP20B5"/>
        <s v="SC9675IM-LRF00-TR-Q"/>
        <s v="SC2527S6-AB-TR-Q"/>
        <s v="VE1430Q1VA3RADJ"/>
        <s v="VE8600EC-TR"/>
        <s v="SC2432UA-BK-Q"/>
        <s v="SC4002BU-TR"/>
        <s v="SC1919SO-N-Q"/>
        <s v="SC1945A1-BK"/>
        <s v="SC2443SO-H-TR-Q"/>
        <s v="SC25891CUA-A-Q"/>
        <s v="SC2432SO-N-TR-Q"/>
        <s v="新料（低功耗）"/>
        <s v="VE1430Q1CA3R33"/>
        <s v="SC4624DC-20A-TR"/>
        <s v="SC2434SO-TR"/>
        <s v="VE1430Q1BA3R5"/>
        <s v="SC2943SO-TR-Q"/>
        <n v="3100"/>
        <s v="SC4665VB-BK"/>
        <s v="SC25791SE-TR-Q"/>
        <s v="SC25791CUA-A-Q"/>
        <s v="SC2473S5-TR"/>
        <s v="SC2452SO-TR-Q"/>
        <s v="SC2432SO-TR"/>
        <s v="SC2448SO-H-TR-Q"/>
        <s v="SC2569X"/>
        <s v="SC60104"/>
        <s v="SC60226SS-TB"/>
      </sharedItems>
    </cacheField>
    <cacheField name="生产料号" numFmtId="0">
      <sharedItems containsBlank="1" count="196">
        <s v="SC4643VB-Q-DE-40CK-4643"/>
        <s v="SC4643VB-G-Q-DE-40CK-4643"/>
        <s v="SC4616UA-10.2NF-CD-90AK-4616"/>
        <s v="SPD3242(STC35301)"/>
        <s v="SC69401DC-Q-HD-4XCR-69401"/>
        <s v="SC2498TSO-Q-CC-10CR-2498T"/>
        <s v="SC2498SO-Q-DB-60CR-2498"/>
        <s v="SC2442SO-Q-DB-60CR-2442"/>
        <s v="ZH6338"/>
        <s v="SC2438SO-CM-10CR-2438"/>
        <s v="SC2434SO-N-CI-10CR-2434"/>
        <s v="SC2402SO-N-CJ-00NR-2402"/>
        <s v="SC2064SO-GC-00NR-2064"/>
        <s v="SC2402UA-CJ-90AK-2402"/>
        <s v="SC4643VB-Q-DE-40CK-FFH-L43"/>
        <s v="SC4643VB-Q-DE-40CR-FFH-L43"/>
        <s v="SC2498CUA-N-Q-DB-60AK-2498C"/>
        <s v="SC2448SO-Q-DB-40CR-2448"/>
        <s v="SC2063SO-GC-00NR-2063"/>
        <s v="SC2462SO-CJ-10CR-2462"/>
        <s v="SC2498UA-N-Q-DB-60AK-2498"/>
        <s v="SC2448UA-N-Q-DB-60AK-2448"/>
        <s v="ZH6531"/>
        <s v="SC2466SO-CO-10CR-2466"/>
        <s v="SC2432SO-N-CI-10CR-2432"/>
        <s v="SC1134SO-N-CF-00LR-1134"/>
        <s v="SC1138SO-N-Q-CC-00LR-1138"/>
        <s v="SC1134UA-CI-00AK-1134"/>
        <s v="SC2442UA-CP-10AK-U18"/>
        <s v="SC2443SO-Q-DB-60CR-2443"/>
        <s v="SC1245SO-N-CD-00NR-1245"/>
        <m/>
        <s v="SC4001SE-CB-90CR-4001"/>
        <s v="SC2442SO-N-CP-10CR-2442"/>
        <s v="SC4688DC-DC-40AR-2425"/>
        <s v="SC4688DC-Q-DC-40CR-4688"/>
        <s v="SC4645VB-DF-00CK-4645"/>
        <s v="SC9621VB-CF-00CK-9621"/>
        <s v="SC9675IM-Q-AB-4XAR-9675"/>
        <s v="SC9314UA-CF-0XAK-9201L"/>
        <s v="SC9625VB-CE-00CK-9625L"/>
        <s v="SC9675IM-HRF00-Q-AB-4XAR-9675"/>
        <s v="SC9675IM-LRF01-Q-AB-4XAR-9675"/>
        <s v="SC2462SO-Q-CJ-10CR-2462"/>
        <s v="SC2432SO-Q-CM-10CR-2432"/>
        <s v="SC1134SO-N-Q-CI-00LR-1134"/>
        <s v="SC2436SO-CM-10CR-2436"/>
        <s v="SC69401DC-SPI-Q-HD-4XCR-69401"/>
        <s v="SC2438SO-Q-CM-10CR-2438"/>
        <s v="SC4019S7-CC-90AK-49E"/>
        <s v="SC4643VB-S-Q-DE-40CR-4643"/>
        <s v="SC4643VB-P-Q-DE-40CR-4643"/>
        <s v="SC4643VB-P-Q-DE-40CK-4643"/>
        <s v="SC4643VB-S-Q-DE-40CK-4643"/>
        <s v="SC4688SA-Q-DC-40CK-4688"/>
        <s v="SC9314UA-Q-CF-0XAK-94M"/>
        <s v="SC9625VB-CE-00CR-9625L"/>
        <s v="SC9675T3-Q-AB-4XAR-9675"/>
        <s v="SC9642TS-EC-Q-AH-4XLR-9642"/>
        <s v="SC69401HS-SPI-Q-HD-4XTR-69401"/>
        <s v="SC9641TS-P-AI-10LR-41CPA"/>
        <s v="SC9642TS-E-Q-AH-4XLR-9642"/>
        <s v="SC9621VB-Q-CN-4XCR-9621"/>
        <s v="SC9314UA-CF-0XAK-94M"/>
        <s v="SC9685TS-RP120-Q-DB-46AR-96852"/>
        <s v="SC9642TS-E362-Q-AH-4XLR-9642"/>
        <s v="SC9641TS-P-Q-AI-10LR-9641P"/>
        <s v="SC2442SO-N-Q-DB-60CR-2442"/>
        <s v="SC4643SA-Q-DE-40HK-2100"/>
        <s v="SC4643SA-HBL-Q-DE-40HK-2100"/>
        <s v="SC4643SA-S-Q-DE-40HR-2100"/>
        <s v="SC9641TS-PC-Q-AI-10LR-9641PC"/>
        <s v="SC9642TS-Q-AG-4XHK-9642"/>
        <s v="SC9641TS-Q-CB-10LR-9641"/>
        <s v="SC2443UA-Q-DB-60AK-2443"/>
        <s v="SC2242SO-Q-CH-10CR-2642"/>
        <s v="SC9683TS-Q-DB-4XAR-9683"/>
        <s v="SC4689SA-Q-DF-40CK-4689"/>
        <s v="SC9648TS-AI-10AR-9648"/>
        <s v="SC9641TS-362-Q-CB-10LR-9641"/>
        <s v="SC69401HS-Q-HD-4XTR-69401"/>
        <s v="SC69401DC-HD-4XCR-69401"/>
        <s v="SC2442UA-CP-10AK-2442"/>
        <s v="SC9684TS-Q-DB-4XAR-9684"/>
        <s v="SC2442SO-CR-10CR-2442"/>
        <s v="SC2402SO-N-GA-00NR-2402"/>
        <s v="SC9675IM-HRF11-Q-AB-4XAR-9675"/>
        <s v="SC69401HS-HD-4XTR-69401"/>
        <s v="SC9642TS-E-AH-4XLR-9642"/>
        <s v="VE8602AKR-8602"/>
        <s v="TRVE8602A5R-8602"/>
        <s v="SC4104SE-GB-00LR-4104"/>
        <s v="SC2402UA-GB-0XAK-2402"/>
        <s v="SC4011DN-4011"/>
        <s v="SC2242SO-Q-CH-10CR-2242"/>
        <s v="NM.SC1134UA-CI-00AK"/>
        <s v="SC2462UA-CJ-10AK-2462"/>
        <s v="SC4251D3-GA-00FR-4251"/>
        <s v="SC60221-D-256"/>
        <s v="SC2242UA-Q-CH-10AK-2242"/>
        <s v="SC2442UA-Q-DB-60AK-2442"/>
        <s v="SC60221-D-50"/>
        <s v="SC4103DN(STC11201B1)-4103"/>
        <s v="SC1134BU-CI-00AR-1134"/>
        <s v="SC1133UA-CJ-00AK-1133"/>
        <s v="SC2202SO-N-CE-00NR-2202"/>
        <s v="SC1445A1-41F"/>
        <s v="SC2438UA-CI-10AK-2438"/>
        <s v="SC2464SO-CJ-10CR-2464"/>
        <s v="SC4923SO-N-CD-00NR-4923"/>
        <s v="SC4391S6-GB-00NR-4391"/>
        <s v="SC4823S6-GA-00NR-4823"/>
        <s v="SC4015SO-N-A-CE-90NR-4015"/>
        <s v="SC4015SO-N-CE-90NR-CY19"/>
        <s v="STC4011B-DS"/>
        <s v="SC2242UA-CE-00AK-2242"/>
        <s v="SC1245A3-CD-00CK-41F"/>
        <s v="SC2546VB-AB-DA-00AK-2546"/>
        <s v="SC4015SO-N-CE-90NR-G01M"/>
        <s v="SC60228DC-DC-00AR-60228"/>
        <s v="SC1645A1-AI-00HK-4601H"/>
        <s v="SC1645B1-AE-00HK-4601"/>
        <s v="SC1945B1-AJ-00HK-N603"/>
        <s v="SC4011SO-N-CB-90NR-49E"/>
        <s v="SC1845S1-AI-00AK-41F"/>
        <s v="SC1845S1-AI-00AK-S41H"/>
        <s v="SC1845F1-AI-00HK-41F"/>
        <s v="SC1845F1-AI-00HK-S41H"/>
        <s v="SC1002N1-CL-00HK-42N"/>
        <s v="SC1134UA-CI-00AK-43F"/>
        <s v="SC2402UA-GB-0XAK-U18"/>
        <s v="SC2402SO-N-CJ-00NR-6571"/>
        <s v="SC2436UA-CI-10AK-6210"/>
        <s v="SC2948S2-DB-60AK-61H"/>
        <s v="SC2968S1-N-DC-4XAK-S21C"/>
        <s v="SC2432UA-CI-10AK-6232"/>
        <s v="SC2462UA-CJ-10AK-6472"/>
        <s v="SC4616BU-4616"/>
        <s v="TRVE1430Q1CA3R5-1430Q"/>
        <s v="SC2455SO-Q-CK-10CR-2455"/>
        <s v="SC4688SA-Q-DC-40CK-888K"/>
        <s v="SC60370(STC9D05C)-60370"/>
        <s v="SC2442SO-N-Q-CP-10CR-2662"/>
        <s v="SC4002UA-CA-00AK-95A"/>
        <s v="SL54123ADC-GB-00AR-54123A"/>
        <s v="SD477VB-GC-90AK-477S"/>
        <s v="SD2276VB-CA-90AK-276"/>
        <s v="SD211VB-CA-90AK-211"/>
        <s v="SC4002UA-CA-00AK-4002"/>
        <s v="SC2063UA-GC-00AK-2063"/>
        <s v="SC1134B1-CI-00HK-43F"/>
        <s v="SD477VB-GC-90AK-KH477"/>
        <s v="SD2276VB-CA-90AK-KH276"/>
        <s v="SD211VB-CA-90AK-KH211"/>
        <s v="SL002147DC-GB-00AR-2147"/>
        <s v="SC2402UA-GB-00AK-177"/>
        <s v="SC9314UA-CF-0XAK-17CA"/>
        <s v="PFD1014A"/>
        <s v="PSTC9G001C"/>
        <s v="SC9632VB-CE-00CK-9632"/>
        <s v="SC2413SO-N-CD-00LR-44E"/>
        <s v="SC2527S6-SD-Q-DA-40CR-2527"/>
        <s v="SC243XSO-Q-CM-10CR-243X"/>
        <s v="SC2527S6-AB-Q-DA-40CR-2527"/>
        <s v="SC4002BU-CA-00CR-4002"/>
        <s v="SC1645A1-AI-00HK-1466"/>
        <s v="SC1645A1-AI-00HK-65HA"/>
        <s v="SC1645A1-AI-00HK-615HA"/>
        <s v="SC1945A1-AJ-00HK-N13"/>
        <s v="SC2443SO-H-Q-DB-60AR-2443H"/>
        <s v="SC25891CUA-A-Q(STC11210G-Q)-25891C"/>
        <s v="SC2432SO-N-Q-CI-10CR-2432"/>
        <s v="TRVE1430Q1CA3R33(VA2201D)-1430Q"/>
        <s v="SC2434SO-CM-10CR-2434"/>
        <s v="TRVE1430Q1VA3RADJ(VA2201E)-1430Q"/>
        <s v="TRVE1430Q1BA3R5(VA2201D)-1430Q"/>
        <s v="SC2943SO-Q-DB-60CR-2943"/>
        <s v="3100-3100"/>
        <s v="SC4643SA-Q-DE-40CK-4643"/>
        <s v="SC4665VB-HB-33CK-4665"/>
        <s v="SC25791SE-Q-CG-40CR-5791"/>
        <s v="SC25791CUA-A(STC11210G-Q)-25791C"/>
        <s v="SC2432SO-CM-10CR-2432"/>
        <s v="SC2448SO-H-Q-DB-60AR-2448H"/>
        <s v="SC1134UA-CI-00AK-44E"/>
        <s v="NM.SC60104"/>
        <s v="NA.SC60226SS-DC"/>
        <s v="SC60228DC-DC-00AR-NM"/>
        <s v="SC2443SO-Q-CT-10CR-2443" u="1"/>
        <s v="SC9641TS-P362-Q-AI-10AR-9641P" u="1"/>
        <s v="SC2443UA-Q-CW-10HK-2443" u="1"/>
        <s v="SC4688DC-Q-DC-40AR-4688" u="1"/>
        <s v="SC1134BU-CI-00CR-1134" u="1"/>
        <s v="SC2968S1-N-DC-00AK-S21C" u="1"/>
        <s v="SC4688DC-Q-DC-40AR-6388" u="1"/>
        <s v="SC1134B1(STC1898AJ)-43F" u="1"/>
      </sharedItems>
    </cacheField>
    <cacheField name="丝印" numFmtId="0"/>
    <cacheField name="档位" numFmtId="0">
      <sharedItems containsBlank="1" count="9">
        <m/>
        <s v="A"/>
        <s v="无"/>
        <s v="H/L"/>
        <s v="GTA-A"/>
        <s v="上华"/>
        <s v="B"/>
        <s v="GTA"/>
        <s v="CSMC"/>
      </sharedItems>
    </cacheField>
    <cacheField name="应用简介" numFmtId="0"/>
    <cacheField name="年TAM" numFmtId="0"/>
    <cacheField name="阶段" numFmtId="0"/>
    <cacheField name="Action" numFmtId="0"/>
    <cacheField name="竞品型号" numFmtId="0"/>
    <cacheField name="竞品价格" numFmtId="0"/>
    <cacheField name="单价" numFmtId="0"/>
    <cacheField name="年预测销售额" numFmtId="190"/>
    <cacheField name="目前销售额" numFmtId="0"/>
    <cacheField name="年度预测" numFmtId="190"/>
    <cacheField name="1月预测" numFmtId="0"/>
    <cacheField name="2月预测" numFmtId="0"/>
    <cacheField name="3月预测" numFmtId="0"/>
    <cacheField name="4月预测" numFmtId="0"/>
    <cacheField name="5月预测" numFmtId="0"/>
    <cacheField name="6月预测" numFmtId="0"/>
    <cacheField name="7月预测" numFmtId="0"/>
    <cacheField name="8月预测" numFmtId="0"/>
    <cacheField name="9月预测" numFmtId="0"/>
    <cacheField name="10月预测" numFmtId="0"/>
    <cacheField name="11月预测" numFmtId="0"/>
    <cacheField name="12月预测" numFmtId="0"/>
    <cacheField name="1月实际" numFmtId="0"/>
    <cacheField name="2月实际" numFmtId="0"/>
    <cacheField name="3月实际" numFmtId="0"/>
    <cacheField name="4月实际" numFmtId="0"/>
    <cacheField name="5月实际" numFmtId="0"/>
    <cacheField name="6月实际" numFmtId="0"/>
    <cacheField name="7月实际" numFmtId="0"/>
    <cacheField name="8月实际" numFmtId="0"/>
    <cacheField name="9月实际" numFmtId="0"/>
    <cacheField name="10月实际" numFmtId="0"/>
    <cacheField name="11月实际" numFmtId="0"/>
    <cacheField name="12月实际" numFmtId="0"/>
    <cacheField name="PMM" numFmtId="0"/>
    <cacheField name="销售部" numFmtId="0">
      <sharedItems count="4">
        <s v="2部"/>
        <s v="1部"/>
        <s v="3部"/>
        <s v="其他"/>
      </sharedItems>
    </cacheField>
    <cacheField name="产品线" numFmtId="0"/>
    <cacheField name="应用一级" numFmtId="0"/>
    <cacheField name="应用二级" numFmtId="0"/>
    <cacheField name="应用三级" numFmtId="0"/>
    <cacheField name="应用四级" numFmtId="0"/>
    <cacheField name="主机厂" numFmtId="0"/>
    <cacheField name="平台" numFmtId="0"/>
    <cacheField name="车型" numFmtId="0"/>
    <cacheField name="单机用量" numFmtId="0"/>
    <cacheField name="车型SOP" numFmtId="0"/>
    <cacheField name="评估" numFmtId="0"/>
    <cacheField name="送样" numFmtId="0"/>
    <cacheField name="样品测试" numFmtId="0"/>
    <cacheField name="DV" numFmtId="0"/>
    <cacheField name="PV" numFmtId="0"/>
    <cacheField name="客户份额" numFmtId="0"/>
    <cacheField name="生命周期" numFmtId="0"/>
    <cacheField name="5月" numFmtId="0"/>
    <cacheField name="6月" numFmtId="0"/>
    <cacheField name="7月" numFmtId="0"/>
    <cacheField name="8月" numFmtId="0"/>
    <cacheField name="9月" numFmtId="0"/>
    <cacheField name="10月" numFmtId="0"/>
    <cacheField name="11月" numFmtId="0"/>
    <cacheField name="12月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3"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01">
  <r>
    <n v="1"/>
    <s v="宁波高石电子科技有限公司"/>
    <x v="0"/>
    <s v="上海优昕电子信息技术有限公司"/>
    <s v="Freya"/>
    <s v="贾超"/>
    <x v="0"/>
    <x v="0"/>
    <m/>
    <x v="0"/>
    <m/>
    <m/>
    <s v="量产"/>
    <m/>
    <m/>
    <m/>
    <n v="2.1"/>
    <n v="73500"/>
    <n v="84000"/>
    <n v="35000"/>
    <m/>
    <m/>
    <n v="5000"/>
    <n v="5000"/>
    <n v="5000"/>
    <n v="5000"/>
    <n v="5000"/>
    <n v="5000"/>
    <n v="5000"/>
    <n v="5000"/>
    <n v="5000"/>
    <n v="5000"/>
    <n v="0"/>
    <n v="0"/>
    <n v="0"/>
    <n v="0"/>
    <n v="0"/>
    <n v="0"/>
    <n v="0"/>
    <m/>
    <m/>
    <m/>
    <m/>
    <m/>
    <m/>
    <x v="0"/>
    <s v="电流传感器"/>
    <s v="汽车电子"/>
    <s v="三电系统"/>
    <s v="三电电驱控制"/>
    <s v="电控电流传感器"/>
    <m/>
    <m/>
    <m/>
    <m/>
    <m/>
    <m/>
    <m/>
    <m/>
    <m/>
    <m/>
    <m/>
    <m/>
    <n v="10500"/>
    <n v="10500"/>
    <n v="10500"/>
    <n v="10500"/>
    <n v="10500"/>
    <n v="10500"/>
    <n v="10500"/>
    <n v="10500"/>
  </r>
  <r>
    <n v="2"/>
    <s v="宁波高石电子科技有限公司"/>
    <x v="0"/>
    <s v="上海优昕电子信息技术有限公司"/>
    <s v="Freya"/>
    <s v="贾超"/>
    <x v="1"/>
    <x v="1"/>
    <m/>
    <x v="0"/>
    <s v="电流传感器模组"/>
    <n v="500000"/>
    <s v="送样"/>
    <m/>
    <m/>
    <m/>
    <n v="2.1"/>
    <n v="1144500"/>
    <n v="0"/>
    <n v="545000"/>
    <m/>
    <m/>
    <m/>
    <n v="10000"/>
    <n v="25000"/>
    <n v="75000"/>
    <n v="75000"/>
    <n v="75000"/>
    <n v="80000"/>
    <n v="80000"/>
    <n v="80000"/>
    <n v="80000"/>
    <m/>
    <m/>
    <m/>
    <m/>
    <m/>
    <m/>
    <m/>
    <m/>
    <m/>
    <m/>
    <m/>
    <m/>
    <m/>
    <x v="0"/>
    <s v="电流传感器"/>
    <s v="汽车电子"/>
    <s v="三电系统"/>
    <s v="三电电驱控制"/>
    <s v="电控电流传感器"/>
    <m/>
    <m/>
    <m/>
    <m/>
    <m/>
    <m/>
    <m/>
    <m/>
    <m/>
    <m/>
    <m/>
    <m/>
    <n v="52500"/>
    <n v="157500"/>
    <n v="157500"/>
    <n v="157500"/>
    <n v="168000"/>
    <n v="168000"/>
    <n v="168000"/>
    <n v="168000"/>
  </r>
  <r>
    <n v="3"/>
    <s v="西安华旭电气自动化技术有限公司"/>
    <x v="0"/>
    <s v="盐城展拓电子有限公司"/>
    <s v="Yinan"/>
    <s v="王强"/>
    <x v="2"/>
    <x v="2"/>
    <m/>
    <x v="0"/>
    <m/>
    <m/>
    <s v="量产"/>
    <m/>
    <m/>
    <m/>
    <n v="1"/>
    <n v="140000"/>
    <n v="160000"/>
    <n v="140000"/>
    <n v="10000"/>
    <m/>
    <n v="20000"/>
    <n v="20000"/>
    <n v="20000"/>
    <n v="20000"/>
    <n v="20000"/>
    <n v="20000"/>
    <n v="20000"/>
    <n v="20000"/>
    <n v="20000"/>
    <n v="20000"/>
    <n v="0"/>
    <n v="0"/>
    <n v="93498"/>
    <n v="147000"/>
    <n v="46999"/>
    <n v="121478"/>
    <n v="11000"/>
    <m/>
    <m/>
    <m/>
    <m/>
    <m/>
    <m/>
    <x v="0"/>
    <s v="电流传感器"/>
    <s v="汽车电子"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"/>
    <s v="天津易鼎丰动力科技有限公司"/>
    <x v="0"/>
    <s v="深圳诺信微科技有限公司"/>
    <s v="Yinan"/>
    <m/>
    <x v="3"/>
    <x v="3"/>
    <m/>
    <x v="0"/>
    <m/>
    <m/>
    <s v="量产"/>
    <m/>
    <m/>
    <m/>
    <n v="4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m/>
    <x v="0"/>
    <m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"/>
    <s v="湖南天雁机械股份有限公司"/>
    <x v="0"/>
    <m/>
    <s v="Yinan"/>
    <m/>
    <x v="4"/>
    <x v="4"/>
    <m/>
    <x v="0"/>
    <s v="汽车增压器"/>
    <m/>
    <s v="送样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角度传感器"/>
    <s v="汽车电子"/>
    <s v="动力总成"/>
    <s v="发动机"/>
    <s v="节气门"/>
    <m/>
    <m/>
    <m/>
    <m/>
    <m/>
    <m/>
    <m/>
    <m/>
    <m/>
    <m/>
    <m/>
    <m/>
    <n v="0"/>
    <n v="0"/>
    <n v="0"/>
    <n v="0"/>
    <n v="0"/>
    <n v="0"/>
    <n v="0"/>
    <n v="0"/>
  </r>
  <r>
    <n v="6"/>
    <s v="博世汽车部件（长沙）有限公司"/>
    <x v="0"/>
    <m/>
    <s v="Yinan"/>
    <m/>
    <x v="5"/>
    <x v="5"/>
    <m/>
    <x v="0"/>
    <s v="座椅电机"/>
    <n v="1000000"/>
    <s v="送样"/>
    <m/>
    <s v="MT8361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s v="Josh"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7"/>
    <s v="广东肇庆爱龙威机电有限公司"/>
    <x v="0"/>
    <s v="厦门信和达电子有限公司"/>
    <s v="Yinan"/>
    <s v="高佳伟"/>
    <x v="6"/>
    <x v="6"/>
    <m/>
    <x v="0"/>
    <s v="水平电机调节"/>
    <n v="500000"/>
    <s v="样品测试完成"/>
    <m/>
    <s v="无"/>
    <m/>
    <n v="0.58"/>
    <n v="0"/>
    <n v="0"/>
    <n v="0"/>
    <m/>
    <n v="1000"/>
    <m/>
    <m/>
    <m/>
    <m/>
    <m/>
    <m/>
    <m/>
    <m/>
    <m/>
    <m/>
    <n v="0"/>
    <n v="0"/>
    <n v="0"/>
    <n v="0"/>
    <n v="250"/>
    <n v="0"/>
    <n v="0"/>
    <m/>
    <m/>
    <m/>
    <m/>
    <m/>
    <s v="Josh"/>
    <x v="0"/>
    <s v="磁性位置传感器"/>
    <s v="汽车电子"/>
    <s v="车身电子"/>
    <s v="车身其他"/>
    <m/>
    <s v="吉利"/>
    <m/>
    <m/>
    <n v="0"/>
    <m/>
    <m/>
    <m/>
    <m/>
    <m/>
    <m/>
    <m/>
    <m/>
    <n v="0"/>
    <n v="0"/>
    <n v="0"/>
    <n v="0"/>
    <n v="0"/>
    <n v="0"/>
    <n v="0"/>
    <n v="0"/>
  </r>
  <r>
    <n v="8"/>
    <s v="河北安闻汽车零部件有限公司"/>
    <x v="0"/>
    <s v="深圳市杰恒芯科技有限公司"/>
    <s v="Yinan"/>
    <s v="刘煦"/>
    <x v="7"/>
    <x v="7"/>
    <m/>
    <x v="0"/>
    <s v="座椅通风电机"/>
    <n v="10000000"/>
    <s v="样品测试完成"/>
    <m/>
    <s v="SDC1183"/>
    <n v="0.3"/>
    <n v="0.2"/>
    <n v="8000"/>
    <n v="8000"/>
    <n v="40000"/>
    <m/>
    <m/>
    <m/>
    <m/>
    <m/>
    <m/>
    <m/>
    <m/>
    <n v="10000"/>
    <n v="10000"/>
    <n v="10000"/>
    <n v="10000"/>
    <n v="0"/>
    <n v="0"/>
    <n v="0"/>
    <n v="0"/>
    <n v="0"/>
    <n v="0"/>
    <n v="0"/>
    <m/>
    <m/>
    <m/>
    <m/>
    <m/>
    <s v="Ricky"/>
    <x v="0"/>
    <s v="磁性位置传感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2000"/>
    <n v="2000"/>
    <n v="2000"/>
    <n v="2000"/>
  </r>
  <r>
    <n v="9"/>
    <s v="河北安闻汽车零部件有限公司"/>
    <x v="0"/>
    <s v="深圳市杰恒芯科技有限公司"/>
    <s v="Yinan"/>
    <s v="刘煦"/>
    <x v="8"/>
    <x v="8"/>
    <m/>
    <x v="0"/>
    <s v="座椅通风电机"/>
    <n v="10000000"/>
    <s v="项目丢失"/>
    <s v="目前驱动类产品客户供应商太多，暂时不会考虑"/>
    <s v="A5947"/>
    <m/>
    <n v="0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Axel"/>
    <x v="0"/>
    <s v="电机驱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  <n v="0"/>
    <n v="0"/>
  </r>
  <r>
    <n v="10"/>
    <s v="江苏雷利电机股份有限公司"/>
    <x v="1"/>
    <s v="深圳市宝创科技有限公司"/>
    <s v="Yinan"/>
    <s v="凡莹"/>
    <x v="9"/>
    <x v="9"/>
    <m/>
    <x v="0"/>
    <s v="华为抬头显示电机"/>
    <n v="400000"/>
    <s v="批量"/>
    <m/>
    <s v="TDK1507"/>
    <m/>
    <n v="0.52"/>
    <n v="31200"/>
    <n v="39000"/>
    <n v="60000"/>
    <n v="45000"/>
    <n v="45000"/>
    <n v="0"/>
    <n v="15000"/>
    <n v="15000"/>
    <n v="15000"/>
    <n v="15000"/>
    <m/>
    <n v="15000"/>
    <m/>
    <m/>
    <n v="15000"/>
    <n v="0"/>
    <n v="0"/>
    <n v="0"/>
    <n v="21000"/>
    <n v="36000"/>
    <n v="69000"/>
    <n v="0"/>
    <m/>
    <m/>
    <m/>
    <m/>
    <m/>
    <s v="Ricky"/>
    <x v="0"/>
    <s v="磁性位置传感器"/>
    <s v="汽车电子"/>
    <s v="车身电子"/>
    <s v="车身其他"/>
    <m/>
    <m/>
    <m/>
    <m/>
    <n v="1"/>
    <m/>
    <m/>
    <m/>
    <m/>
    <m/>
    <m/>
    <m/>
    <m/>
    <n v="7800"/>
    <n v="7800"/>
    <n v="7800"/>
    <n v="0"/>
    <n v="7800"/>
    <n v="0"/>
    <n v="0"/>
    <n v="7800"/>
  </r>
  <r>
    <n v="11"/>
    <s v="江苏雷利电机股份有限公司"/>
    <x v="1"/>
    <s v="深圳市宝创科技有限公司"/>
    <s v="Yinan"/>
    <s v="凡莹"/>
    <x v="10"/>
    <x v="10"/>
    <m/>
    <x v="0"/>
    <s v="冰箱内部制冰机"/>
    <n v="400000"/>
    <s v="小批量"/>
    <m/>
    <s v="SS341RT"/>
    <m/>
    <n v="0.52"/>
    <n v="3120"/>
    <n v="3120"/>
    <n v="6000"/>
    <m/>
    <m/>
    <m/>
    <m/>
    <m/>
    <m/>
    <n v="6000"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大型家电"/>
    <s v="冰箱"/>
    <m/>
    <m/>
    <m/>
    <m/>
    <n v="3"/>
    <m/>
    <m/>
    <m/>
    <m/>
    <m/>
    <m/>
    <m/>
    <m/>
    <n v="0"/>
    <n v="0"/>
    <n v="3120"/>
    <n v="0"/>
    <n v="0"/>
    <n v="0"/>
    <n v="0"/>
    <n v="0"/>
  </r>
  <r>
    <n v="12"/>
    <s v="江苏雷利电机股份有限公司"/>
    <x v="1"/>
    <s v="深圳市宝创科技有限公司"/>
    <s v="Yinan"/>
    <s v="凡莹"/>
    <x v="11"/>
    <x v="11"/>
    <m/>
    <x v="0"/>
    <s v="40WS1水泵"/>
    <n v="300000"/>
    <s v="小批量"/>
    <s v="8月份量产"/>
    <n v="0"/>
    <m/>
    <n v="0.3"/>
    <n v="0"/>
    <n v="0"/>
    <n v="0"/>
    <m/>
    <m/>
    <n v="6000"/>
    <n v="6000"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大型家电"/>
    <s v="洗衣机"/>
    <m/>
    <m/>
    <m/>
    <m/>
    <n v="3"/>
    <m/>
    <m/>
    <m/>
    <m/>
    <m/>
    <m/>
    <m/>
    <m/>
    <n v="0"/>
    <n v="0"/>
    <n v="0"/>
    <n v="0"/>
    <n v="0"/>
    <n v="0"/>
    <n v="0"/>
    <n v="0"/>
  </r>
  <r>
    <n v="13"/>
    <s v="江苏雷利电机股份有限公司"/>
    <x v="1"/>
    <s v="深圳市宝创科技有限公司"/>
    <s v="Yinan"/>
    <s v="凡莹"/>
    <x v="11"/>
    <x v="11"/>
    <m/>
    <x v="0"/>
    <s v="小家电风机-厨房碎菜机"/>
    <n v="1000000"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小型家电"/>
    <m/>
    <m/>
    <m/>
    <m/>
    <m/>
    <n v="1"/>
    <m/>
    <m/>
    <m/>
    <m/>
    <m/>
    <m/>
    <m/>
    <m/>
    <n v="0"/>
    <n v="0"/>
    <n v="0"/>
    <n v="0"/>
    <n v="0"/>
    <n v="0"/>
    <n v="0"/>
    <n v="0"/>
  </r>
  <r>
    <n v="14"/>
    <s v="江苏雷利电机股份有限公司"/>
    <x v="1"/>
    <s v="深圳市宝创科技有限公司"/>
    <s v="Yinan"/>
    <s v="凡莹"/>
    <x v="9"/>
    <x v="9"/>
    <m/>
    <x v="0"/>
    <s v="HUD 华域视觉"/>
    <n v="200000"/>
    <s v="送样"/>
    <s v="客户沿用华为HUD的整体方案"/>
    <s v="无"/>
    <m/>
    <n v="0.52"/>
    <n v="0"/>
    <n v="0"/>
    <n v="0"/>
    <m/>
    <m/>
    <m/>
    <m/>
    <m/>
    <m/>
    <m/>
    <m/>
    <m/>
    <m/>
    <m/>
    <m/>
    <n v="0"/>
    <n v="0"/>
    <n v="0"/>
    <n v="21000"/>
    <n v="36000"/>
    <n v="69000"/>
    <n v="0"/>
    <m/>
    <m/>
    <m/>
    <m/>
    <m/>
    <s v="Ricky"/>
    <x v="0"/>
    <s v="磁性位置传感器"/>
    <s v="汽车电子"/>
    <s v="车身电子"/>
    <s v="车身其他"/>
    <m/>
    <m/>
    <m/>
    <m/>
    <n v="1"/>
    <m/>
    <m/>
    <m/>
    <m/>
    <m/>
    <m/>
    <m/>
    <m/>
    <n v="0"/>
    <n v="0"/>
    <n v="0"/>
    <n v="0"/>
    <n v="0"/>
    <n v="0"/>
    <n v="0"/>
    <n v="0"/>
  </r>
  <r>
    <n v="15"/>
    <s v="江苏雷利电机股份有限公司"/>
    <x v="1"/>
    <s v="深圳市宝创科技有限公司"/>
    <s v="Yinan"/>
    <s v="凡莹"/>
    <x v="12"/>
    <x v="12"/>
    <m/>
    <x v="0"/>
    <s v="惠而浦制冰机"/>
    <n v="4000000"/>
    <s v="评估"/>
    <s v="已经告知客户在低电压下HALL休眠滞后于MCU，push客户进行测试"/>
    <s v="CH913SR"/>
    <m/>
    <n v="0.15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大型家电"/>
    <s v="冰箱"/>
    <m/>
    <m/>
    <m/>
    <m/>
    <n v="2"/>
    <m/>
    <m/>
    <m/>
    <m/>
    <m/>
    <m/>
    <m/>
    <m/>
    <n v="0"/>
    <n v="0"/>
    <n v="0"/>
    <n v="0"/>
    <n v="0"/>
    <n v="0"/>
    <n v="0"/>
    <n v="0"/>
  </r>
  <r>
    <n v="16"/>
    <s v="江苏雷利电机股份有限公司"/>
    <x v="1"/>
    <s v="深圳市宝创科技有限公司"/>
    <s v="Yinan"/>
    <s v="凡莹"/>
    <x v="13"/>
    <x v="13"/>
    <m/>
    <x v="0"/>
    <s v="GE的冰箱压缩机散热风扇"/>
    <n v="500000"/>
    <s v="评估"/>
    <s v="客户项目已经立项"/>
    <s v="无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s v="Ricky"/>
    <x v="0"/>
    <s v="磁性位置传感器"/>
    <s v="智能家居"/>
    <s v="大型家电"/>
    <s v="冰箱"/>
    <m/>
    <m/>
    <m/>
    <m/>
    <n v="1"/>
    <m/>
    <m/>
    <m/>
    <m/>
    <m/>
    <m/>
    <m/>
    <m/>
    <n v="0"/>
    <n v="0"/>
    <n v="0"/>
    <n v="0"/>
    <n v="0"/>
    <n v="0"/>
    <n v="0"/>
    <n v="0"/>
  </r>
  <r>
    <n v="17"/>
    <s v="宁波希磁电子科技有限公司"/>
    <x v="2"/>
    <s v="宁波希磁电子科技有限公司"/>
    <s v="Freya"/>
    <s v="无"/>
    <x v="0"/>
    <x v="14"/>
    <m/>
    <x v="0"/>
    <s v="电流传感器模组"/>
    <n v="15000000"/>
    <s v="量产"/>
    <m/>
    <n v="0"/>
    <m/>
    <n v="1.95"/>
    <n v="3412500"/>
    <n v="13845000"/>
    <n v="1750000"/>
    <n v="800000"/>
    <n v="700000"/>
    <n v="800000"/>
    <n v="250000"/>
    <n v="250000"/>
    <n v="250000"/>
    <n v="250000"/>
    <n v="250000"/>
    <n v="250000"/>
    <n v="250000"/>
    <n v="250000"/>
    <n v="250000"/>
    <m/>
    <m/>
    <m/>
    <m/>
    <m/>
    <m/>
    <m/>
    <m/>
    <m/>
    <m/>
    <m/>
    <m/>
    <s v="Axel"/>
    <x v="0"/>
    <s v="电流传感器"/>
    <s v="汽车电子"/>
    <s v="三电系统"/>
    <s v="三电BMS"/>
    <s v="BMS电流传感器"/>
    <m/>
    <m/>
    <m/>
    <n v="3"/>
    <m/>
    <m/>
    <m/>
    <m/>
    <m/>
    <m/>
    <m/>
    <m/>
    <n v="487500"/>
    <n v="487500"/>
    <n v="487500"/>
    <n v="487500"/>
    <n v="487500"/>
    <n v="487500"/>
    <n v="487500"/>
    <n v="487500"/>
  </r>
  <r>
    <n v="18"/>
    <s v="宁波希磁电子科技有限公司"/>
    <x v="2"/>
    <s v="宁波希磁电子科技有限公司"/>
    <s v="Freya"/>
    <s v="无"/>
    <x v="0"/>
    <x v="15"/>
    <m/>
    <x v="0"/>
    <s v="电流传感器模组"/>
    <n v="15000000"/>
    <s v="量产"/>
    <m/>
    <n v="0"/>
    <m/>
    <n v="1.95"/>
    <n v="10237500"/>
    <n v="13845000"/>
    <n v="5250000"/>
    <n v="800000"/>
    <n v="700000"/>
    <n v="800000"/>
    <n v="750000"/>
    <n v="750000"/>
    <n v="750000"/>
    <n v="750000"/>
    <n v="750000"/>
    <n v="750000"/>
    <n v="750000"/>
    <n v="750000"/>
    <n v="750000"/>
    <m/>
    <m/>
    <m/>
    <m/>
    <m/>
    <m/>
    <m/>
    <m/>
    <m/>
    <m/>
    <m/>
    <m/>
    <s v="Axel"/>
    <x v="0"/>
    <s v="电流传感器"/>
    <s v="汽车电子"/>
    <s v="三电系统"/>
    <s v="三电BMS"/>
    <s v="BMS电流传感器"/>
    <m/>
    <m/>
    <m/>
    <n v="3"/>
    <m/>
    <m/>
    <m/>
    <m/>
    <m/>
    <m/>
    <m/>
    <m/>
    <n v="1462500"/>
    <n v="1462500"/>
    <n v="1462500"/>
    <n v="1462500"/>
    <n v="1462500"/>
    <n v="1462500"/>
    <n v="1462500"/>
    <n v="1462500"/>
  </r>
  <r>
    <n v="19"/>
    <s v="延锋安道拓方德电机有限公司上海分公司"/>
    <x v="2"/>
    <s v="上海碧讯实业有限公司"/>
    <s v="Yinan"/>
    <s v="吕斐"/>
    <x v="14"/>
    <x v="16"/>
    <m/>
    <x v="0"/>
    <s v="座椅电机"/>
    <n v="2000000"/>
    <s v="量产"/>
    <m/>
    <m/>
    <m/>
    <n v="0.51"/>
    <n v="3468000"/>
    <n v="2703000"/>
    <n v="6800000"/>
    <n v="400000"/>
    <n v="400000"/>
    <n v="600000"/>
    <n v="650000"/>
    <n v="700000"/>
    <n v="800000"/>
    <n v="1000000"/>
    <n v="1000000"/>
    <n v="1000000"/>
    <n v="1000000"/>
    <n v="1000000"/>
    <n v="1000000"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357000"/>
    <n v="408000"/>
    <n v="510000"/>
    <n v="510000"/>
    <n v="510000"/>
    <n v="510000"/>
    <n v="510000"/>
    <n v="510000"/>
  </r>
  <r>
    <n v="20"/>
    <s v="延锋安道拓方德电机有限公司上海分公司"/>
    <x v="2"/>
    <s v="上海碧讯实业有限公司"/>
    <s v="Yinan"/>
    <s v="吕斐"/>
    <x v="15"/>
    <x v="17"/>
    <m/>
    <x v="0"/>
    <s v="座椅电机"/>
    <n v="1500000"/>
    <s v="量产"/>
    <m/>
    <m/>
    <m/>
    <n v="0.5"/>
    <n v="800000"/>
    <n v="600000"/>
    <n v="1600000"/>
    <n v="200000"/>
    <n v="200000"/>
    <n v="200000"/>
    <n v="150000"/>
    <n v="150000"/>
    <n v="200000"/>
    <n v="250000"/>
    <n v="250000"/>
    <n v="250000"/>
    <n v="250000"/>
    <n v="200000"/>
    <n v="200000"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75000"/>
    <n v="100000"/>
    <n v="125000"/>
    <n v="125000"/>
    <n v="125000"/>
    <n v="125000"/>
    <n v="100000"/>
    <n v="100000"/>
  </r>
  <r>
    <n v="21"/>
    <s v="延锋安道拓方德电机有限公司上海分公司"/>
    <x v="2"/>
    <s v="上海碧讯实业有限公司"/>
    <s v="Yinan"/>
    <s v="吕斐"/>
    <x v="6"/>
    <x v="6"/>
    <m/>
    <x v="0"/>
    <s v="座椅电机"/>
    <n v="500000"/>
    <s v="量产"/>
    <m/>
    <m/>
    <m/>
    <n v="0.51"/>
    <n v="214200"/>
    <n v="163200"/>
    <n v="420000"/>
    <n v="40000"/>
    <n v="40000"/>
    <n v="40000"/>
    <n v="40000"/>
    <n v="40000"/>
    <n v="60000"/>
    <n v="60000"/>
    <n v="60000"/>
    <n v="60000"/>
    <n v="60000"/>
    <n v="60000"/>
    <n v="60000"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20400"/>
    <n v="30600"/>
    <n v="30600"/>
    <n v="30600"/>
    <n v="30600"/>
    <n v="30600"/>
    <n v="30600"/>
    <n v="30600"/>
  </r>
  <r>
    <n v="22"/>
    <s v="追觅科技（苏州）有限公司"/>
    <x v="1"/>
    <s v="厦门信和达电子有限公司"/>
    <s v="Yinan"/>
    <s v="高佳伟"/>
    <x v="16"/>
    <x v="18"/>
    <m/>
    <x v="0"/>
    <s v="扫地机器人"/>
    <n v="4000000"/>
    <s v="评估"/>
    <s v="PUSH客户进行产品验证"/>
    <s v="MT8631AT"/>
    <m/>
    <n v="0.138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小型家电"/>
    <s v="扫地机"/>
    <s v="扫地机尘盒"/>
    <m/>
    <m/>
    <m/>
    <n v="1"/>
    <m/>
    <m/>
    <m/>
    <m/>
    <m/>
    <m/>
    <m/>
    <m/>
    <n v="0"/>
    <n v="0"/>
    <n v="0"/>
    <n v="0"/>
    <n v="0"/>
    <n v="0"/>
    <n v="0"/>
    <n v="0"/>
  </r>
  <r>
    <n v="23"/>
    <s v="追觅科技（苏州）有限公司"/>
    <x v="1"/>
    <s v="厦门信和达电子有限公司"/>
    <s v="Yinan"/>
    <s v="高佳伟"/>
    <x v="17"/>
    <x v="19"/>
    <m/>
    <x v="0"/>
    <s v="扫地机器人"/>
    <n v="4000000"/>
    <s v="评估"/>
    <s v="PUSH客户进行产品验证"/>
    <m/>
    <m/>
    <n v="0.598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小型家电"/>
    <s v="扫地机"/>
    <m/>
    <m/>
    <m/>
    <m/>
    <n v="1"/>
    <m/>
    <m/>
    <m/>
    <m/>
    <m/>
    <m/>
    <m/>
    <m/>
    <n v="0"/>
    <n v="0"/>
    <n v="0"/>
    <n v="0"/>
    <n v="0"/>
    <n v="0"/>
    <n v="0"/>
    <n v="0"/>
  </r>
  <r>
    <n v="24"/>
    <s v="上海胜华波汽车电器有限公司"/>
    <x v="2"/>
    <s v="南京富聚科技有限公司"/>
    <s v="Yinan"/>
    <s v="Yao"/>
    <x v="6"/>
    <x v="6"/>
    <m/>
    <x v="0"/>
    <s v="多个项目"/>
    <n v="6000000"/>
    <s v="量产"/>
    <s v="崔金超：NISSAN 了解进度_x000a_雨刮事业部交流---丁浩_x000a_平行霍尔赛卓进度_x000a_SC2498应用车型和数量了解"/>
    <s v="A1212"/>
    <m/>
    <n v="0.615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Harry"/>
    <x v="0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0"/>
    <n v="0"/>
    <n v="0"/>
    <n v="0"/>
    <n v="0"/>
    <n v="0"/>
    <n v="0"/>
    <n v="0"/>
  </r>
  <r>
    <n v="25"/>
    <s v="上海胜华波汽车电器有限公司"/>
    <x v="2"/>
    <s v="南京富聚科技有限公司"/>
    <s v="Yinan"/>
    <s v="Yao"/>
    <x v="18"/>
    <x v="20"/>
    <m/>
    <x v="0"/>
    <s v="多个项目"/>
    <n v="100000"/>
    <s v="量产"/>
    <s v="无"/>
    <s v="A1212"/>
    <m/>
    <n v="0.58"/>
    <n v="203000"/>
    <n v="232000"/>
    <n v="350000"/>
    <m/>
    <m/>
    <n v="10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Harry"/>
    <x v="0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29000"/>
    <n v="29000"/>
    <n v="29000"/>
    <n v="29000"/>
    <n v="29000"/>
    <n v="29000"/>
    <n v="29000"/>
    <n v="29000"/>
  </r>
  <r>
    <n v="26"/>
    <s v="上海胜华波汽车电器有限公司"/>
    <x v="2"/>
    <s v="南京富聚科技有限公司"/>
    <s v="Yinan"/>
    <s v="Yao"/>
    <x v="6"/>
    <x v="6"/>
    <m/>
    <x v="0"/>
    <s v="座椅电机"/>
    <n v="100000"/>
    <s v="量产"/>
    <s v="2024年底才大批量"/>
    <s v="A1212"/>
    <m/>
    <n v="0.615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Harry"/>
    <x v="0"/>
    <s v="磁性位置传感器"/>
    <s v="汽车电子"/>
    <s v="车身电子"/>
    <s v="智能座椅"/>
    <s v="座椅水平电机"/>
    <s v="比亚迪，广汽"/>
    <m/>
    <m/>
    <n v="1"/>
    <m/>
    <m/>
    <m/>
    <m/>
    <m/>
    <m/>
    <m/>
    <m/>
    <n v="0"/>
    <n v="0"/>
    <n v="0"/>
    <n v="0"/>
    <n v="0"/>
    <n v="0"/>
    <n v="0"/>
    <n v="0"/>
  </r>
  <r>
    <n v="27"/>
    <s v="上海胜华波汽车电器有限公司"/>
    <x v="2"/>
    <s v="南京富聚科技有限公司"/>
    <s v="Yinan"/>
    <s v="Yao"/>
    <x v="6"/>
    <x v="6"/>
    <m/>
    <x v="0"/>
    <s v="座椅电机"/>
    <n v="1000000"/>
    <s v="推进中"/>
    <s v="资料提报，看日产是否认可推荐"/>
    <s v="N/A"/>
    <m/>
    <n v="0.615"/>
    <n v="3382500"/>
    <n v="2521500"/>
    <n v="5500000"/>
    <m/>
    <m/>
    <m/>
    <m/>
    <m/>
    <n v="500000"/>
    <n v="800000"/>
    <n v="800000"/>
    <n v="800000"/>
    <n v="800000"/>
    <n v="800000"/>
    <n v="1000000"/>
    <n v="0"/>
    <n v="0"/>
    <n v="0"/>
    <n v="0"/>
    <n v="0"/>
    <n v="0"/>
    <n v="0"/>
    <m/>
    <m/>
    <m/>
    <m/>
    <m/>
    <s v="Harry"/>
    <x v="0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307500"/>
    <n v="492000"/>
    <n v="492000"/>
    <n v="492000"/>
    <n v="492000"/>
    <n v="492000"/>
    <n v="615000"/>
  </r>
  <r>
    <n v="28"/>
    <s v="上海胜华波汽车电器有限公司"/>
    <x v="2"/>
    <s v="南京富聚科技有限公司"/>
    <s v="Yinan"/>
    <s v="Yao"/>
    <x v="19"/>
    <x v="21"/>
    <m/>
    <x v="0"/>
    <s v="座椅电机"/>
    <m/>
    <s v="量产"/>
    <s v="量产"/>
    <m/>
    <m/>
    <n v="0.55"/>
    <n v="110000"/>
    <n v="660000"/>
    <n v="200000"/>
    <n v="500000"/>
    <n v="200000"/>
    <n v="300000"/>
    <n v="0"/>
    <m/>
    <m/>
    <m/>
    <m/>
    <m/>
    <m/>
    <m/>
    <n v="200000"/>
    <n v="0"/>
    <n v="0"/>
    <n v="0"/>
    <n v="0"/>
    <n v="0"/>
    <n v="0"/>
    <n v="0"/>
    <m/>
    <m/>
    <m/>
    <m/>
    <m/>
    <s v="Harry"/>
    <x v="0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0"/>
    <n v="0"/>
    <n v="0"/>
    <n v="0"/>
    <n v="0"/>
    <n v="0"/>
    <n v="110000"/>
  </r>
  <r>
    <n v="29"/>
    <s v="深圳胜华波汽车电器有限公司"/>
    <x v="2"/>
    <s v="南京富聚科技有限公司"/>
    <s v="Yinan"/>
    <s v="Yao"/>
    <x v="20"/>
    <x v="22"/>
    <m/>
    <x v="0"/>
    <s v="座椅通风"/>
    <n v="500000"/>
    <s v="推进中"/>
    <s v="二次交流完成，胜华波提供板子供我们选型测试"/>
    <s v="MLX90412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电机驱动"/>
    <s v="汽车电子"/>
    <s v="车身电子"/>
    <s v="智能座椅"/>
    <s v="座椅通风"/>
    <s v="暂无"/>
    <m/>
    <m/>
    <n v="1"/>
    <m/>
    <m/>
    <m/>
    <m/>
    <m/>
    <m/>
    <m/>
    <m/>
    <n v="0"/>
    <n v="0"/>
    <n v="0"/>
    <n v="0"/>
    <n v="0"/>
    <n v="0"/>
    <n v="0"/>
    <n v="0"/>
  </r>
  <r>
    <n v="30"/>
    <s v="金华阿凡顿科技有限公司"/>
    <x v="0"/>
    <s v="金华易蔚电子有限公司"/>
    <s v="Ricky"/>
    <m/>
    <x v="21"/>
    <x v="23"/>
    <m/>
    <x v="0"/>
    <s v="电动剪刀"/>
    <m/>
    <s v="量产"/>
    <s v="说服客户SC2063试产"/>
    <s v="AH464"/>
    <m/>
    <n v="0.28"/>
    <n v="140000"/>
    <n v="224000"/>
    <n v="500000"/>
    <m/>
    <m/>
    <m/>
    <m/>
    <n v="100000"/>
    <n v="100000"/>
    <m/>
    <m/>
    <n v="100000"/>
    <n v="100000"/>
    <n v="100000"/>
    <n v="10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28000"/>
    <n v="28000"/>
    <n v="0"/>
    <n v="0"/>
    <n v="28000"/>
    <n v="28000"/>
    <n v="28000"/>
    <n v="28000"/>
  </r>
  <r>
    <n v="31"/>
    <s v="杭州湖微科技有限公司"/>
    <x v="0"/>
    <s v="广州汇昕微电子科技有限公司"/>
    <s v="Ricky"/>
    <m/>
    <x v="10"/>
    <x v="10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2"/>
    <s v="杭州湖微科技有限公司"/>
    <x v="0"/>
    <s v="广州汇昕微电子科技有限公司"/>
    <s v="Ricky"/>
    <m/>
    <x v="22"/>
    <x v="24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3"/>
    <s v="杭州湖微科技有限公司"/>
    <x v="0"/>
    <s v="广州汇昕微电子科技有限公司"/>
    <s v="Ricky"/>
    <m/>
    <x v="23"/>
    <x v="25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4"/>
    <s v="杭州湖微科技有限公司"/>
    <x v="0"/>
    <s v="广州汇昕微电子科技有限公司"/>
    <s v="Ricky"/>
    <m/>
    <x v="24"/>
    <x v="26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5"/>
    <s v="深圳市恒瑞灵机电有限公司"/>
    <x v="0"/>
    <s v="深圳市钧敏科技有限公司"/>
    <s v="Ricky"/>
    <m/>
    <x v="23"/>
    <x v="25"/>
    <m/>
    <x v="0"/>
    <s v="电动剪刀"/>
    <m/>
    <s v="小批量"/>
    <s v="同上，搭配2466用的，一个电剪刀用4颗（1颗2466 ，3颗1134）"/>
    <s v="MT3303"/>
    <m/>
    <n v="0.35"/>
    <n v="31500"/>
    <n v="42000"/>
    <n v="90000"/>
    <m/>
    <m/>
    <n v="30000"/>
    <m/>
    <n v="30000"/>
    <m/>
    <n v="30000"/>
    <m/>
    <n v="30000"/>
    <m/>
    <m/>
    <n v="30000"/>
    <m/>
    <m/>
    <m/>
    <m/>
    <m/>
    <m/>
    <m/>
    <m/>
    <m/>
    <m/>
    <m/>
    <m/>
    <s v="Harry"/>
    <x v="0"/>
    <s v="磁性位置传感器"/>
    <s v="工业和机器人"/>
    <s v="电动工具"/>
    <s v="电动工具位置开关"/>
    <m/>
    <m/>
    <m/>
    <m/>
    <n v="4"/>
    <m/>
    <d v="2023-04-01T00:00:00"/>
    <d v="2023-04-01T00:00:00"/>
    <d v="2023-04-15T00:00:00"/>
    <d v="2023-05-01T00:00:00"/>
    <m/>
    <m/>
    <n v="3"/>
    <n v="10500"/>
    <n v="0"/>
    <n v="10500"/>
    <n v="0"/>
    <n v="10500"/>
    <n v="0"/>
    <n v="0"/>
    <n v="10500"/>
  </r>
  <r>
    <n v="36"/>
    <s v="深圳市欧陆通电子有限公司"/>
    <x v="0"/>
    <s v="深圳市钧敏科技有限公司"/>
    <s v="Ricky"/>
    <m/>
    <x v="25"/>
    <x v="27"/>
    <m/>
    <x v="0"/>
    <s v="棉花糖机"/>
    <m/>
    <s v="批量"/>
    <s v="批量生产，终端是印度，客户工厂也是印度生产"/>
    <s v="无"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工业其他"/>
    <m/>
    <m/>
    <m/>
    <m/>
    <m/>
    <m/>
    <m/>
    <m/>
    <m/>
    <m/>
    <m/>
    <m/>
    <m/>
    <m/>
    <n v="0"/>
    <n v="0"/>
    <n v="0"/>
    <n v="0"/>
    <n v="0"/>
    <n v="0"/>
    <n v="0"/>
    <n v="0"/>
  </r>
  <r>
    <n v="37"/>
    <s v="深圳市泰瑞达科技有限公司"/>
    <x v="0"/>
    <s v="深圳市钧敏科技有限公司"/>
    <s v="Ricky"/>
    <m/>
    <x v="12"/>
    <x v="12"/>
    <m/>
    <x v="0"/>
    <s v="小家电PCBA "/>
    <m/>
    <s v="小批量"/>
    <s v="测试可以，7/1小批试产"/>
    <s v="无"/>
    <m/>
    <n v="0.18"/>
    <n v="3780"/>
    <n v="3780"/>
    <n v="21000"/>
    <n v="3000"/>
    <n v="3000"/>
    <n v="3000"/>
    <n v="3000"/>
    <m/>
    <n v="3000"/>
    <n v="3000"/>
    <n v="3000"/>
    <n v="3000"/>
    <n v="3000"/>
    <n v="3000"/>
    <n v="3000"/>
    <m/>
    <m/>
    <m/>
    <m/>
    <m/>
    <m/>
    <m/>
    <m/>
    <m/>
    <m/>
    <m/>
    <m/>
    <s v="Harry"/>
    <x v="0"/>
    <s v="磁性位置传感器"/>
    <s v="工业和机器人"/>
    <s v="工业其他"/>
    <m/>
    <m/>
    <m/>
    <m/>
    <m/>
    <m/>
    <m/>
    <m/>
    <m/>
    <m/>
    <m/>
    <m/>
    <m/>
    <m/>
    <n v="0"/>
    <n v="540"/>
    <n v="540"/>
    <n v="540"/>
    <n v="540"/>
    <n v="540"/>
    <n v="540"/>
    <n v="540"/>
  </r>
  <r>
    <n v="38"/>
    <s v="宁波生久科技有限公司"/>
    <x v="0"/>
    <s v="深圳市钧敏科技有限公司"/>
    <s v="Ricky"/>
    <m/>
    <x v="26"/>
    <x v="28"/>
    <m/>
    <x v="0"/>
    <s v="散热风扇"/>
    <m/>
    <s v="送样"/>
    <s v="客户评估阶段，导入国产需要审核。下一步送样测试"/>
    <s v="无"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"/>
    <s v="深圳市华夏恒泰电子有限公司"/>
    <x v="0"/>
    <s v="深圳市钧敏科技有限公司"/>
    <s v="Ricky"/>
    <m/>
    <x v="11"/>
    <x v="11"/>
    <m/>
    <x v="0"/>
    <s v="散热风扇"/>
    <m/>
    <s v="评估"/>
    <s v="约见高层，推进赛卓品牌"/>
    <s v="无"/>
    <m/>
    <n v="0.18"/>
    <n v="126000"/>
    <n v="144000"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Harry"/>
    <x v="0"/>
    <s v="磁性位置传感器"/>
    <s v="工业和机器人"/>
    <s v="工业其他"/>
    <s v="工业接近开关"/>
    <m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40"/>
    <s v="东莞市润达散热风扇有限公司"/>
    <x v="0"/>
    <s v="深圳市钧敏科技有限公司"/>
    <s v="Ricky"/>
    <m/>
    <x v="11"/>
    <x v="11"/>
    <m/>
    <x v="0"/>
    <s v="散热风扇"/>
    <m/>
    <s v="批量"/>
    <s v="已经小批，等客户终端订单"/>
    <s v="无"/>
    <m/>
    <n v="0.135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1"/>
    <s v="东莞市诺尔电器有限公司"/>
    <x v="0"/>
    <s v="深圳市钧敏科技有限公司"/>
    <s v="Ricky"/>
    <m/>
    <x v="13"/>
    <x v="13"/>
    <m/>
    <x v="0"/>
    <s v="料理机"/>
    <m/>
    <s v="批量"/>
    <s v="批量生产，贴片型号需要原厂重新匹配"/>
    <s v="无"/>
    <m/>
    <n v="0.2"/>
    <n v="140000"/>
    <n v="160000"/>
    <n v="700000"/>
    <m/>
    <n v="9000"/>
    <m/>
    <n v="9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Harry"/>
    <x v="0"/>
    <s v="磁性位置传感器"/>
    <s v="工业和机器人"/>
    <s v="电动工具"/>
    <s v="电机电控"/>
    <s v="无刷电机"/>
    <m/>
    <m/>
    <m/>
    <n v="1"/>
    <m/>
    <d v="2023-05-01T00:00:00"/>
    <d v="2023-05-01T00:00:00"/>
    <d v="2023-05-15T00:00:00"/>
    <d v="2023-05-18T00:00:00"/>
    <d v="2023-06-01T00:00:00"/>
    <m/>
    <n v="3"/>
    <n v="20000"/>
    <n v="20000"/>
    <n v="20000"/>
    <n v="20000"/>
    <n v="20000"/>
    <n v="20000"/>
    <n v="20000"/>
    <n v="20000"/>
  </r>
  <r>
    <n v="42"/>
    <s v="深圳市恒瑞灵机电有限公司"/>
    <x v="0"/>
    <s v="深圳市钧敏科技有限公司"/>
    <s v="Ricky"/>
    <m/>
    <x v="10"/>
    <x v="10"/>
    <m/>
    <x v="0"/>
    <s v="电动剪刀"/>
    <m/>
    <s v="小批量"/>
    <m/>
    <m/>
    <m/>
    <n v="0.3"/>
    <n v="0"/>
    <n v="900"/>
    <n v="0"/>
    <n v="3000"/>
    <n v="3000"/>
    <n v="3000"/>
    <n v="3000"/>
    <n v="3000"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电动工具"/>
    <s v="电动工具位置开关"/>
    <s v="接近开关"/>
    <m/>
    <m/>
    <m/>
    <n v="3"/>
    <m/>
    <m/>
    <m/>
    <m/>
    <m/>
    <m/>
    <m/>
    <m/>
    <n v="900"/>
    <n v="0"/>
    <n v="0"/>
    <n v="0"/>
    <n v="0"/>
    <n v="0"/>
    <n v="0"/>
    <n v="0"/>
  </r>
  <r>
    <n v="43"/>
    <s v="玲动电器（广东）有限公司"/>
    <x v="0"/>
    <s v="深圳市北高智电子有限公司"/>
    <s v="Ricky"/>
    <m/>
    <x v="27"/>
    <x v="29"/>
    <m/>
    <x v="0"/>
    <s v="自动驾驶"/>
    <m/>
    <s v="量产"/>
    <m/>
    <s v="无"/>
    <m/>
    <n v="0.53"/>
    <n v="3180"/>
    <n v="4770"/>
    <n v="6000"/>
    <n v="3000"/>
    <n v="3000"/>
    <n v="3000"/>
    <n v="3000"/>
    <n v="3000"/>
    <m/>
    <m/>
    <n v="3000"/>
    <m/>
    <n v="3000"/>
    <m/>
    <m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1590"/>
    <n v="0"/>
    <n v="0"/>
    <n v="1590"/>
    <n v="0"/>
    <n v="1590"/>
    <n v="0"/>
    <n v="0"/>
  </r>
  <r>
    <n v="44"/>
    <s v="杭州炬华科技股份有限公司"/>
    <x v="0"/>
    <s v="深圳市北高智电子有限公司"/>
    <s v="Ricky"/>
    <m/>
    <x v="12"/>
    <x v="12"/>
    <m/>
    <x v="0"/>
    <s v="电表"/>
    <m/>
    <s v="量产"/>
    <m/>
    <s v="无"/>
    <m/>
    <n v="0.16"/>
    <n v="3360"/>
    <n v="3840"/>
    <n v="21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x v="0"/>
    <s v="磁性位置传感器"/>
    <s v="工业和机器人"/>
    <s v="三表"/>
    <s v="防窃电"/>
    <m/>
    <m/>
    <m/>
    <m/>
    <m/>
    <m/>
    <m/>
    <m/>
    <m/>
    <m/>
    <m/>
    <m/>
    <m/>
    <n v="480"/>
    <n v="480"/>
    <n v="480"/>
    <n v="480"/>
    <n v="480"/>
    <n v="480"/>
    <n v="480"/>
    <n v="480"/>
  </r>
  <r>
    <n v="45"/>
    <s v="张家港华捷电子有限公司"/>
    <x v="0"/>
    <s v="深圳市北高智电子有限公司"/>
    <s v="Ricky"/>
    <m/>
    <x v="28"/>
    <x v="30"/>
    <m/>
    <x v="0"/>
    <s v="电动工具"/>
    <m/>
    <s v="小批量"/>
    <s v="约见客户，寻找潜在用量"/>
    <s v="无"/>
    <m/>
    <n v="0.4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3"/>
    <m/>
    <m/>
    <m/>
    <m/>
    <m/>
    <m/>
    <m/>
    <m/>
    <n v="0"/>
    <n v="0"/>
    <n v="0"/>
    <n v="0"/>
    <n v="0"/>
    <n v="0"/>
    <n v="0"/>
    <n v="0"/>
  </r>
  <r>
    <n v="46"/>
    <s v="东莞维斗东方科技有限公司"/>
    <x v="0"/>
    <s v="深圳市钧敏科技有限公司"/>
    <s v="Ricky"/>
    <m/>
    <x v="27"/>
    <x v="29"/>
    <m/>
    <x v="0"/>
    <s v="座椅风扇项目"/>
    <m/>
    <s v="小批量"/>
    <s v="客户测试OK ,已经小批试产"/>
    <s v="无"/>
    <m/>
    <n v="0.45"/>
    <n v="0"/>
    <n v="0"/>
    <n v="0"/>
    <n v="50000"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汽车电子"/>
    <s v="智能座舱"/>
    <s v="智能座椅"/>
    <s v="座椅水平电机"/>
    <m/>
    <m/>
    <m/>
    <n v="3"/>
    <m/>
    <d v="2023-03-01T00:00:00"/>
    <d v="2023-03-01T00:00:00"/>
    <d v="2023-09-01T00:00:00"/>
    <d v="2023-11-11T00:00:00"/>
    <m/>
    <m/>
    <n v="3"/>
    <n v="0"/>
    <n v="0"/>
    <n v="0"/>
    <n v="0"/>
    <n v="0"/>
    <n v="0"/>
    <n v="0"/>
    <n v="0"/>
  </r>
  <r>
    <n v="47"/>
    <s v="肇庆市众凯机电有限公司"/>
    <x v="0"/>
    <s v="深圳市钧敏科技有限公司"/>
    <s v="Ricky"/>
    <m/>
    <x v="26"/>
    <x v="28"/>
    <m/>
    <x v="0"/>
    <s v="电动撑杆"/>
    <m/>
    <s v="送样"/>
    <m/>
    <m/>
    <m/>
    <n v="0.45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工业电机"/>
    <s v="工业电机电控"/>
    <m/>
    <m/>
    <m/>
    <m/>
    <n v="3"/>
    <m/>
    <m/>
    <m/>
    <m/>
    <m/>
    <m/>
    <m/>
    <m/>
    <n v="0"/>
    <n v="0"/>
    <n v="0"/>
    <n v="0"/>
    <n v="0"/>
    <n v="0"/>
    <n v="0"/>
    <n v="0"/>
  </r>
  <r>
    <n v="48"/>
    <s v="南通新德昇电子科技有限公司"/>
    <x v="2"/>
    <s v="深圳市钧敏科技有限公司"/>
    <s v="Ricky"/>
    <m/>
    <x v="21"/>
    <x v="23"/>
    <m/>
    <x v="0"/>
    <s v="电动剪刀"/>
    <m/>
    <s v="批量"/>
    <s v="约见客户，确定实际用量情况"/>
    <s v="无"/>
    <m/>
    <n v="0.28"/>
    <n v="42000"/>
    <n v="42000"/>
    <n v="150000"/>
    <m/>
    <m/>
    <m/>
    <n v="100000"/>
    <m/>
    <m/>
    <n v="50000"/>
    <m/>
    <n v="50000"/>
    <m/>
    <m/>
    <n v="5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0"/>
    <n v="0"/>
    <n v="14000"/>
    <n v="0"/>
    <n v="14000"/>
    <n v="0"/>
    <n v="0"/>
    <n v="14000"/>
  </r>
  <r>
    <n v="49"/>
    <s v="南通新德昇电子科技有限公司"/>
    <x v="0"/>
    <s v="深圳市钧敏科技有限公司"/>
    <s v="Ricky"/>
    <m/>
    <x v="21"/>
    <x v="31"/>
    <s v="白板"/>
    <x v="0"/>
    <s v="电动剪刀"/>
    <m/>
    <m/>
    <m/>
    <m/>
    <m/>
    <n v="0.1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0"/>
    <n v="0"/>
    <n v="0"/>
    <n v="0"/>
    <n v="0"/>
    <n v="0"/>
    <n v="0"/>
    <n v="0"/>
  </r>
  <r>
    <n v="50"/>
    <s v="金华市聚杰电器有限公司"/>
    <x v="0"/>
    <s v="深圳市钧敏科技有限公司"/>
    <s v="Ricky"/>
    <m/>
    <x v="21"/>
    <x v="23"/>
    <m/>
    <x v="0"/>
    <s v="电动剪刀"/>
    <m/>
    <s v="送样"/>
    <m/>
    <s v="无"/>
    <m/>
    <n v="0.4"/>
    <n v="18000"/>
    <n v="24000"/>
    <n v="45000"/>
    <m/>
    <n v="45000"/>
    <n v="15000"/>
    <n v="15000"/>
    <n v="15000"/>
    <m/>
    <n v="15000"/>
    <m/>
    <m/>
    <n v="15000"/>
    <m/>
    <n v="15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6000"/>
    <n v="0"/>
    <n v="6000"/>
    <n v="0"/>
    <n v="0"/>
    <n v="6000"/>
    <n v="0"/>
    <n v="6000"/>
  </r>
  <r>
    <n v="51"/>
    <s v="宁波瑞霖机械科技有限公司"/>
    <x v="0"/>
    <s v="深圳市钧敏科技有限公司"/>
    <s v="Ricky"/>
    <m/>
    <x v="29"/>
    <x v="32"/>
    <m/>
    <x v="0"/>
    <s v="电动剪刀"/>
    <m/>
    <s v="送样"/>
    <m/>
    <s v="无"/>
    <m/>
    <n v="0.3"/>
    <n v="90000"/>
    <n v="120000"/>
    <n v="300000"/>
    <n v="100000"/>
    <n v="138000"/>
    <n v="100000"/>
    <n v="100000"/>
    <n v="100000"/>
    <m/>
    <n v="100000"/>
    <m/>
    <m/>
    <n v="100000"/>
    <m/>
    <n v="10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30000"/>
    <n v="0"/>
    <n v="30000"/>
    <n v="0"/>
    <n v="0"/>
    <n v="30000"/>
    <n v="0"/>
    <n v="30000"/>
  </r>
  <r>
    <n v="52"/>
    <s v="宁波友博电子有限公司"/>
    <x v="0"/>
    <s v="深圳市钧敏科技有限公司"/>
    <s v="Ricky"/>
    <m/>
    <x v="30"/>
    <x v="33"/>
    <m/>
    <x v="0"/>
    <s v="电动剪刀"/>
    <m/>
    <s v="小批量"/>
    <m/>
    <s v="无"/>
    <m/>
    <n v="0.4"/>
    <n v="24000"/>
    <n v="48000"/>
    <n v="60000"/>
    <n v="30000"/>
    <n v="30000"/>
    <n v="30000"/>
    <n v="30000"/>
    <n v="30000"/>
    <m/>
    <m/>
    <m/>
    <m/>
    <n v="30000"/>
    <m/>
    <n v="3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12000"/>
    <n v="0"/>
    <n v="0"/>
    <n v="0"/>
    <n v="0"/>
    <n v="12000"/>
    <n v="0"/>
    <n v="12000"/>
  </r>
  <r>
    <n v="53"/>
    <s v="_x0009_珠海创伟领航科技有限公司"/>
    <x v="0"/>
    <s v="深圳市钧敏科技有限公司"/>
    <s v="Ricky"/>
    <m/>
    <x v="11"/>
    <x v="11"/>
    <m/>
    <x v="0"/>
    <s v="榨汁机"/>
    <m/>
    <s v="批量"/>
    <m/>
    <s v="无"/>
    <m/>
    <n v="0.28"/>
    <n v="196000"/>
    <n v="224000"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28000"/>
    <n v="28000"/>
    <n v="28000"/>
    <n v="28000"/>
    <n v="28000"/>
    <n v="28000"/>
    <n v="28000"/>
    <n v="28000"/>
  </r>
  <r>
    <n v="54"/>
    <s v="深圳市方力洋科技有限公司"/>
    <x v="0"/>
    <s v="深圳市钧敏科技有限公司"/>
    <s v="Ricky"/>
    <m/>
    <x v="16"/>
    <x v="18"/>
    <m/>
    <x v="0"/>
    <s v="电动剪刀"/>
    <m/>
    <s v="小批量"/>
    <m/>
    <m/>
    <m/>
    <n v="0.18"/>
    <n v="37800"/>
    <n v="37800"/>
    <n v="210000"/>
    <n v="30000"/>
    <n v="30000"/>
    <n v="30000"/>
    <n v="30000"/>
    <m/>
    <n v="30000"/>
    <n v="30000"/>
    <n v="30000"/>
    <n v="30000"/>
    <n v="30000"/>
    <n v="30000"/>
    <n v="30000"/>
    <m/>
    <m/>
    <m/>
    <m/>
    <m/>
    <m/>
    <m/>
    <m/>
    <m/>
    <m/>
    <m/>
    <m/>
    <m/>
    <x v="0"/>
    <s v="磁性位置传感器"/>
    <s v="工业和机器人"/>
    <s v="工业其他"/>
    <m/>
    <m/>
    <m/>
    <m/>
    <m/>
    <m/>
    <m/>
    <m/>
    <m/>
    <m/>
    <m/>
    <m/>
    <m/>
    <m/>
    <n v="0"/>
    <n v="5400"/>
    <n v="5400"/>
    <n v="5400"/>
    <n v="5400"/>
    <n v="5400"/>
    <n v="5400"/>
    <n v="5400"/>
  </r>
  <r>
    <n v="55"/>
    <s v="苏州柯尔特测控技术有限公司"/>
    <x v="0"/>
    <s v="苏州柯尔特测控技术有限公司"/>
    <s v="Ricky"/>
    <m/>
    <x v="31"/>
    <x v="34"/>
    <m/>
    <x v="0"/>
    <s v="手柄"/>
    <m/>
    <s v="批量"/>
    <m/>
    <m/>
    <m/>
    <n v="0.25"/>
    <n v="337500"/>
    <n v="187500"/>
    <n v="1350000"/>
    <n v="100000"/>
    <n v="150000"/>
    <n v="150000"/>
    <n v="150000"/>
    <m/>
    <n v="150000"/>
    <n v="100000"/>
    <n v="200000"/>
    <n v="200000"/>
    <n v="200000"/>
    <n v="250000"/>
    <n v="250000"/>
    <m/>
    <m/>
    <m/>
    <m/>
    <m/>
    <m/>
    <m/>
    <m/>
    <m/>
    <m/>
    <m/>
    <m/>
    <m/>
    <x v="0"/>
    <s v="角度传感器"/>
    <s v="替代交通"/>
    <s v="电动二轮/三轮"/>
    <m/>
    <m/>
    <m/>
    <m/>
    <m/>
    <m/>
    <m/>
    <m/>
    <m/>
    <m/>
    <m/>
    <m/>
    <m/>
    <m/>
    <n v="0"/>
    <n v="37500"/>
    <n v="25000"/>
    <n v="50000"/>
    <n v="50000"/>
    <n v="50000"/>
    <n v="62500"/>
    <n v="62500"/>
  </r>
  <r>
    <n v="56"/>
    <s v="威廉姆斯（苏州）控制系统有限公司"/>
    <x v="2"/>
    <s v="上海亿韧电子有限公司"/>
    <s v="Ricky"/>
    <m/>
    <x v="32"/>
    <x v="35"/>
    <m/>
    <x v="0"/>
    <m/>
    <m/>
    <m/>
    <m/>
    <m/>
    <m/>
    <n v="2.82"/>
    <n v="84600"/>
    <m/>
    <n v="30000"/>
    <m/>
    <m/>
    <m/>
    <m/>
    <m/>
    <m/>
    <m/>
    <m/>
    <m/>
    <n v="10000"/>
    <n v="10000"/>
    <n v="10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0"/>
    <n v="0"/>
    <n v="28200"/>
    <n v="28200"/>
    <n v="28200"/>
  </r>
  <r>
    <n v="57"/>
    <s v="深圳市艾华迪技术有限公司"/>
    <x v="1"/>
    <s v="深圳市艾华迪技术有限公司"/>
    <s v="Freya"/>
    <m/>
    <x v="0"/>
    <x v="0"/>
    <m/>
    <x v="0"/>
    <s v="三合一电驱"/>
    <n v="2200000"/>
    <s v="量产"/>
    <m/>
    <m/>
    <m/>
    <n v="1.76"/>
    <n v="950400"/>
    <n v="1848000"/>
    <n v="540000"/>
    <n v="200000"/>
    <m/>
    <n v="180000"/>
    <n v="120000"/>
    <n v="120000"/>
    <n v="120000"/>
    <m/>
    <n v="120000"/>
    <m/>
    <n v="150000"/>
    <m/>
    <n v="150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211200"/>
    <n v="211200"/>
    <n v="0"/>
    <n v="211200"/>
    <n v="0"/>
    <n v="264000"/>
    <n v="0"/>
    <n v="264000"/>
  </r>
  <r>
    <n v="58"/>
    <s v="深圳市艾华迪技术有限公司"/>
    <x v="1"/>
    <s v="深圳市艾华迪技术有限公司"/>
    <s v="Freya"/>
    <m/>
    <x v="33"/>
    <x v="36"/>
    <m/>
    <x v="0"/>
    <s v="三合一电驱"/>
    <n v="2200000"/>
    <m/>
    <m/>
    <m/>
    <m/>
    <n v="1.62"/>
    <n v="324000"/>
    <n v="405000"/>
    <n v="200000"/>
    <m/>
    <n v="50000"/>
    <m/>
    <n v="50000"/>
    <n v="50000"/>
    <m/>
    <n v="50000"/>
    <n v="50000"/>
    <m/>
    <n v="50000"/>
    <n v="50000"/>
    <m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81000"/>
    <n v="0"/>
    <n v="81000"/>
    <n v="81000"/>
    <n v="0"/>
    <n v="81000"/>
    <n v="81000"/>
    <n v="0"/>
  </r>
  <r>
    <n v="59"/>
    <s v="艾菲汽车零部件（武汉）有限公司"/>
    <x v="0"/>
    <s v="艾菲汽车零部件（武汉）有限公司"/>
    <s v="Freya"/>
    <m/>
    <x v="34"/>
    <x v="37"/>
    <m/>
    <x v="0"/>
    <s v="曲轴传感器"/>
    <n v="500000"/>
    <s v="小批量"/>
    <m/>
    <m/>
    <m/>
    <n v="3.36"/>
    <n v="50400"/>
    <n v="50400"/>
    <n v="15000"/>
    <m/>
    <m/>
    <n v="3000"/>
    <m/>
    <m/>
    <n v="3000"/>
    <m/>
    <m/>
    <n v="6000"/>
    <m/>
    <m/>
    <n v="6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10080"/>
    <n v="0"/>
    <n v="0"/>
    <n v="20160"/>
    <n v="0"/>
    <n v="0"/>
    <n v="20160"/>
  </r>
  <r>
    <n v="60"/>
    <s v="艾菲汽车零部件（武汉）有限公司"/>
    <x v="0"/>
    <s v="艾菲汽车零部件（武汉）有限公司"/>
    <s v="Freya"/>
    <m/>
    <x v="35"/>
    <x v="38"/>
    <m/>
    <x v="0"/>
    <s v="凸轮轴传感器"/>
    <n v="500000"/>
    <s v="评估"/>
    <m/>
    <m/>
    <m/>
    <n v="4.42"/>
    <n v="44200"/>
    <n v="44200"/>
    <n v="10000"/>
    <n v="0"/>
    <n v="0"/>
    <n v="0"/>
    <n v="0"/>
    <n v="0"/>
    <n v="0"/>
    <n v="0"/>
    <n v="0"/>
    <n v="0"/>
    <n v="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0"/>
    <n v="0"/>
    <n v="0"/>
    <n v="0"/>
    <n v="22100"/>
    <n v="22100"/>
  </r>
  <r>
    <n v="61"/>
    <s v="驭芯科技（上海）有限公司"/>
    <x v="2"/>
    <s v="上海霍通电子有限公司"/>
    <s v="Freya"/>
    <s v="张翼虎"/>
    <x v="36"/>
    <x v="39"/>
    <m/>
    <x v="0"/>
    <s v="凸轮轴传感器"/>
    <n v="1000000"/>
    <s v="量产"/>
    <m/>
    <m/>
    <m/>
    <n v="0.7"/>
    <n v="49000"/>
    <n v="56000"/>
    <n v="7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7000"/>
    <n v="7000"/>
    <n v="7000"/>
    <n v="7000"/>
    <n v="7000"/>
    <n v="7000"/>
    <n v="7000"/>
    <n v="7000"/>
  </r>
  <r>
    <n v="62"/>
    <s v="驭芯科技（上海）有限公司"/>
    <x v="2"/>
    <s v="上海霍通电子有限公司"/>
    <s v="Freya"/>
    <s v="张翼虎"/>
    <x v="37"/>
    <x v="40"/>
    <m/>
    <x v="0"/>
    <s v="曲轴传感器"/>
    <n v="1000000"/>
    <s v="量产"/>
    <m/>
    <m/>
    <m/>
    <n v="1.27"/>
    <n v="88900"/>
    <n v="101600"/>
    <n v="7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2700"/>
    <n v="12700"/>
    <n v="12700"/>
    <n v="12700"/>
    <n v="12700"/>
    <n v="12700"/>
    <n v="12700"/>
    <n v="12700"/>
  </r>
  <r>
    <n v="63"/>
    <s v="驭芯科技（上海）有限公司"/>
    <x v="2"/>
    <s v="上海霍通电子有限公司"/>
    <s v="Freya"/>
    <s v="张翼虎"/>
    <x v="38"/>
    <x v="31"/>
    <m/>
    <x v="0"/>
    <s v="凸轮轴传感器"/>
    <n v="1000000"/>
    <s v="小批量"/>
    <m/>
    <m/>
    <m/>
    <n v="6.5"/>
    <n v="162500"/>
    <n v="162500"/>
    <n v="25000"/>
    <m/>
    <n v="3000"/>
    <m/>
    <m/>
    <m/>
    <m/>
    <n v="3000"/>
    <n v="6000"/>
    <m/>
    <m/>
    <n v="6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19500"/>
    <n v="39000"/>
    <n v="0"/>
    <n v="0"/>
    <n v="39000"/>
    <n v="65000"/>
  </r>
  <r>
    <n v="64"/>
    <s v="上海感先汽车传感器有限公司"/>
    <x v="1"/>
    <s v="上海霍通电子有限公司"/>
    <s v="Freya"/>
    <s v="张翼虎"/>
    <x v="39"/>
    <x v="41"/>
    <m/>
    <x v="0"/>
    <s v="凸轮轴传感器"/>
    <n v="1000000"/>
    <m/>
    <m/>
    <m/>
    <m/>
    <n v="6.05"/>
    <n v="121000"/>
    <n v="133100"/>
    <n v="20000"/>
    <n v="2000"/>
    <n v="2000"/>
    <n v="2000"/>
    <n v="2000"/>
    <n v="2000"/>
    <n v="2000"/>
    <n v="2000"/>
    <n v="2000"/>
    <n v="2000"/>
    <n v="200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2100"/>
    <n v="12100"/>
    <n v="12100"/>
    <n v="12100"/>
    <n v="12100"/>
    <n v="12100"/>
    <n v="30250"/>
    <n v="30250"/>
  </r>
  <r>
    <n v="65"/>
    <s v="上海感先汽车传感器有限公司"/>
    <x v="1"/>
    <s v="上海霍通电子有限公司"/>
    <s v="Freya"/>
    <s v="张翼虎"/>
    <x v="40"/>
    <x v="42"/>
    <m/>
    <x v="0"/>
    <s v="曲轴传感器"/>
    <n v="1000000"/>
    <s v="量产"/>
    <m/>
    <m/>
    <m/>
    <n v="6.05"/>
    <n v="435600"/>
    <n v="496100"/>
    <n v="72000"/>
    <n v="8000"/>
    <n v="8000"/>
    <n v="8000"/>
    <n v="10000"/>
    <n v="10000"/>
    <n v="10000"/>
    <n v="10000"/>
    <n v="10000"/>
    <n v="10000"/>
    <n v="10000"/>
    <n v="10000"/>
    <n v="12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60500"/>
    <n v="60500"/>
    <n v="60500"/>
    <n v="60500"/>
    <n v="60500"/>
    <n v="60500"/>
    <n v="60500"/>
    <n v="72600"/>
  </r>
  <r>
    <n v="66"/>
    <s v="湖北三环汽车电器有限公司"/>
    <x v="0"/>
    <s v="深圳市宝创科技有限公司"/>
    <s v="Freya"/>
    <s v="焦志军"/>
    <x v="41"/>
    <x v="43"/>
    <m/>
    <x v="0"/>
    <s v="油电口盖"/>
    <n v="500000"/>
    <s v="样品测试完成"/>
    <m/>
    <m/>
    <m/>
    <n v="0.4"/>
    <n v="15600"/>
    <n v="15600"/>
    <n v="39000"/>
    <n v="0"/>
    <n v="0"/>
    <n v="0"/>
    <n v="0"/>
    <n v="10000"/>
    <n v="0"/>
    <n v="3000"/>
    <n v="3000"/>
    <n v="5000"/>
    <n v="8000"/>
    <n v="10000"/>
    <n v="1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4000"/>
    <n v="0"/>
    <n v="1200"/>
    <n v="1200"/>
    <n v="2000"/>
    <n v="3200"/>
    <n v="4000"/>
    <n v="4000"/>
  </r>
  <r>
    <n v="67"/>
    <s v="湖北三环汽车电器有限公司"/>
    <x v="0"/>
    <s v="深圳市宝创科技有限公司"/>
    <s v="Freya"/>
    <s v="焦志军"/>
    <x v="42"/>
    <x v="44"/>
    <m/>
    <x v="0"/>
    <s v="换挡器"/>
    <n v="500000"/>
    <s v="量产"/>
    <m/>
    <m/>
    <m/>
    <n v="0.4"/>
    <n v="15200"/>
    <n v="96000"/>
    <n v="38000"/>
    <n v="15000"/>
    <n v="15000"/>
    <n v="15000"/>
    <n v="30000"/>
    <n v="30000"/>
    <n v="6000"/>
    <n v="12000"/>
    <m/>
    <n v="0"/>
    <n v="0"/>
    <n v="0"/>
    <n v="2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2000"/>
    <n v="2400"/>
    <n v="4800"/>
    <n v="0"/>
    <n v="0"/>
    <n v="0"/>
    <n v="0"/>
    <n v="8000"/>
  </r>
  <r>
    <n v="68"/>
    <s v="重庆睿格汽车部件有限公司"/>
    <x v="1"/>
    <s v="深圳市宝创科技有限公司"/>
    <s v="Freya"/>
    <s v="凡莹"/>
    <x v="43"/>
    <x v="45"/>
    <m/>
    <x v="0"/>
    <s v="商用车换挡器"/>
    <n v="2000000"/>
    <s v="小批量"/>
    <m/>
    <m/>
    <m/>
    <n v="0.4"/>
    <n v="42000"/>
    <n v="48000"/>
    <n v="105000"/>
    <n v="0"/>
    <n v="3000"/>
    <n v="15000"/>
    <m/>
    <n v="15000"/>
    <n v="15000"/>
    <n v="15000"/>
    <n v="15000"/>
    <n v="15000"/>
    <n v="15000"/>
    <n v="15000"/>
    <n v="15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69"/>
    <s v="重庆睿格汽车部件有限公司"/>
    <x v="1"/>
    <s v="深圳市宝创科技有限公司"/>
    <s v="Freya"/>
    <s v="凡莹"/>
    <x v="44"/>
    <x v="46"/>
    <m/>
    <x v="0"/>
    <s v="商用车换挡器"/>
    <n v="2000000"/>
    <s v="小批量"/>
    <m/>
    <m/>
    <m/>
    <n v="0.4"/>
    <n v="18000"/>
    <n v="22800"/>
    <n v="45000"/>
    <n v="3000"/>
    <n v="0"/>
    <n v="15000"/>
    <m/>
    <n v="12000"/>
    <m/>
    <n v="12000"/>
    <m/>
    <n v="12000"/>
    <n v="6000"/>
    <n v="15000"/>
    <m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4800"/>
    <n v="0"/>
    <n v="4800"/>
    <n v="0"/>
    <n v="4800"/>
    <n v="2400"/>
    <n v="6000"/>
    <n v="0"/>
  </r>
  <r>
    <n v="70"/>
    <s v="湖北开特汽车电子电器股份有限公司"/>
    <x v="0"/>
    <s v="敏迅通通信技术（武汉）有限公司"/>
    <s v="Freya"/>
    <s v="凡莹"/>
    <x v="4"/>
    <x v="4"/>
    <m/>
    <x v="0"/>
    <s v="翰昂"/>
    <m/>
    <s v="打样"/>
    <m/>
    <m/>
    <m/>
    <n v="3.6"/>
    <n v="302400"/>
    <n v="324000"/>
    <n v="84000"/>
    <m/>
    <m/>
    <m/>
    <n v="3000"/>
    <n v="6000"/>
    <n v="6000"/>
    <n v="6000"/>
    <n v="12000"/>
    <n v="12000"/>
    <n v="12000"/>
    <n v="18000"/>
    <n v="18000"/>
    <m/>
    <m/>
    <m/>
    <m/>
    <m/>
    <m/>
    <m/>
    <m/>
    <m/>
    <n v="1"/>
    <m/>
    <m/>
    <s v="Serge"/>
    <x v="0"/>
    <s v="角度传感器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21600"/>
    <n v="21600"/>
    <n v="21600"/>
    <n v="43200"/>
    <n v="43200"/>
    <n v="43200"/>
    <n v="64800"/>
    <n v="64800"/>
  </r>
  <r>
    <n v="71"/>
    <s v="武汉艾特艾迪汽车科技有限公司"/>
    <x v="0"/>
    <s v="深圳市宝创科技有限公司"/>
    <s v="Freya"/>
    <s v="凡莹"/>
    <x v="45"/>
    <x v="47"/>
    <m/>
    <x v="0"/>
    <s v="工程车辆遥感"/>
    <n v="100000"/>
    <s v="量产"/>
    <m/>
    <m/>
    <m/>
    <n v="7"/>
    <n v="84000"/>
    <n v="84000"/>
    <n v="12000"/>
    <n v="0"/>
    <n v="0"/>
    <n v="0"/>
    <n v="3000"/>
    <n v="0"/>
    <n v="0"/>
    <n v="3000"/>
    <n v="3000"/>
    <n v="0"/>
    <n v="3000"/>
    <n v="0"/>
    <n v="3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21000"/>
    <n v="21000"/>
    <n v="0"/>
    <n v="21000"/>
    <n v="0"/>
    <n v="21000"/>
  </r>
  <r>
    <n v="72"/>
    <s v="湖北飞耀汽车控制系统有限公司"/>
    <x v="0"/>
    <s v="深圳市宝创科技有限公司"/>
    <s v="Freya"/>
    <s v="凡莹"/>
    <x v="43"/>
    <x v="45"/>
    <m/>
    <x v="0"/>
    <s v="商用车换挡器"/>
    <n v="288000"/>
    <s v="量产"/>
    <m/>
    <m/>
    <m/>
    <n v="0.4"/>
    <n v="72000"/>
    <n v="84000"/>
    <n v="180000"/>
    <n v="15000"/>
    <n v="15000"/>
    <n v="15000"/>
    <m/>
    <n v="30000"/>
    <m/>
    <n v="90000"/>
    <m/>
    <m/>
    <n v="60000"/>
    <m/>
    <n v="3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2000"/>
    <n v="0"/>
    <n v="36000"/>
    <n v="0"/>
    <n v="0"/>
    <n v="24000"/>
    <n v="0"/>
    <n v="12000"/>
  </r>
  <r>
    <n v="73"/>
    <s v="湖北飞耀汽车控制系统有限公司"/>
    <x v="0"/>
    <s v="深圳市宝创科技有限公司"/>
    <s v="Freya"/>
    <s v="凡莹"/>
    <x v="42"/>
    <x v="44"/>
    <m/>
    <x v="0"/>
    <s v="商用车换挡器"/>
    <n v="288000"/>
    <s v="量产"/>
    <m/>
    <m/>
    <m/>
    <n v="0.4"/>
    <n v="25200"/>
    <n v="28800"/>
    <n v="63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74"/>
    <s v="湖北飞耀汽车控制系统有限公司"/>
    <x v="0"/>
    <s v="深圳市宝创科技有限公司"/>
    <s v="Freya"/>
    <s v="凡莹"/>
    <x v="46"/>
    <x v="48"/>
    <m/>
    <x v="0"/>
    <s v="商用车换挡器"/>
    <n v="288000"/>
    <s v="量产"/>
    <m/>
    <m/>
    <m/>
    <n v="0.4"/>
    <n v="16800"/>
    <n v="22800"/>
    <n v="42000"/>
    <m/>
    <m/>
    <n v="30000"/>
    <m/>
    <n v="15000"/>
    <m/>
    <m/>
    <n v="9000"/>
    <m/>
    <n v="9000"/>
    <n v="15000"/>
    <n v="9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6000"/>
    <n v="0"/>
    <n v="0"/>
    <n v="3600"/>
    <n v="0"/>
    <n v="3600"/>
    <n v="6000"/>
    <n v="3600"/>
  </r>
  <r>
    <n v="75"/>
    <s v="上海岱美汽车内饰件股份有限公司"/>
    <x v="1"/>
    <s v="上海佩岭电子科技有限公司"/>
    <s v="Freya"/>
    <s v="朱一"/>
    <x v="41"/>
    <x v="43"/>
    <m/>
    <x v="0"/>
    <s v="化妆镜位置检测"/>
    <n v="100000"/>
    <s v="量产"/>
    <m/>
    <m/>
    <m/>
    <n v="0.39"/>
    <n v="163800"/>
    <n v="187200"/>
    <n v="420000"/>
    <n v="60000"/>
    <n v="60000"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23400"/>
    <n v="23400"/>
    <n v="23400"/>
    <n v="23400"/>
    <n v="23400"/>
    <n v="23400"/>
    <n v="23400"/>
    <n v="23400"/>
  </r>
  <r>
    <n v="76"/>
    <s v="建德市五星车业有限公司"/>
    <x v="0"/>
    <s v="上海和煦光电科技有限公司"/>
    <s v="Freya"/>
    <s v="陈云"/>
    <x v="47"/>
    <x v="49"/>
    <m/>
    <x v="0"/>
    <s v="电动车转板"/>
    <n v="5000000"/>
    <s v="送样"/>
    <m/>
    <m/>
    <m/>
    <n v="0.14"/>
    <n v="112000"/>
    <n v="210000"/>
    <n v="800000"/>
    <m/>
    <n v="0"/>
    <n v="0"/>
    <n v="5000"/>
    <n v="100000"/>
    <n v="200000"/>
    <n v="0"/>
    <n v="0"/>
    <n v="0"/>
    <n v="200000"/>
    <n v="200000"/>
    <n v="20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4000"/>
    <n v="28000"/>
    <n v="0"/>
    <n v="0"/>
    <n v="0"/>
    <n v="28000"/>
    <n v="28000"/>
    <n v="28000"/>
  </r>
  <r>
    <n v="77"/>
    <s v="盛势启创科技有限公司"/>
    <x v="2"/>
    <s v="鸿赛芯（上海）科技有限公司"/>
    <s v="Freya"/>
    <s v="袁海峰"/>
    <x v="48"/>
    <x v="50"/>
    <m/>
    <x v="0"/>
    <s v="三合一电驱"/>
    <n v="500000"/>
    <s v="小批量"/>
    <m/>
    <m/>
    <m/>
    <n v="1.88"/>
    <n v="142880"/>
    <n v="857656"/>
    <n v="76000"/>
    <m/>
    <m/>
    <n v="1850"/>
    <n v="3200"/>
    <n v="4000"/>
    <n v="6000"/>
    <n v="11000"/>
    <n v="11000"/>
    <n v="11000"/>
    <n v="11000"/>
    <n v="11000"/>
    <n v="15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7520"/>
    <n v="11280"/>
    <n v="20680"/>
    <n v="20680"/>
    <n v="20680"/>
    <n v="20680"/>
    <n v="20680"/>
    <n v="28200"/>
  </r>
  <r>
    <n v="78"/>
    <s v="盛势启创科技有限公司"/>
    <x v="2"/>
    <s v="鸿赛芯（上海）科技有限公司"/>
    <s v="Freya"/>
    <s v="袁海峰"/>
    <x v="49"/>
    <x v="51"/>
    <m/>
    <x v="0"/>
    <s v="三合一电驱"/>
    <n v="5000000"/>
    <s v="量产"/>
    <m/>
    <m/>
    <m/>
    <n v="1.88"/>
    <n v="1635600"/>
    <n v="4162335.04"/>
    <n v="870000"/>
    <m/>
    <n v="3000"/>
    <n v="3000"/>
    <n v="2000"/>
    <n v="2000"/>
    <n v="20000"/>
    <n v="50000"/>
    <n v="100000"/>
    <n v="100000"/>
    <n v="200000"/>
    <n v="200000"/>
    <n v="200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3760"/>
    <n v="37600"/>
    <n v="94000"/>
    <n v="188000"/>
    <n v="188000"/>
    <n v="376000"/>
    <n v="376000"/>
    <n v="376000"/>
  </r>
  <r>
    <n v="79"/>
    <s v="江西昱恩电子技术有限公司"/>
    <x v="0"/>
    <s v="鸿赛芯（上海）科技有限公司"/>
    <s v="Freya"/>
    <s v="袁海峰"/>
    <x v="50"/>
    <x v="52"/>
    <m/>
    <x v="0"/>
    <s v="电控电流传感器"/>
    <m/>
    <s v="前装送样"/>
    <s v="当下重点推进"/>
    <m/>
    <m/>
    <n v="2.21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0"/>
    <s v="江西昱恩电子技术有限公司"/>
    <x v="0"/>
    <s v="鸿赛芯（上海）科技有限公司"/>
    <s v="Freya"/>
    <s v="袁海峰"/>
    <x v="51"/>
    <x v="53"/>
    <m/>
    <x v="0"/>
    <s v="电控电流传感器"/>
    <m/>
    <s v="前装送样"/>
    <s v="当下重点推进"/>
    <m/>
    <m/>
    <n v="2.2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1"/>
    <s v="宁波永信汽车部件股份有限公司"/>
    <x v="0"/>
    <s v="鸿赛芯（上海）科技有限公司"/>
    <s v="Freya"/>
    <s v="袁海峰"/>
    <x v="4"/>
    <x v="4"/>
    <m/>
    <x v="0"/>
    <s v="换挡执行器"/>
    <m/>
    <s v="技术交流"/>
    <s v="当下重点推进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2"/>
    <s v="浙江科博达工业有限公司"/>
    <x v="0"/>
    <s v="苏州安连电子有限公司上海第一分公司"/>
    <s v="Freya"/>
    <s v="何梁辉"/>
    <x v="4"/>
    <x v="4"/>
    <m/>
    <x v="0"/>
    <s v="电子节气门体"/>
    <n v="500000"/>
    <s v="送样"/>
    <m/>
    <m/>
    <n v="90371"/>
    <n v="7"/>
    <n v="245000"/>
    <n v="245000"/>
    <n v="35000"/>
    <m/>
    <m/>
    <m/>
    <m/>
    <m/>
    <n v="0"/>
    <n v="0"/>
    <n v="0"/>
    <n v="0"/>
    <n v="5000"/>
    <n v="10000"/>
    <n v="20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0"/>
    <n v="0"/>
    <n v="35000"/>
    <n v="70000"/>
    <n v="140000"/>
  </r>
  <r>
    <n v="83"/>
    <s v="浙江科博达工业有限公司"/>
    <x v="0"/>
    <s v="苏州安连电子有限公司上海第一分公司"/>
    <s v="Freya"/>
    <s v="何梁辉"/>
    <x v="52"/>
    <x v="54"/>
    <m/>
    <x v="0"/>
    <s v="位移传感器"/>
    <n v="300000"/>
    <s v="送样"/>
    <m/>
    <m/>
    <n v="90371"/>
    <n v="2.8"/>
    <n v="44800"/>
    <n v="44800"/>
    <n v="16000"/>
    <m/>
    <m/>
    <m/>
    <m/>
    <m/>
    <m/>
    <m/>
    <n v="1000"/>
    <n v="0"/>
    <n v="0"/>
    <n v="5000"/>
    <n v="10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2800"/>
    <n v="0"/>
    <n v="0"/>
    <n v="14000"/>
    <n v="28000"/>
  </r>
  <r>
    <n v="84"/>
    <s v="武汉汉升汽车传感系统有限责任公司"/>
    <x v="0"/>
    <s v="苏州安连电子有限公司上海第一分公司"/>
    <s v="Freya"/>
    <s v="何梁辉"/>
    <x v="35"/>
    <x v="38"/>
    <m/>
    <x v="0"/>
    <s v="凸轮轴相位传感器"/>
    <n v="300000"/>
    <s v="批量"/>
    <m/>
    <m/>
    <s v="ATS675"/>
    <n v="6"/>
    <n v="420000"/>
    <n v="480000"/>
    <n v="70000"/>
    <n v="5000"/>
    <n v="5000"/>
    <n v="5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85"/>
    <s v="武汉汉升汽车传感系统有限责任公司"/>
    <x v="0"/>
    <s v="苏州安连电子有限公司上海第一分公司"/>
    <s v="Freya"/>
    <s v="何梁辉"/>
    <x v="37"/>
    <x v="40"/>
    <m/>
    <x v="0"/>
    <s v="曲轴位置传感器"/>
    <n v="200000"/>
    <s v="批量"/>
    <m/>
    <m/>
    <s v="TLE4921-5U"/>
    <n v="2.4"/>
    <n v="16800"/>
    <n v="19200"/>
    <n v="7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6"/>
    <s v="武汉汉升汽车传感系统有限责任公司"/>
    <x v="0"/>
    <s v="苏州安连电子有限公司上海第一分公司"/>
    <s v="Freya"/>
    <s v="何梁辉"/>
    <x v="53"/>
    <x v="55"/>
    <m/>
    <x v="0"/>
    <s v="凸轮轴相位传感器"/>
    <n v="100000"/>
    <s v="PV"/>
    <m/>
    <m/>
    <s v="MLX90217"/>
    <n v="1.6"/>
    <n v="30400"/>
    <n v="33600"/>
    <n v="19000"/>
    <n v="1000"/>
    <n v="1000"/>
    <n v="1000"/>
    <n v="1000"/>
    <n v="2000"/>
    <n v="2000"/>
    <n v="2000"/>
    <n v="3000"/>
    <n v="3000"/>
    <n v="3000"/>
    <n v="3000"/>
    <n v="3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3200"/>
    <n v="3200"/>
    <n v="3200"/>
    <n v="4800"/>
    <n v="4800"/>
    <n v="4800"/>
    <n v="4800"/>
    <n v="4800"/>
  </r>
  <r>
    <n v="87"/>
    <s v="无锡盛邦电子有限公司"/>
    <x v="1"/>
    <s v="苏州安连电子有限公司上海第一分公司"/>
    <s v="Freya"/>
    <s v="何梁辉"/>
    <x v="34"/>
    <x v="37"/>
    <m/>
    <x v="0"/>
    <s v="曲轴位置传感器"/>
    <n v="20000"/>
    <s v="PV"/>
    <m/>
    <m/>
    <s v="无"/>
    <n v="2.4"/>
    <n v="16800"/>
    <n v="19200"/>
    <n v="7000"/>
    <m/>
    <m/>
    <m/>
    <m/>
    <n v="1000"/>
    <n v="1000"/>
    <n v="1000"/>
    <n v="1000"/>
    <n v="1000"/>
    <n v="1000"/>
    <n v="1000"/>
    <n v="1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8"/>
    <s v="无锡盛邦电子有限公司"/>
    <x v="1"/>
    <s v="苏州安连电子有限公司上海第一分公司"/>
    <s v="Freya"/>
    <s v="何梁辉"/>
    <x v="54"/>
    <x v="56"/>
    <m/>
    <x v="0"/>
    <s v="曲轴位置传感器"/>
    <n v="500000"/>
    <s v="送样"/>
    <m/>
    <m/>
    <s v="TLE4924"/>
    <n v="2.2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9"/>
    <s v="无锡盛邦电子有限公司"/>
    <x v="1"/>
    <s v="苏州安连电子有限公司上海第一分公司"/>
    <s v="Freya"/>
    <s v="何梁辉"/>
    <x v="35"/>
    <x v="38"/>
    <m/>
    <x v="0"/>
    <s v="凸轮轴相位传感器"/>
    <n v="400000"/>
    <s v="送样"/>
    <m/>
    <s v="用在长柴商用车项目"/>
    <s v="ATS675"/>
    <n v="6"/>
    <n v="204000"/>
    <n v="222000"/>
    <n v="34000"/>
    <m/>
    <m/>
    <m/>
    <n v="2000"/>
    <n v="3000"/>
    <n v="4000"/>
    <n v="5000"/>
    <n v="5000"/>
    <n v="5000"/>
    <n v="500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8000"/>
    <n v="24000"/>
    <n v="30000"/>
    <n v="30000"/>
    <n v="30000"/>
    <n v="30000"/>
    <n v="30000"/>
    <n v="30000"/>
  </r>
  <r>
    <n v="90"/>
    <s v="无锡盛邦电子有限公司"/>
    <x v="1"/>
    <s v="苏州安连电子有限公司上海第一分公司"/>
    <s v="Freya"/>
    <s v="何梁辉"/>
    <x v="55"/>
    <x v="57"/>
    <m/>
    <x v="0"/>
    <s v="凸轮轴相位传感器"/>
    <n v="400000"/>
    <s v="评估"/>
    <m/>
    <s v="客户成本压力高，客户准备用SC9675TS做潍柴项目，需要赛卓给出磁铁方案，可能需要赛卓编好程出货给他们，另外需要仿真支持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91"/>
    <s v="苏州微测电子有限公司"/>
    <x v="0"/>
    <s v="苏州安连电子有限公司上海第一分公司"/>
    <s v="Freya"/>
    <s v="何梁辉"/>
    <x v="56"/>
    <x v="58"/>
    <m/>
    <x v="0"/>
    <s v="ABS轮速传感器"/>
    <n v="100000"/>
    <s v="送样"/>
    <m/>
    <m/>
    <m/>
    <n v="2.5"/>
    <n v="82500"/>
    <n v="82500"/>
    <n v="33000"/>
    <m/>
    <m/>
    <m/>
    <m/>
    <m/>
    <n v="3000"/>
    <n v="5000"/>
    <n v="5000"/>
    <n v="5000"/>
    <n v="500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7500"/>
    <n v="12500"/>
    <n v="12500"/>
    <n v="12500"/>
    <n v="12500"/>
    <n v="12500"/>
    <n v="12500"/>
  </r>
  <r>
    <n v="92"/>
    <s v="深圳市森世泰科技有限公司"/>
    <x v="0"/>
    <s v="苏州安连电子有限公司上海第一分公司"/>
    <s v="Freya"/>
    <s v="何梁辉"/>
    <x v="35"/>
    <x v="38"/>
    <m/>
    <x v="0"/>
    <s v="凸轮轴相位传感器"/>
    <n v="300000"/>
    <s v="PV"/>
    <m/>
    <m/>
    <s v="ATS675"/>
    <n v="6"/>
    <n v="84000"/>
    <n v="96000"/>
    <n v="14000"/>
    <n v="2000"/>
    <n v="2000"/>
    <n v="2000"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93"/>
    <s v="十堰合容汽车电器股份有限公司"/>
    <x v="0"/>
    <s v="上海和煦光电科技有限公司"/>
    <s v="Freya"/>
    <s v="陈云"/>
    <x v="57"/>
    <x v="59"/>
    <m/>
    <x v="0"/>
    <m/>
    <m/>
    <s v="量产"/>
    <m/>
    <m/>
    <m/>
    <n v="7.5"/>
    <n v="157500"/>
    <n v="180000"/>
    <n v="21000"/>
    <n v="0"/>
    <n v="0"/>
    <n v="3000"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22500"/>
    <n v="22500"/>
    <n v="22500"/>
    <n v="22500"/>
    <n v="22500"/>
    <n v="22500"/>
    <n v="22500"/>
    <n v="22500"/>
  </r>
  <r>
    <n v="94"/>
    <s v="霍尼韦尔（中国)有限公司"/>
    <x v="1"/>
    <s v="武汉沃达瑞电子科技有限公司"/>
    <s v="Freya"/>
    <s v="周晓雨"/>
    <x v="49"/>
    <x v="51"/>
    <m/>
    <x v="0"/>
    <m/>
    <n v="500000"/>
    <s v="批量"/>
    <m/>
    <m/>
    <m/>
    <n v="2.3"/>
    <n v="80500"/>
    <n v="92000"/>
    <n v="35000"/>
    <n v="5000"/>
    <n v="5000"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11500"/>
    <n v="11500"/>
    <n v="11500"/>
    <n v="11500"/>
    <n v="11500"/>
    <n v="11500"/>
    <n v="11500"/>
    <n v="11500"/>
  </r>
  <r>
    <n v="95"/>
    <s v="湖北瑞磁科技有限公司"/>
    <x v="0"/>
    <s v="贝能电子（上海）有限公司"/>
    <s v="Freya"/>
    <s v="张雨泽"/>
    <x v="51"/>
    <x v="53"/>
    <m/>
    <x v="0"/>
    <m/>
    <m/>
    <s v="小批量"/>
    <m/>
    <m/>
    <m/>
    <n v="2.497"/>
    <n v="44946"/>
    <n v="0"/>
    <n v="18000"/>
    <m/>
    <m/>
    <m/>
    <m/>
    <n v="200"/>
    <m/>
    <n v="3000"/>
    <m/>
    <n v="3000"/>
    <m/>
    <n v="6000"/>
    <n v="6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499.4"/>
    <n v="0"/>
    <n v="7491"/>
    <n v="0"/>
    <n v="7491"/>
    <n v="0"/>
    <n v="14982"/>
    <n v="14982"/>
  </r>
  <r>
    <n v="96"/>
    <s v="宜美科技集团有限公司"/>
    <x v="0"/>
    <s v="贝能电子（上海）有限公司"/>
    <s v="Freya"/>
    <s v="张雨泽"/>
    <x v="16"/>
    <x v="18"/>
    <m/>
    <x v="0"/>
    <m/>
    <m/>
    <s v="小批量"/>
    <m/>
    <m/>
    <m/>
    <n v="0.205"/>
    <n v="41000"/>
    <n v="0"/>
    <n v="200000"/>
    <m/>
    <m/>
    <m/>
    <m/>
    <n v="50000"/>
    <m/>
    <m/>
    <n v="50000"/>
    <n v="50000"/>
    <m/>
    <n v="50000"/>
    <n v="5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0250"/>
    <n v="0"/>
    <n v="0"/>
    <n v="10250"/>
    <n v="10250"/>
    <n v="0"/>
    <n v="10250"/>
    <n v="10250"/>
  </r>
  <r>
    <n v="97"/>
    <s v="上海博邦汽车技术有限公司"/>
    <x v="0"/>
    <s v="上海碧讯实业有限公司"/>
    <s v="Leo"/>
    <s v="吕斐"/>
    <x v="7"/>
    <x v="7"/>
    <m/>
    <x v="0"/>
    <s v="500W的气泵无刷电机，（OEM奇瑞）"/>
    <n v="500000"/>
    <s v="小批量"/>
    <s v="250509：已经按照18K的月需求滚动备料，5月开始拉动，实际以保隆采购下单为准；但是现在碧讯有54K库存，已经够用。（5，6，7月用库存即可）"/>
    <s v="TLE4961-1M"/>
    <m/>
    <n v="0.37"/>
    <n v="41070"/>
    <m/>
    <n v="111000"/>
    <n v="0"/>
    <n v="0"/>
    <n v="0"/>
    <n v="0"/>
    <n v="1"/>
    <n v="3000"/>
    <n v="18000"/>
    <n v="18000"/>
    <n v="18000"/>
    <n v="18000"/>
    <n v="18000"/>
    <n v="18000"/>
    <n v="0"/>
    <n v="0"/>
    <n v="0"/>
    <n v="0"/>
    <m/>
    <m/>
    <m/>
    <m/>
    <m/>
    <m/>
    <m/>
    <m/>
    <m/>
    <x v="1"/>
    <s v="磁性位置传感器"/>
    <s v="汽车电子"/>
    <s v="底盘电子"/>
    <s v="悬架系统"/>
    <s v="车身高度传感器"/>
    <m/>
    <m/>
    <m/>
    <m/>
    <m/>
    <m/>
    <m/>
    <m/>
    <m/>
    <m/>
    <m/>
    <m/>
    <n v="0.37"/>
    <n v="1110"/>
    <n v="6660"/>
    <n v="6660"/>
    <n v="6660"/>
    <n v="6660"/>
    <n v="6660"/>
    <n v="6660"/>
  </r>
  <r>
    <n v="98"/>
    <s v="上海博邦汽车技术有限公司"/>
    <x v="0"/>
    <s v="上海碧讯实业有限公司"/>
    <s v="Leo"/>
    <s v="吕斐"/>
    <x v="5"/>
    <x v="5"/>
    <m/>
    <x v="0"/>
    <s v="天窗电机（OEM蔚来）"/>
    <n v="100000"/>
    <s v="送样"/>
    <s v="250509：项目等待中，暂无更新"/>
    <s v="MLX92211BAA-202"/>
    <m/>
    <n v="0.776"/>
    <n v="356960"/>
    <m/>
    <n v="460000"/>
    <n v="0"/>
    <n v="0"/>
    <n v="0"/>
    <n v="0"/>
    <n v="0"/>
    <n v="40000"/>
    <n v="60000"/>
    <n v="80000"/>
    <n v="70000"/>
    <n v="70000"/>
    <n v="70000"/>
    <n v="70000"/>
    <n v="0"/>
    <n v="0"/>
    <n v="0"/>
    <n v="0"/>
    <m/>
    <m/>
    <m/>
    <m/>
    <m/>
    <m/>
    <m/>
    <m/>
    <m/>
    <x v="1"/>
    <s v="磁性位置传感器"/>
    <s v="汽车电子"/>
    <s v="车身电子"/>
    <s v="天窗系统"/>
    <s v="天窗电机"/>
    <m/>
    <m/>
    <m/>
    <m/>
    <m/>
    <m/>
    <m/>
    <m/>
    <m/>
    <m/>
    <m/>
    <m/>
    <n v="0"/>
    <n v="31040"/>
    <n v="46560"/>
    <n v="62080"/>
    <n v="54320"/>
    <n v="54320"/>
    <n v="54320"/>
    <n v="54320"/>
  </r>
  <r>
    <n v="99"/>
    <s v="浙江泰米电子科技有限公司"/>
    <x v="1"/>
    <s v="上海碧讯实业有限公司"/>
    <s v="Leo"/>
    <s v="吕斐"/>
    <x v="58"/>
    <x v="60"/>
    <m/>
    <x v="0"/>
    <s v="速度传感器"/>
    <s v="9641/70K每月"/>
    <s v="批量"/>
    <s v="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m/>
    <m/>
    <n v="1.55"/>
    <n v="759500"/>
    <m/>
    <n v="490000"/>
    <n v="70000"/>
    <n v="70000"/>
    <n v="70000"/>
    <n v="70000"/>
    <n v="70000"/>
    <n v="70000"/>
    <n v="70000"/>
    <n v="70000"/>
    <n v="70000"/>
    <n v="70000"/>
    <n v="70000"/>
    <n v="70000"/>
    <n v="0"/>
    <n v="0"/>
    <n v="0"/>
    <n v="0"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08500"/>
    <n v="108500"/>
    <n v="108500"/>
    <n v="108500"/>
    <n v="108500"/>
    <n v="108500"/>
    <n v="108500"/>
    <n v="108500"/>
  </r>
  <r>
    <n v="100"/>
    <s v="浙江泰米电子科技有限公司"/>
    <x v="1"/>
    <s v="上海碧讯实业有限公司"/>
    <s v="Leo"/>
    <s v="吕斐"/>
    <x v="59"/>
    <x v="61"/>
    <m/>
    <x v="0"/>
    <s v="速度传感器"/>
    <s v="9642/3K每月"/>
    <s v="批量"/>
    <s v="250509：年降25%，赛卓谈定只承担原厂10%，其他由碧讯搞定_x000a_250425：节后和代理商一同去客户正式拜访_x000a_250418：上周转移到Leo这，发了一次订单"/>
    <m/>
    <m/>
    <n v="2.25"/>
    <n v="47250"/>
    <m/>
    <n v="21000"/>
    <n v="3000"/>
    <n v="3000"/>
    <n v="3000"/>
    <n v="3000"/>
    <n v="3000"/>
    <n v="3000"/>
    <n v="3000"/>
    <n v="3000"/>
    <n v="3000"/>
    <n v="3000"/>
    <n v="3000"/>
    <n v="3000"/>
    <n v="0"/>
    <n v="0"/>
    <n v="0"/>
    <n v="15000"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750"/>
    <n v="6750"/>
    <n v="6750"/>
    <n v="6750"/>
    <n v="6750"/>
    <n v="6750"/>
    <n v="6750"/>
    <n v="6750"/>
  </r>
  <r>
    <n v="101"/>
    <s v="浙江泰米电子科技有限公司"/>
    <x v="1"/>
    <s v="上海碧讯实业有限公司"/>
    <s v="Leo"/>
    <s v="吕斐"/>
    <x v="60"/>
    <x v="62"/>
    <m/>
    <x v="0"/>
    <s v="速度传感器"/>
    <s v="9621/1K每月"/>
    <s v="批量"/>
    <s v="250509：年降25%，不同意降价_x000a_250425：节后和代理商一同去客户正式拜访_x000a_250418：上周转移到Leo这，发了一次订单"/>
    <m/>
    <m/>
    <n v="2.1"/>
    <n v="14700"/>
    <m/>
    <n v="7000"/>
    <n v="1000"/>
    <n v="1000"/>
    <n v="1000"/>
    <n v="1000"/>
    <n v="1000"/>
    <n v="1000"/>
    <n v="1000"/>
    <n v="1000"/>
    <n v="1000"/>
    <n v="1000"/>
    <n v="1000"/>
    <n v="1000"/>
    <n v="0"/>
    <n v="0"/>
    <n v="0"/>
    <n v="0"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100"/>
    <n v="2100"/>
    <n v="2100"/>
    <n v="2100"/>
    <n v="2100"/>
    <n v="2100"/>
    <n v="2100"/>
    <n v="2100"/>
  </r>
  <r>
    <n v="102"/>
    <s v="浙江泰米电子科技有限公司"/>
    <x v="1"/>
    <s v="上海碧讯实业有限公司"/>
    <s v="Leo"/>
    <s v="吕斐"/>
    <x v="36"/>
    <x v="63"/>
    <m/>
    <x v="0"/>
    <m/>
    <m/>
    <m/>
    <m/>
    <m/>
    <m/>
    <n v="1.95"/>
    <n v="13650"/>
    <m/>
    <n v="7000"/>
    <m/>
    <m/>
    <m/>
    <m/>
    <m/>
    <n v="1000"/>
    <n v="1000"/>
    <n v="1000"/>
    <n v="1000"/>
    <n v="1000"/>
    <n v="1000"/>
    <n v="1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1950"/>
    <n v="1950"/>
    <n v="1950"/>
    <n v="1950"/>
    <n v="1950"/>
    <n v="1950"/>
    <n v="1950"/>
  </r>
  <r>
    <n v="103"/>
    <s v="浙江泰米电子科技有限公司"/>
    <x v="1"/>
    <s v="上海碧讯实业有限公司"/>
    <s v="Leo"/>
    <s v="吕斐"/>
    <x v="61"/>
    <x v="64"/>
    <m/>
    <x v="0"/>
    <m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0"/>
    <n v="0"/>
    <n v="0"/>
    <n v="0"/>
    <n v="0"/>
    <n v="0"/>
    <n v="0"/>
  </r>
  <r>
    <n v="104"/>
    <s v="杭州临安天隆电子有限公司"/>
    <x v="1"/>
    <s v="上海霍通电子有限公司"/>
    <s v="Leo"/>
    <s v="张翼鹏"/>
    <x v="59"/>
    <x v="65"/>
    <m/>
    <x v="0"/>
    <s v="ABS轮速传感器"/>
    <n v="5000000"/>
    <s v="批量"/>
    <s v="250509：5-26那周周和代理商一同去客户正式拜访_x000a_20240418：已通知代理商，从5月1日起开始封装切换至佛山蓝箭"/>
    <m/>
    <m/>
    <n v="2.18"/>
    <n v="1220800"/>
    <m/>
    <n v="560000"/>
    <n v="80000"/>
    <n v="80000"/>
    <n v="80000"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m/>
    <x v="1"/>
    <s v="速度传感器"/>
    <m/>
    <m/>
    <m/>
    <m/>
    <s v="长安汽车"/>
    <m/>
    <m/>
    <m/>
    <m/>
    <m/>
    <m/>
    <m/>
    <m/>
    <m/>
    <m/>
    <m/>
    <n v="174400"/>
    <n v="174400"/>
    <n v="174400"/>
    <n v="174400"/>
    <n v="174400"/>
    <n v="174400"/>
    <n v="174400"/>
    <n v="174400"/>
  </r>
  <r>
    <n v="105"/>
    <s v="杭州临安天隆电子有限公司"/>
    <x v="1"/>
    <s v="上海霍通电子有限公司"/>
    <s v="Leo"/>
    <s v="张翼鹏"/>
    <x v="62"/>
    <x v="66"/>
    <m/>
    <x v="0"/>
    <m/>
    <m/>
    <m/>
    <m/>
    <m/>
    <m/>
    <n v="1.6"/>
    <n v="240000"/>
    <m/>
    <n v="150000"/>
    <m/>
    <m/>
    <m/>
    <m/>
    <m/>
    <n v="3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48000"/>
    <n v="32000"/>
    <n v="32000"/>
    <n v="32000"/>
    <n v="32000"/>
    <n v="32000"/>
    <n v="32000"/>
  </r>
  <r>
    <n v="106"/>
    <s v="上海昕荧科技有限公司"/>
    <x v="0"/>
    <s v="上海众知晓电子科技有限公司"/>
    <s v="Leo"/>
    <s v="赵书晓"/>
    <x v="52"/>
    <x v="54"/>
    <m/>
    <x v="0"/>
    <s v="换挡器"/>
    <n v="100000"/>
    <s v="批量"/>
    <s v="250509：正常供货；但4688没有断线检测，又重新送了4689的样去救场。"/>
    <s v="HAL888/ FI6710"/>
    <m/>
    <n v="2.72"/>
    <n v="190400"/>
    <m/>
    <n v="70000"/>
    <n v="0"/>
    <n v="4100"/>
    <n v="10000"/>
    <n v="0"/>
    <n v="10000"/>
    <n v="0"/>
    <n v="10000"/>
    <n v="0"/>
    <n v="20000"/>
    <n v="0"/>
    <n v="20000"/>
    <n v="20000"/>
    <m/>
    <m/>
    <m/>
    <m/>
    <m/>
    <m/>
    <m/>
    <m/>
    <m/>
    <m/>
    <m/>
    <m/>
    <m/>
    <x v="1"/>
    <s v="角度传感器"/>
    <s v="汽车电子"/>
    <s v="动力总成"/>
    <s v="变速箱"/>
    <s v="拨叉位置传感器"/>
    <m/>
    <m/>
    <m/>
    <n v="1"/>
    <m/>
    <m/>
    <m/>
    <m/>
    <m/>
    <m/>
    <m/>
    <m/>
    <n v="27200"/>
    <n v="0"/>
    <n v="27200"/>
    <n v="0"/>
    <n v="54400"/>
    <n v="0"/>
    <n v="54400"/>
    <n v="54400"/>
  </r>
  <r>
    <n v="107"/>
    <s v="无锡凌思科技有限公司"/>
    <x v="0"/>
    <s v="上海众知晓电子科技有限公司"/>
    <s v="Leo"/>
    <s v="赵书晓"/>
    <x v="63"/>
    <x v="31"/>
    <m/>
    <x v="0"/>
    <s v="惯性导航"/>
    <s v="NA"/>
    <s v="评估"/>
    <s v="250509：客户未反馈，状态TBD_x000a_无锡凌思已经调通了，现在在准备做高温环境下的稳定性验证,5月份DV,年底PV。"/>
    <s v="4.5-40的XL1509"/>
    <n v="0.6"/>
    <n v="2.19"/>
    <n v="6570"/>
    <m/>
    <n v="3000"/>
    <n v="0"/>
    <n v="0"/>
    <n v="0"/>
    <n v="0"/>
    <n v="0"/>
    <n v="0"/>
    <n v="0"/>
    <n v="0"/>
    <n v="0"/>
    <n v="0"/>
    <n v="0"/>
    <n v="3000"/>
    <m/>
    <m/>
    <m/>
    <m/>
    <m/>
    <m/>
    <m/>
    <m/>
    <m/>
    <m/>
    <m/>
    <m/>
    <m/>
    <x v="1"/>
    <s v="电源管理"/>
    <s v="工业与机器人"/>
    <s v="工程机械"/>
    <s v="挖掘机"/>
    <s v="GNSS模块"/>
    <m/>
    <m/>
    <m/>
    <m/>
    <m/>
    <m/>
    <m/>
    <m/>
    <m/>
    <m/>
    <m/>
    <m/>
    <n v="0"/>
    <n v="0"/>
    <n v="0"/>
    <n v="0"/>
    <n v="0"/>
    <n v="0"/>
    <n v="0"/>
    <n v="6570"/>
  </r>
  <r>
    <n v="108"/>
    <s v="伟巴斯特车顶供暖系统（上海）有限公司"/>
    <x v="1"/>
    <s v="深圳市道合顺网络有限公司"/>
    <s v="Leo"/>
    <s v="韩晓锐"/>
    <x v="15"/>
    <x v="17"/>
    <m/>
    <x v="0"/>
    <s v="天窗控制器"/>
    <n v="300000"/>
    <s v="批量"/>
    <s v="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5"/>
    <n v="45575.3"/>
    <m/>
    <n v="95948"/>
    <n v="3000"/>
    <n v="12000"/>
    <n v="15000"/>
    <n v="11692"/>
    <n v="22264"/>
    <n v="24384"/>
    <n v="21156"/>
    <n v="6336"/>
    <n v="7872"/>
    <n v="7200"/>
    <n v="7000"/>
    <n v="22000"/>
    <n v="3000"/>
    <n v="12000"/>
    <n v="15000"/>
    <m/>
    <m/>
    <m/>
    <m/>
    <m/>
    <m/>
    <m/>
    <m/>
    <m/>
    <m/>
    <x v="1"/>
    <s v="磁性位置传感器"/>
    <s v="汽车电子"/>
    <s v="车身电子"/>
    <s v="天窗总成"/>
    <s v="天窗电机控制器"/>
    <m/>
    <m/>
    <s v="L946"/>
    <n v="2"/>
    <m/>
    <m/>
    <m/>
    <m/>
    <m/>
    <m/>
    <m/>
    <s v="5年"/>
    <n v="10575.4"/>
    <n v="11582.4"/>
    <n v="10049.1"/>
    <n v="3009.6"/>
    <n v="3739.2"/>
    <n v="3420"/>
    <n v="3325"/>
    <n v="10450"/>
  </r>
  <r>
    <n v="109"/>
    <s v="上海禾赛科技有限公司"/>
    <x v="1"/>
    <s v="上海全一通讯技术有限公司"/>
    <s v="Leo"/>
    <s v="邬亮峰"/>
    <x v="64"/>
    <x v="67"/>
    <m/>
    <x v="0"/>
    <s v="Lindar"/>
    <n v="560000"/>
    <s v="批量"/>
    <s v="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_x000a_250509：五一期间变丝标，完成1号夜班排上这批料，2号产出，3号入长电仓库，4号长电统一快递发货，5号到禾赛。LastBuy 399K。先提204K，再盯着全一把剩余的提走。下周二去禾赛正式商务拜访。_x000a_250425:代理商失误没有及时通知客户标签和丝标的变更，导致需要紧急备货，已经协调长电紧急更改399K，Lastbuy_x000a_250403：状态TBD，保持跟进_x000a_250328：询问FAB的FIB是否找出问题所在_x000a_250314:没有进展_x000a_250309:新项目需要继续送样，推荐了2943，需要确认一下他们的具体应用_x000a_250228：正常供货中"/>
    <s v="MT836X"/>
    <m/>
    <n v="0.45"/>
    <n v="54000"/>
    <m/>
    <n v="120000"/>
    <n v="0"/>
    <n v="135000"/>
    <n v="0"/>
    <n v="132000"/>
    <n v="204000"/>
    <n v="0"/>
    <n v="0"/>
    <n v="0"/>
    <n v="0"/>
    <n v="0"/>
    <n v="120000"/>
    <n v="0"/>
    <n v="0"/>
    <n v="135000"/>
    <n v="0"/>
    <n v="132000"/>
    <n v="204000"/>
    <m/>
    <m/>
    <m/>
    <m/>
    <m/>
    <m/>
    <m/>
    <m/>
    <x v="1"/>
    <s v="磁性位置传感器"/>
    <s v="汽车电子"/>
    <s v="车身电子"/>
    <s v="其他"/>
    <s v="激光雷达执行器"/>
    <m/>
    <m/>
    <m/>
    <n v="3"/>
    <m/>
    <m/>
    <m/>
    <m/>
    <m/>
    <m/>
    <m/>
    <m/>
    <n v="91800"/>
    <n v="0"/>
    <n v="0"/>
    <n v="0"/>
    <n v="0"/>
    <n v="0"/>
    <n v="54000"/>
    <n v="0"/>
  </r>
  <r>
    <n v="110"/>
    <s v="比亚迪半导体股份有限公司"/>
    <x v="1"/>
    <s v="比亚迪半导体股份有限公司"/>
    <s v="Stephen"/>
    <m/>
    <x v="65"/>
    <x v="68"/>
    <n v="2100"/>
    <x v="0"/>
    <s v="电流传感器"/>
    <m/>
    <m/>
    <m/>
    <m/>
    <m/>
    <n v="1.808"/>
    <n v="3616000"/>
    <n v="13379200"/>
    <n v="2000000"/>
    <m/>
    <m/>
    <m/>
    <m/>
    <n v="1000000"/>
    <n v="800000"/>
    <n v="300000"/>
    <n v="150000"/>
    <n v="150000"/>
    <n v="200000"/>
    <n v="200000"/>
    <n v="200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1808000"/>
    <n v="1446400"/>
    <n v="542400"/>
    <n v="271200"/>
    <n v="271200"/>
    <n v="361600"/>
    <n v="361600"/>
    <n v="361600"/>
  </r>
  <r>
    <n v="111"/>
    <s v="比亚迪半导体股份有限公司"/>
    <x v="1"/>
    <s v="比亚迪半导体股份有限公司"/>
    <s v="Stephen"/>
    <m/>
    <x v="66"/>
    <x v="69"/>
    <n v="2100"/>
    <x v="0"/>
    <s v="电流传感器"/>
    <m/>
    <m/>
    <m/>
    <m/>
    <m/>
    <n v="2.2374"/>
    <n v="313236"/>
    <n v="425106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44748"/>
    <n v="44748"/>
    <n v="44748"/>
    <n v="44748"/>
    <n v="44748"/>
    <n v="44748"/>
    <n v="44748"/>
    <n v="44748"/>
  </r>
  <r>
    <n v="112"/>
    <s v="比亚迪半导体股份有限公司"/>
    <x v="1"/>
    <s v="比亚迪半导体股份有限公司"/>
    <s v="Stephen"/>
    <m/>
    <x v="67"/>
    <x v="70"/>
    <n v="2100"/>
    <x v="0"/>
    <s v="电流传感器"/>
    <m/>
    <m/>
    <m/>
    <m/>
    <m/>
    <n v="2.2374"/>
    <n v="78309"/>
    <n v="1968912"/>
    <n v="35000"/>
    <m/>
    <m/>
    <m/>
    <m/>
    <n v="10000"/>
    <n v="5000"/>
    <n v="5000"/>
    <n v="5000"/>
    <n v="5000"/>
    <n v="5000"/>
    <n v="5000"/>
    <n v="5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22374"/>
    <n v="11187"/>
    <n v="11187"/>
    <n v="11187"/>
    <n v="11187"/>
    <n v="11187"/>
    <n v="11187"/>
    <n v="11187"/>
  </r>
  <r>
    <n v="113"/>
    <s v="上海龙感汽车电子有限公司"/>
    <x v="2"/>
    <s v="上海君芷电子科技有限公司"/>
    <s v="Stephen"/>
    <s v="黄慧"/>
    <x v="68"/>
    <x v="71"/>
    <m/>
    <x v="0"/>
    <s v="ABS轮速传感器"/>
    <m/>
    <m/>
    <m/>
    <m/>
    <m/>
    <n v="2.03"/>
    <n v="5213222.7"/>
    <n v="5580835.4"/>
    <n v="2568090"/>
    <m/>
    <m/>
    <m/>
    <m/>
    <n v="291070"/>
    <n v="350000"/>
    <n v="350000"/>
    <n v="323570"/>
    <n v="372970"/>
    <n v="385370"/>
    <n v="393850"/>
    <n v="39233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590872.1"/>
    <n v="710500"/>
    <n v="710500"/>
    <n v="656847.1"/>
    <n v="757129.1"/>
    <n v="782301.1"/>
    <n v="799515.5"/>
    <n v="796429.9"/>
  </r>
  <r>
    <n v="114"/>
    <s v="上海龙感汽车电子有限公司"/>
    <x v="2"/>
    <s v="上海君芷电子科技有限公司"/>
    <s v="Stephen"/>
    <s v="黄慧"/>
    <x v="56"/>
    <x v="58"/>
    <m/>
    <x v="0"/>
    <s v="ABS轮速传感器"/>
    <m/>
    <m/>
    <m/>
    <m/>
    <m/>
    <n v="2.068"/>
    <n v="1085402.208"/>
    <n v="977709.04"/>
    <n v="524856"/>
    <m/>
    <m/>
    <m/>
    <m/>
    <n v="73924"/>
    <n v="66856"/>
    <n v="80000"/>
    <n v="80000"/>
    <n v="80000"/>
    <n v="80000"/>
    <n v="80000"/>
    <n v="58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52874.832"/>
    <n v="138258.208"/>
    <n v="165440"/>
    <n v="165440"/>
    <n v="165440"/>
    <n v="165440"/>
    <n v="165440"/>
    <n v="119944"/>
  </r>
  <r>
    <n v="115"/>
    <s v="上海文襄汽车传感器有限公司"/>
    <x v="0"/>
    <s v="上海君芷电子科技有限公司"/>
    <s v="Stephen"/>
    <s v="黄慧"/>
    <x v="0"/>
    <x v="0"/>
    <m/>
    <x v="0"/>
    <s v="电流传感器"/>
    <m/>
    <m/>
    <m/>
    <m/>
    <m/>
    <n v="2.17"/>
    <n v="397110"/>
    <n v="121520"/>
    <n v="183000"/>
    <m/>
    <m/>
    <m/>
    <m/>
    <n v="6000"/>
    <n v="6000"/>
    <n v="6000"/>
    <n v="75000"/>
    <n v="60000"/>
    <n v="8000"/>
    <n v="20000"/>
    <n v="8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13020"/>
    <n v="13020"/>
    <n v="13020"/>
    <n v="162750"/>
    <n v="130200"/>
    <n v="17360"/>
    <n v="43400"/>
    <n v="17360"/>
  </r>
  <r>
    <n v="116"/>
    <s v="陆博汽车电子（曲阜）有限公司"/>
    <x v="1"/>
    <s v="常州迈莱芯电子有限公司"/>
    <s v="Stephen"/>
    <s v="王健"/>
    <x v="69"/>
    <x v="72"/>
    <m/>
    <x v="0"/>
    <s v="ABS轮速传感器"/>
    <m/>
    <m/>
    <m/>
    <m/>
    <m/>
    <n v="2.155"/>
    <n v="3871457.5"/>
    <n v="4278752.5"/>
    <n v="1796500"/>
    <m/>
    <m/>
    <m/>
    <m/>
    <n v="189000"/>
    <n v="196500"/>
    <n v="200000"/>
    <n v="200000"/>
    <n v="300000"/>
    <n v="300000"/>
    <n v="300000"/>
    <n v="3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07295"/>
    <n v="423457.5"/>
    <n v="431000"/>
    <n v="431000"/>
    <n v="646500"/>
    <n v="646500"/>
    <n v="646500"/>
    <n v="646500"/>
  </r>
  <r>
    <n v="117"/>
    <s v="陆博汽车电子（曲阜）有限公司"/>
    <x v="1"/>
    <s v="常州迈莱芯电子有限公司"/>
    <s v="Stephen"/>
    <s v="王健"/>
    <x v="70"/>
    <x v="73"/>
    <m/>
    <x v="0"/>
    <s v="ABS轮速传感器"/>
    <m/>
    <m/>
    <m/>
    <m/>
    <m/>
    <n v="2"/>
    <n v="2781000"/>
    <n v="2610000"/>
    <n v="1390500"/>
    <m/>
    <m/>
    <m/>
    <m/>
    <n v="135000"/>
    <n v="210000"/>
    <n v="210000"/>
    <n v="240000"/>
    <n v="250500"/>
    <n v="150000"/>
    <n v="150000"/>
    <n v="18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70000"/>
    <n v="420000"/>
    <n v="420000"/>
    <n v="480000"/>
    <n v="501000"/>
    <n v="300000"/>
    <n v="300000"/>
    <n v="360000"/>
  </r>
  <r>
    <n v="118"/>
    <s v="黄山辛贤汽车电子有限公司"/>
    <x v="1"/>
    <s v="无锡摩芯半导体有限公司"/>
    <s v="Stephen"/>
    <s v="王伟强"/>
    <x v="68"/>
    <x v="71"/>
    <m/>
    <x v="0"/>
    <s v="ABS轮速传感器"/>
    <m/>
    <m/>
    <m/>
    <m/>
    <m/>
    <n v="2.28"/>
    <n v="3192000"/>
    <n v="3648000"/>
    <n v="1400000"/>
    <m/>
    <m/>
    <m/>
    <m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56000"/>
    <n v="456000"/>
    <n v="456000"/>
    <n v="456000"/>
    <n v="456000"/>
    <n v="456000"/>
    <n v="456000"/>
    <n v="456000"/>
  </r>
  <r>
    <n v="119"/>
    <s v="浙江亚特电器股份有限公司"/>
    <x v="0"/>
    <s v="欧铂电子科技（上海）有限公司"/>
    <s v="Stephen"/>
    <s v="张翼鹏"/>
    <x v="11"/>
    <x v="11"/>
    <m/>
    <x v="0"/>
    <s v="电动工具"/>
    <m/>
    <m/>
    <m/>
    <m/>
    <m/>
    <n v="0.19"/>
    <n v="251750"/>
    <n v="245100"/>
    <n v="1325000"/>
    <m/>
    <m/>
    <m/>
    <m/>
    <n v="120000"/>
    <n v="240000"/>
    <n v="175000"/>
    <n v="210000"/>
    <n v="175000"/>
    <n v="175000"/>
    <n v="175000"/>
    <n v="17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2800"/>
    <n v="45600"/>
    <n v="33250"/>
    <n v="39900"/>
    <n v="33250"/>
    <n v="33250"/>
    <n v="33250"/>
    <n v="33250"/>
  </r>
  <r>
    <n v="120"/>
    <s v="浙江亚特电器股份有限公司"/>
    <x v="0"/>
    <s v="欧铂电子科技（上海）有限公司"/>
    <s v="Stephen"/>
    <s v="张翼鹏"/>
    <x v="23"/>
    <x v="25"/>
    <m/>
    <x v="0"/>
    <s v="电动工具"/>
    <m/>
    <m/>
    <m/>
    <m/>
    <m/>
    <n v="0.32"/>
    <n v="181440"/>
    <n v="207360"/>
    <n v="567000"/>
    <m/>
    <m/>
    <m/>
    <m/>
    <n v="81000"/>
    <n v="81000"/>
    <n v="81000"/>
    <n v="81000"/>
    <n v="81000"/>
    <n v="81000"/>
    <n v="81000"/>
    <n v="81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5920"/>
    <n v="25920"/>
    <n v="25920"/>
    <n v="25920"/>
    <n v="25920"/>
    <n v="25920"/>
    <n v="25920"/>
    <n v="25920"/>
  </r>
  <r>
    <n v="121"/>
    <s v="天域智控科技（上海）科技有限公司"/>
    <x v="0"/>
    <s v="欧铂电子科技（上海）有限公司"/>
    <s v="Stephen"/>
    <s v="张翼鹏"/>
    <x v="64"/>
    <x v="67"/>
    <m/>
    <x v="0"/>
    <s v="天窗电机控制器"/>
    <m/>
    <m/>
    <m/>
    <m/>
    <m/>
    <n v="0.32"/>
    <n v="448000"/>
    <n v="512000"/>
    <n v="1400000"/>
    <m/>
    <m/>
    <m/>
    <m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22"/>
    <s v="上海艾铭思汽车控制系统有限公司"/>
    <x v="1"/>
    <s v="欧铂电子科技（上海）有限公司"/>
    <s v="Stephen"/>
    <s v="张翼鹏"/>
    <x v="7"/>
    <x v="7"/>
    <m/>
    <x v="0"/>
    <s v="天窗电机控制器"/>
    <m/>
    <m/>
    <m/>
    <m/>
    <m/>
    <n v="0.28"/>
    <n v="904400"/>
    <n v="1176000"/>
    <n v="3230000"/>
    <m/>
    <m/>
    <m/>
    <m/>
    <n v="400000"/>
    <n v="420000"/>
    <n v="210000"/>
    <n v="300000"/>
    <n v="500000"/>
    <n v="600000"/>
    <n v="600000"/>
    <n v="6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12000"/>
    <n v="117600"/>
    <n v="58800"/>
    <n v="84000"/>
    <n v="140000"/>
    <n v="168000"/>
    <n v="168000"/>
    <n v="168000"/>
  </r>
  <r>
    <n v="123"/>
    <s v="瑞悍电子科技（上海）有限公司"/>
    <x v="0"/>
    <s v="欧铂电子科技（上海）有限公司"/>
    <s v="Stephen"/>
    <s v="张翼鹏"/>
    <x v="64"/>
    <x v="67"/>
    <m/>
    <x v="0"/>
    <s v="天窗电机控制器"/>
    <m/>
    <m/>
    <m/>
    <m/>
    <m/>
    <n v="0.32"/>
    <n v="259200"/>
    <n v="291200"/>
    <n v="810000"/>
    <m/>
    <m/>
    <m/>
    <m/>
    <n v="100000"/>
    <n v="210000"/>
    <n v="100000"/>
    <n v="100000"/>
    <n v="100000"/>
    <n v="100000"/>
    <n v="100000"/>
    <n v="1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32000"/>
    <n v="67200"/>
    <n v="32000"/>
    <n v="32000"/>
    <n v="32000"/>
    <n v="32000"/>
    <n v="32000"/>
    <n v="32000"/>
  </r>
  <r>
    <n v="124"/>
    <s v="浙江帆舟电子科技有限公司"/>
    <x v="0"/>
    <s v="欧铂电子科技（上海）有限公司"/>
    <s v="Stephen"/>
    <s v="张翼鹏"/>
    <x v="28"/>
    <x v="30"/>
    <m/>
    <x v="0"/>
    <s v="车窗防夹电机"/>
    <m/>
    <m/>
    <m/>
    <m/>
    <m/>
    <n v="0.25"/>
    <n v="390000"/>
    <n v="400000"/>
    <n v="1560000"/>
    <m/>
    <m/>
    <m/>
    <m/>
    <n v="200000"/>
    <n v="200000"/>
    <n v="200000"/>
    <n v="360000"/>
    <n v="200000"/>
    <n v="200000"/>
    <n v="200000"/>
    <n v="2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50000"/>
    <n v="50000"/>
    <n v="50000"/>
    <n v="90000"/>
    <n v="50000"/>
    <n v="50000"/>
    <n v="50000"/>
    <n v="50000"/>
  </r>
  <r>
    <n v="125"/>
    <s v="昌辉汽车电器（黄山）股份公司"/>
    <x v="0"/>
    <s v="欧铂电子科技（上海）有限公司"/>
    <s v="Stephen"/>
    <s v="张翼鹏"/>
    <x v="42"/>
    <x v="44"/>
    <m/>
    <x v="0"/>
    <s v="组合开关"/>
    <m/>
    <m/>
    <m/>
    <m/>
    <m/>
    <n v="0.32"/>
    <n v="25600"/>
    <n v="28160"/>
    <n v="80000"/>
    <m/>
    <m/>
    <m/>
    <m/>
    <n v="8000"/>
    <n v="8000"/>
    <n v="12000"/>
    <n v="12000"/>
    <n v="12000"/>
    <n v="12000"/>
    <n v="12000"/>
    <n v="12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560"/>
    <n v="2560"/>
    <n v="3840"/>
    <n v="3840"/>
    <n v="3840"/>
    <n v="3840"/>
    <n v="3840"/>
    <n v="3840"/>
  </r>
  <r>
    <n v="126"/>
    <s v="黄山市瑞兴汽车电子有限公司"/>
    <x v="0"/>
    <s v="上海霍通电子有限公司"/>
    <s v="Stephen"/>
    <s v="张翼鹏"/>
    <x v="43"/>
    <x v="45"/>
    <n v="1134"/>
    <x v="1"/>
    <s v="电子换挡器"/>
    <m/>
    <m/>
    <m/>
    <m/>
    <m/>
    <n v="0.32"/>
    <n v="280000"/>
    <n v="320000"/>
    <n v="875000"/>
    <m/>
    <m/>
    <m/>
    <m/>
    <n v="125000"/>
    <n v="125000"/>
    <n v="125000"/>
    <n v="125000"/>
    <n v="125000"/>
    <n v="125000"/>
    <n v="125000"/>
    <n v="12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40000"/>
    <n v="40000"/>
    <n v="40000"/>
    <n v="40000"/>
    <n v="40000"/>
    <n v="40000"/>
    <n v="40000"/>
    <n v="40000"/>
  </r>
  <r>
    <n v="127"/>
    <s v="宁波拓普集团股份有限公司"/>
    <x v="1"/>
    <s v="上海霍通电子有限公司"/>
    <s v="Stephen"/>
    <s v="张翼鹏"/>
    <x v="71"/>
    <x v="74"/>
    <m/>
    <x v="0"/>
    <s v="电子膨胀阀"/>
    <m/>
    <m/>
    <m/>
    <m/>
    <m/>
    <n v="0.32"/>
    <n v="67200"/>
    <n v="76800"/>
    <n v="210000"/>
    <m/>
    <m/>
    <m/>
    <m/>
    <n v="3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9600"/>
    <n v="9600"/>
    <n v="9600"/>
    <n v="9600"/>
    <n v="9600"/>
    <n v="9600"/>
    <n v="9600"/>
    <n v="9600"/>
  </r>
  <r>
    <n v="128"/>
    <s v="东莞市铱鑫电子科技有限公司"/>
    <x v="0"/>
    <s v="上海霍通电子有限公司"/>
    <s v="Stephen"/>
    <s v="张翼鹏"/>
    <x v="72"/>
    <x v="75"/>
    <n v="2642"/>
    <x v="0"/>
    <s v="水流量传感器"/>
    <m/>
    <m/>
    <m/>
    <m/>
    <m/>
    <n v="0.32"/>
    <n v="121920"/>
    <n v="0"/>
    <n v="381000"/>
    <m/>
    <m/>
    <m/>
    <m/>
    <n v="60000"/>
    <m/>
    <m/>
    <n v="381000"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9200"/>
    <n v="0"/>
    <n v="0"/>
    <n v="121920"/>
    <n v="0"/>
    <n v="0"/>
    <n v="0"/>
    <n v="0"/>
  </r>
  <r>
    <n v="129"/>
    <s v="_x0009_德惠市北方汽车底盘零部件有限公司"/>
    <x v="0"/>
    <s v="上海霍通电子有限公司"/>
    <s v="Stephen"/>
    <s v="张翼鹏"/>
    <x v="73"/>
    <x v="31"/>
    <m/>
    <x v="0"/>
    <s v="制动灯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0"/>
    <s v="宁波新思创机电科技有限公司"/>
    <x v="1"/>
    <s v="上海霍通电子有限公司"/>
    <s v="Stephen"/>
    <s v="张翼鹏"/>
    <x v="59"/>
    <x v="61"/>
    <m/>
    <x v="0"/>
    <s v="ABS轮速传感器"/>
    <m/>
    <m/>
    <m/>
    <m/>
    <m/>
    <n v="2.07"/>
    <n v="1759500"/>
    <n v="1987200"/>
    <n v="850000"/>
    <m/>
    <m/>
    <m/>
    <m/>
    <n v="110000"/>
    <n v="110000"/>
    <n v="110000"/>
    <n v="110000"/>
    <n v="130000"/>
    <n v="130000"/>
    <n v="130000"/>
    <n v="1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27700"/>
    <n v="227700"/>
    <n v="227700"/>
    <n v="227700"/>
    <n v="269100"/>
    <n v="269100"/>
    <n v="269100"/>
    <n v="269100"/>
  </r>
  <r>
    <n v="131"/>
    <s v="宁波新思创机电科技有限公司"/>
    <x v="1"/>
    <s v="上海霍通电子有限公司"/>
    <s v="Stephen"/>
    <s v="张翼鹏"/>
    <x v="74"/>
    <x v="76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2"/>
    <s v="宁波新思创机电科技有限公司"/>
    <x v="1"/>
    <s v="上海霍通电子有限公司"/>
    <s v="Stephen"/>
    <s v="张翼鹏"/>
    <x v="56"/>
    <x v="58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3"/>
    <s v="合肥邦立电子股份有限公司"/>
    <x v="0"/>
    <s v="上海霍通电子有限公司"/>
    <s v="Stephen"/>
    <s v="张翼鹏"/>
    <x v="68"/>
    <x v="71"/>
    <m/>
    <x v="0"/>
    <s v="ABS轮速传感器"/>
    <m/>
    <m/>
    <m/>
    <m/>
    <m/>
    <n v="2.18"/>
    <n v="418560"/>
    <n v="1133600"/>
    <n v="192000"/>
    <m/>
    <m/>
    <m/>
    <m/>
    <n v="50000"/>
    <n v="24000"/>
    <n v="24000"/>
    <n v="24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09000"/>
    <n v="52320"/>
    <n v="52320"/>
    <n v="52320"/>
    <n v="65400"/>
    <n v="65400"/>
    <n v="65400"/>
    <n v="65400"/>
  </r>
  <r>
    <n v="134"/>
    <s v="合肥邦立电子股份有限公司"/>
    <x v="0"/>
    <s v="上海霍通电子有限公司"/>
    <s v="Stephen"/>
    <s v="张翼鹏"/>
    <x v="56"/>
    <x v="58"/>
    <m/>
    <x v="0"/>
    <s v="ABS轮速传感器"/>
    <m/>
    <m/>
    <m/>
    <m/>
    <m/>
    <n v="2.3"/>
    <n v="0"/>
    <n v="2357500"/>
    <n v="0"/>
    <m/>
    <m/>
    <m/>
    <m/>
    <n v="100000"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30000"/>
    <n v="0"/>
    <n v="0"/>
    <n v="0"/>
    <n v="0"/>
    <n v="0"/>
    <n v="0"/>
    <n v="0"/>
  </r>
  <r>
    <n v="135"/>
    <s v="杭州临安天隆电子有限公司"/>
    <x v="1"/>
    <s v="上海霍通电子有限公司"/>
    <s v="Stephen"/>
    <s v="张翼鹏"/>
    <x v="59"/>
    <x v="65"/>
    <m/>
    <x v="0"/>
    <s v="ABS轮速传感器"/>
    <m/>
    <m/>
    <m/>
    <m/>
    <m/>
    <n v="2.07"/>
    <n v="1531800"/>
    <n v="1738800"/>
    <n v="740000"/>
    <m/>
    <m/>
    <m/>
    <m/>
    <n v="100000"/>
    <n v="100000"/>
    <n v="100000"/>
    <n v="100000"/>
    <n v="110000"/>
    <n v="110000"/>
    <n v="110000"/>
    <n v="1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07000"/>
    <n v="207000"/>
    <n v="207000"/>
    <n v="207000"/>
    <n v="227700"/>
    <n v="227700"/>
    <n v="227700"/>
    <n v="227700"/>
  </r>
  <r>
    <n v="136"/>
    <s v="广州瑞立科密汽车电子股份有限公司"/>
    <x v="1"/>
    <s v="上海霍通电子有限公司"/>
    <s v="Stephen"/>
    <s v="张翼鹏"/>
    <x v="70"/>
    <x v="73"/>
    <m/>
    <x v="0"/>
    <s v="ABS轮速传感器"/>
    <m/>
    <m/>
    <m/>
    <m/>
    <m/>
    <n v="2.02"/>
    <n v="1272600"/>
    <n v="1454400"/>
    <n v="630000"/>
    <m/>
    <m/>
    <m/>
    <m/>
    <n v="90000"/>
    <n v="90000"/>
    <n v="90000"/>
    <n v="90000"/>
    <n v="90000"/>
    <n v="90000"/>
    <n v="90000"/>
    <n v="9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81800"/>
    <n v="181800"/>
    <n v="181800"/>
    <n v="181800"/>
    <n v="181800"/>
    <n v="181800"/>
    <n v="181800"/>
    <n v="181800"/>
  </r>
  <r>
    <n v="137"/>
    <s v="领联汽车零部件制造（上海）有限公司"/>
    <x v="1"/>
    <s v="上海霍通电子有限公司"/>
    <s v="Stephen"/>
    <s v="张翼鹏"/>
    <x v="68"/>
    <x v="71"/>
    <m/>
    <x v="0"/>
    <s v="ABS轮速传感器"/>
    <m/>
    <m/>
    <m/>
    <m/>
    <m/>
    <n v="2.18"/>
    <n v="2877600"/>
    <n v="3270000"/>
    <n v="1320000"/>
    <m/>
    <m/>
    <m/>
    <m/>
    <n v="180000"/>
    <n v="180000"/>
    <n v="180000"/>
    <n v="180000"/>
    <n v="195000"/>
    <n v="195000"/>
    <n v="195000"/>
    <n v="19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92400"/>
    <n v="392400"/>
    <n v="392400"/>
    <n v="392400"/>
    <n v="425100"/>
    <n v="425100"/>
    <n v="425100"/>
    <n v="425100"/>
  </r>
  <r>
    <n v="138"/>
    <s v="利奥电子(南京)有限公司"/>
    <x v="0"/>
    <s v="上海霍通电子有限公司"/>
    <s v="Stephen"/>
    <s v="张翼鹏"/>
    <x v="35"/>
    <x v="38"/>
    <m/>
    <x v="0"/>
    <s v="凸轮轴相位传感器"/>
    <m/>
    <m/>
    <m/>
    <m/>
    <m/>
    <n v="6.5"/>
    <n v="455000"/>
    <n v="520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139"/>
    <s v="重庆佳速汽车零部件有限公司"/>
    <x v="0"/>
    <s v="上海霍通电子有限公司"/>
    <s v="Stephen"/>
    <s v="张翼鹏"/>
    <x v="75"/>
    <x v="77"/>
    <m/>
    <x v="0"/>
    <s v="电子油门踏板"/>
    <m/>
    <m/>
    <m/>
    <m/>
    <m/>
    <n v="2.7"/>
    <n v="244350"/>
    <n v="265950"/>
    <n v="90500"/>
    <m/>
    <m/>
    <m/>
    <m/>
    <n v="8000"/>
    <n v="8000"/>
    <n v="12500"/>
    <n v="12500"/>
    <n v="12500"/>
    <n v="15000"/>
    <n v="15000"/>
    <n v="15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21600"/>
    <n v="21600"/>
    <n v="33750"/>
    <n v="33750"/>
    <n v="33750"/>
    <n v="40500"/>
    <n v="40500"/>
    <n v="40500"/>
  </r>
  <r>
    <n v="140"/>
    <s v="瑞安市金洲汽车配件有限公司"/>
    <x v="0"/>
    <s v="上海霍通电子有限公司"/>
    <s v="Stephen"/>
    <s v="张翼鹏"/>
    <x v="76"/>
    <x v="78"/>
    <m/>
    <x v="0"/>
    <s v="ABS轮速传感器"/>
    <m/>
    <m/>
    <m/>
    <m/>
    <m/>
    <n v="1.3"/>
    <n v="910000"/>
    <n v="1040000"/>
    <n v="700000"/>
    <m/>
    <m/>
    <m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0000"/>
    <n v="130000"/>
    <n v="130000"/>
    <n v="130000"/>
    <n v="130000"/>
    <n v="130000"/>
    <n v="130000"/>
    <n v="130000"/>
  </r>
  <r>
    <n v="141"/>
    <s v="浙江科丰传感器股份有限公司"/>
    <x v="1"/>
    <s v="上海霍通电子有限公司"/>
    <s v="Stephen"/>
    <s v="张翼鹏"/>
    <x v="37"/>
    <x v="40"/>
    <m/>
    <x v="0"/>
    <s v="曲轴位置传感器"/>
    <m/>
    <m/>
    <m/>
    <m/>
    <m/>
    <n v="1.7"/>
    <n v="1011500"/>
    <n v="1156000"/>
    <n v="595000"/>
    <m/>
    <m/>
    <m/>
    <m/>
    <n v="85000"/>
    <n v="85000"/>
    <n v="85000"/>
    <n v="85000"/>
    <n v="85000"/>
    <n v="85000"/>
    <n v="85000"/>
    <n v="8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44500"/>
    <n v="144500"/>
    <n v="144500"/>
    <n v="144500"/>
    <n v="144500"/>
    <n v="144500"/>
    <n v="144500"/>
    <n v="144500"/>
  </r>
  <r>
    <n v="142"/>
    <s v="宿州奥凯森汽车部件有限公司"/>
    <x v="0"/>
    <s v="上海霍通电子有限公司"/>
    <s v="Stephen"/>
    <s v="张翼鹏"/>
    <x v="76"/>
    <x v="78"/>
    <m/>
    <x v="0"/>
    <s v="ABS轮速传感器"/>
    <m/>
    <m/>
    <m/>
    <m/>
    <m/>
    <n v="1.3"/>
    <n v="1137500"/>
    <n v="1300000"/>
    <n v="875000"/>
    <m/>
    <m/>
    <m/>
    <m/>
    <n v="125000"/>
    <n v="125000"/>
    <n v="125000"/>
    <n v="125000"/>
    <n v="125000"/>
    <n v="125000"/>
    <n v="125000"/>
    <n v="12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62500"/>
    <n v="162500"/>
    <n v="162500"/>
    <n v="162500"/>
    <n v="162500"/>
    <n v="162500"/>
    <n v="162500"/>
    <n v="162500"/>
  </r>
  <r>
    <n v="143"/>
    <s v="凯晟动力技术（嘉兴）有限公司"/>
    <x v="1"/>
    <s v="上海聚臣电子科技有限公司"/>
    <s v="Stephen"/>
    <s v="张伟"/>
    <x v="70"/>
    <x v="79"/>
    <m/>
    <x v="0"/>
    <s v="ABS轮速传感器"/>
    <m/>
    <m/>
    <m/>
    <m/>
    <m/>
    <n v="2.03"/>
    <n v="3857000"/>
    <n v="4263000"/>
    <n v="1900000"/>
    <m/>
    <m/>
    <m/>
    <m/>
    <n v="200000"/>
    <n v="200000"/>
    <n v="200000"/>
    <n v="200000"/>
    <n v="300000"/>
    <n v="300000"/>
    <n v="300000"/>
    <n v="4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06000"/>
    <n v="406000"/>
    <n v="406000"/>
    <n v="406000"/>
    <n v="609000"/>
    <n v="609000"/>
    <n v="609000"/>
    <n v="812000"/>
  </r>
  <r>
    <n v="144"/>
    <s v="凯晟动力技术（嘉兴）有限公司"/>
    <x v="1"/>
    <s v="上海聚臣电子科技有限公司"/>
    <s v="Stephen"/>
    <s v="张伟"/>
    <x v="53"/>
    <x v="55"/>
    <m/>
    <x v="0"/>
    <s v="凸轮轴相位传感器"/>
    <m/>
    <m/>
    <m/>
    <m/>
    <m/>
    <n v="1.5"/>
    <n v="210000"/>
    <n v="2400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0000"/>
    <n v="30000"/>
    <n v="30000"/>
    <n v="30000"/>
    <n v="30000"/>
    <n v="30000"/>
    <n v="30000"/>
    <n v="30000"/>
  </r>
  <r>
    <n v="145"/>
    <s v="麦格纳（太仓）汽车科技有限公司"/>
    <x v="1"/>
    <s v="上海聚臣电子科技有限公司"/>
    <s v="Stephen"/>
    <s v="张伟"/>
    <x v="7"/>
    <x v="7"/>
    <m/>
    <x v="0"/>
    <s v="尾门电机"/>
    <m/>
    <m/>
    <m/>
    <m/>
    <m/>
    <n v="0.35"/>
    <n v="504000"/>
    <n v="546000"/>
    <n v="1440000"/>
    <m/>
    <m/>
    <m/>
    <m/>
    <n v="120000"/>
    <n v="120000"/>
    <n v="120000"/>
    <n v="200000"/>
    <n v="200000"/>
    <n v="200000"/>
    <n v="300000"/>
    <n v="3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42000"/>
    <n v="42000"/>
    <n v="42000"/>
    <n v="70000"/>
    <n v="70000"/>
    <n v="70000"/>
    <n v="105000"/>
    <n v="105000"/>
  </r>
  <r>
    <n v="146"/>
    <s v="上海新跃联汇电子科技有限公司"/>
    <x v="0"/>
    <s v="上海葳脉电子科技有限公司"/>
    <s v="Stephen"/>
    <s v="Y"/>
    <x v="59"/>
    <x v="61"/>
    <m/>
    <x v="0"/>
    <s v="ABS轮速传感器"/>
    <m/>
    <m/>
    <m/>
    <m/>
    <m/>
    <n v="1.8"/>
    <n v="252000"/>
    <n v="2880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6000"/>
    <n v="36000"/>
    <n v="36000"/>
    <n v="36000"/>
    <n v="36000"/>
    <n v="36000"/>
    <n v="36000"/>
    <n v="36000"/>
  </r>
  <r>
    <n v="147"/>
    <s v="京山雪乾汽车部件有限公司"/>
    <x v="0"/>
    <s v="上海葳脉电子科技有限公司"/>
    <s v="Stephen"/>
    <s v="Y"/>
    <x v="37"/>
    <x v="40"/>
    <m/>
    <x v="0"/>
    <s v="曲轴位置传感器"/>
    <m/>
    <m/>
    <m/>
    <m/>
    <m/>
    <n v="1.6"/>
    <n v="448000"/>
    <n v="512000"/>
    <n v="280000"/>
    <m/>
    <m/>
    <m/>
    <m/>
    <n v="40000"/>
    <n v="40000"/>
    <n v="40000"/>
    <n v="40000"/>
    <n v="40000"/>
    <n v="40000"/>
    <n v="40000"/>
    <n v="4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48"/>
    <s v="上海凯众材料科技股份有限公司"/>
    <x v="0"/>
    <s v="上海葳脉电子科技有限公司"/>
    <s v="Stephen"/>
    <s v="Y"/>
    <x v="77"/>
    <x v="80"/>
    <m/>
    <x v="0"/>
    <s v="电子油门踏板"/>
    <m/>
    <m/>
    <m/>
    <m/>
    <m/>
    <n v="7"/>
    <n v="525000"/>
    <n v="525000"/>
    <n v="75000"/>
    <m/>
    <m/>
    <m/>
    <m/>
    <n v="0"/>
    <n v="0"/>
    <n v="0"/>
    <n v="0"/>
    <n v="5000"/>
    <n v="10000"/>
    <n v="30000"/>
    <n v="3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0"/>
    <n v="0"/>
    <n v="0"/>
    <n v="0"/>
    <n v="35000"/>
    <n v="70000"/>
    <n v="210000"/>
    <n v="210000"/>
  </r>
  <r>
    <n v="149"/>
    <s v="瑞安瑞派汽车部件有限公司"/>
    <x v="0"/>
    <s v="上海葳脉电子科技有限公司"/>
    <s v="Stephen"/>
    <s v="Y"/>
    <x v="36"/>
    <x v="63"/>
    <m/>
    <x v="0"/>
    <s v="凸轮轴相位传感器"/>
    <m/>
    <m/>
    <m/>
    <m/>
    <m/>
    <n v="0.97"/>
    <n v="135800"/>
    <n v="1552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9400"/>
    <n v="19400"/>
    <n v="19400"/>
    <n v="19400"/>
    <n v="19400"/>
    <n v="19400"/>
    <n v="19400"/>
    <n v="19400"/>
  </r>
  <r>
    <n v="150"/>
    <s v="瑞安瑞派汽车部件有限公司"/>
    <x v="0"/>
    <s v="上海葳脉电子科技有限公司"/>
    <s v="Stephen"/>
    <s v="Y"/>
    <x v="52"/>
    <x v="54"/>
    <m/>
    <x v="0"/>
    <s v="电子油门踏板"/>
    <m/>
    <m/>
    <m/>
    <m/>
    <m/>
    <n v="2.6"/>
    <n v="109200"/>
    <n v="124800"/>
    <n v="42000"/>
    <m/>
    <m/>
    <m/>
    <m/>
    <n v="6000"/>
    <n v="6000"/>
    <n v="6000"/>
    <n v="6000"/>
    <n v="6000"/>
    <n v="6000"/>
    <n v="6000"/>
    <n v="6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5600"/>
    <n v="15600"/>
    <n v="15600"/>
    <n v="15600"/>
    <n v="15600"/>
    <n v="15600"/>
    <n v="15600"/>
    <n v="15600"/>
  </r>
  <r>
    <n v="151"/>
    <s v="瑞安东辰汽车部件有限公司"/>
    <x v="0"/>
    <s v="上海葳脉电子科技有限公司"/>
    <s v="Stephen"/>
    <s v="Y"/>
    <x v="37"/>
    <x v="40"/>
    <m/>
    <x v="0"/>
    <s v="曲轴位置传感器"/>
    <m/>
    <m/>
    <m/>
    <m/>
    <m/>
    <n v="1.6"/>
    <n v="448000"/>
    <n v="656000"/>
    <n v="280000"/>
    <m/>
    <m/>
    <m/>
    <m/>
    <n v="130000"/>
    <n v="10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08000"/>
    <n v="160000"/>
    <n v="48000"/>
    <n v="48000"/>
    <n v="48000"/>
    <n v="48000"/>
    <n v="48000"/>
    <n v="48000"/>
  </r>
  <r>
    <n v="152"/>
    <s v="瑞安东辰汽车部件有限公司"/>
    <x v="0"/>
    <s v="上海葳脉电子科技有限公司"/>
    <s v="Stephen"/>
    <s v="Y"/>
    <x v="78"/>
    <x v="81"/>
    <m/>
    <x v="0"/>
    <s v="车身高度传感器"/>
    <m/>
    <m/>
    <m/>
    <m/>
    <m/>
    <n v="3.3"/>
    <n v="188100"/>
    <n v="207900"/>
    <n v="57000"/>
    <m/>
    <m/>
    <m/>
    <m/>
    <n v="6000"/>
    <n v="6000"/>
    <n v="6000"/>
    <n v="9000"/>
    <n v="9000"/>
    <n v="9000"/>
    <n v="9000"/>
    <n v="9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9800"/>
    <n v="19800"/>
    <n v="19800"/>
    <n v="29700"/>
    <n v="29700"/>
    <n v="29700"/>
    <n v="29700"/>
    <n v="29700"/>
  </r>
  <r>
    <n v="153"/>
    <s v="瑞安东辰汽车部件有限公司"/>
    <x v="0"/>
    <s v="上海葳脉电子科技有限公司"/>
    <s v="Stephen"/>
    <s v="Y"/>
    <x v="25"/>
    <x v="27"/>
    <m/>
    <x v="0"/>
    <m/>
    <m/>
    <m/>
    <m/>
    <m/>
    <m/>
    <n v="0.28"/>
    <n v="14000"/>
    <n v="14000"/>
    <n v="50000"/>
    <m/>
    <m/>
    <m/>
    <m/>
    <n v="50000"/>
    <m/>
    <m/>
    <n v="50000"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4000"/>
    <n v="0"/>
    <n v="0"/>
    <n v="14000"/>
    <n v="0"/>
    <n v="0"/>
    <n v="0"/>
    <n v="0"/>
  </r>
  <r>
    <n v="154"/>
    <s v="瑞安东辰汽车部件有限公司"/>
    <x v="0"/>
    <s v="上海葳脉电子科技有限公司"/>
    <s v="Stephen"/>
    <s v="Y"/>
    <x v="26"/>
    <x v="82"/>
    <n v="2442"/>
    <x v="0"/>
    <m/>
    <m/>
    <m/>
    <m/>
    <m/>
    <m/>
    <n v="0.28"/>
    <n v="14000"/>
    <n v="14000"/>
    <n v="50000"/>
    <m/>
    <m/>
    <m/>
    <m/>
    <n v="50000"/>
    <m/>
    <m/>
    <n v="50000"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4000"/>
    <n v="0"/>
    <n v="0"/>
    <n v="14000"/>
    <n v="0"/>
    <n v="0"/>
    <n v="0"/>
    <n v="0"/>
  </r>
  <r>
    <n v="155"/>
    <s v="瑞安江和汽车部件有限公司"/>
    <x v="0"/>
    <s v="上海葳脉电子科技有限公司"/>
    <s v="Stephen"/>
    <s v="Y"/>
    <x v="58"/>
    <x v="60"/>
    <m/>
    <x v="0"/>
    <s v="ABS轮速传感器"/>
    <m/>
    <m/>
    <m/>
    <m/>
    <m/>
    <n v="1.6"/>
    <n v="560000"/>
    <n v="640000"/>
    <n v="350000"/>
    <m/>
    <m/>
    <m/>
    <m/>
    <n v="50000"/>
    <n v="50000"/>
    <n v="50000"/>
    <n v="50000"/>
    <n v="50000"/>
    <n v="50000"/>
    <n v="50000"/>
    <n v="5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80000"/>
    <n v="80000"/>
    <n v="80000"/>
    <n v="80000"/>
    <n v="80000"/>
    <n v="80000"/>
    <n v="80000"/>
    <n v="80000"/>
  </r>
  <r>
    <n v="156"/>
    <s v="瑞安江和汽车部件有限公司"/>
    <x v="0"/>
    <s v="上海葳脉电子科技有限公司"/>
    <s v="Stephen"/>
    <s v="Y"/>
    <x v="76"/>
    <x v="78"/>
    <m/>
    <x v="0"/>
    <s v="ABS轮速传感器"/>
    <m/>
    <m/>
    <m/>
    <m/>
    <m/>
    <n v="1.35"/>
    <n v="756000"/>
    <n v="864000"/>
    <n v="560000"/>
    <m/>
    <m/>
    <m/>
    <m/>
    <n v="80000"/>
    <n v="80000"/>
    <n v="80000"/>
    <n v="80000"/>
    <n v="80000"/>
    <n v="80000"/>
    <n v="80000"/>
    <n v="8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08000"/>
    <n v="108000"/>
    <n v="108000"/>
    <n v="108000"/>
    <n v="108000"/>
    <n v="108000"/>
    <n v="108000"/>
    <n v="108000"/>
  </r>
  <r>
    <n v="157"/>
    <s v="瑞安江和汽车部件有限公司"/>
    <x v="0"/>
    <s v="上海葳脉电子科技有限公司"/>
    <s v="Stephen"/>
    <s v="Y"/>
    <x v="79"/>
    <x v="83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58"/>
    <s v="瑞安江和汽车部件有限公司"/>
    <x v="0"/>
    <s v="上海葳脉电子科技有限公司"/>
    <s v="Stephen"/>
    <s v="Y"/>
    <x v="68"/>
    <x v="71"/>
    <m/>
    <x v="0"/>
    <s v="ABS轮速传感器"/>
    <m/>
    <m/>
    <m/>
    <m/>
    <m/>
    <n v="1.8"/>
    <n v="414000"/>
    <n v="468000"/>
    <n v="230000"/>
    <m/>
    <m/>
    <m/>
    <m/>
    <n v="30000"/>
    <n v="40000"/>
    <n v="4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54000"/>
    <n v="72000"/>
    <n v="72000"/>
    <n v="54000"/>
    <n v="54000"/>
    <n v="54000"/>
    <n v="54000"/>
    <n v="54000"/>
  </r>
  <r>
    <n v="159"/>
    <s v="瑞安江和汽车部件有限公司"/>
    <x v="0"/>
    <s v="上海葳脉电子科技有限公司"/>
    <s v="Stephen"/>
    <s v="Y"/>
    <x v="80"/>
    <x v="84"/>
    <m/>
    <x v="0"/>
    <s v="进气歧管执行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0"/>
    <s v="瑞安泽纳科技有限公司"/>
    <x v="0"/>
    <s v="上海葳脉电子科技有限公司"/>
    <s v="Stephen"/>
    <s v="Y"/>
    <x v="76"/>
    <x v="78"/>
    <m/>
    <x v="0"/>
    <s v="ABS轮速传感器"/>
    <m/>
    <m/>
    <m/>
    <m/>
    <m/>
    <n v="1.35"/>
    <n v="94500"/>
    <n v="108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500"/>
    <n v="13500"/>
    <n v="13500"/>
    <n v="13500"/>
    <n v="13500"/>
    <n v="13500"/>
    <n v="13500"/>
    <n v="13500"/>
  </r>
  <r>
    <n v="161"/>
    <s v="上海金巨源热能技术有限公司"/>
    <x v="0"/>
    <s v="上海葳脉电子科技有限公司"/>
    <s v="Stephen"/>
    <s v="Y"/>
    <x v="11"/>
    <x v="85"/>
    <m/>
    <x v="0"/>
    <s v="水流量传感器"/>
    <m/>
    <m/>
    <m/>
    <m/>
    <m/>
    <n v="0.16"/>
    <n v="19200"/>
    <n v="38400"/>
    <n v="120000"/>
    <m/>
    <m/>
    <m/>
    <m/>
    <n v="120000"/>
    <n v="120000"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9200"/>
    <n v="19200"/>
    <n v="0"/>
    <n v="0"/>
    <n v="0"/>
    <n v="0"/>
    <n v="0"/>
    <n v="0"/>
  </r>
  <r>
    <n v="162"/>
    <s v="上海金巨源热能技术有限公司"/>
    <x v="0"/>
    <s v="上海葳脉电子科技有限公司"/>
    <s v="Stephen"/>
    <s v="Y"/>
    <x v="15"/>
    <x v="17"/>
    <m/>
    <x v="0"/>
    <s v="水流量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3"/>
    <s v="浙江汉博汽车传感器有限公司"/>
    <x v="1"/>
    <s v="鸿赛芯（上海）科技有限公司"/>
    <s v="Stephen"/>
    <s v="袁海峰"/>
    <x v="58"/>
    <x v="60"/>
    <m/>
    <x v="0"/>
    <s v="ABS轮速传感器"/>
    <m/>
    <m/>
    <m/>
    <m/>
    <m/>
    <n v="1.53"/>
    <n v="3978000"/>
    <n v="4896000"/>
    <n v="2600000"/>
    <m/>
    <m/>
    <m/>
    <m/>
    <n v="400000"/>
    <n v="300000"/>
    <n v="300000"/>
    <n v="400000"/>
    <n v="400000"/>
    <n v="400000"/>
    <n v="400000"/>
    <n v="4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12000"/>
    <n v="459000"/>
    <n v="459000"/>
    <n v="612000"/>
    <n v="612000"/>
    <n v="612000"/>
    <n v="612000"/>
    <n v="612000"/>
  </r>
  <r>
    <n v="164"/>
    <s v="浙江汉博汽车传感器有限公司"/>
    <x v="1"/>
    <s v="鸿赛芯（上海）科技有限公司"/>
    <s v="Stephen"/>
    <s v="袁海峰"/>
    <x v="56"/>
    <x v="58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5"/>
    <s v="浙江瑞奇汽车电子有限公司"/>
    <x v="0"/>
    <s v="鸿赛芯（上海）科技有限公司"/>
    <s v="Stephen"/>
    <s v="袁海峰"/>
    <x v="76"/>
    <x v="78"/>
    <m/>
    <x v="0"/>
    <s v="ABS轮速传感器"/>
    <m/>
    <m/>
    <m/>
    <m/>
    <m/>
    <n v="1.258"/>
    <n v="4528800"/>
    <n v="6604500"/>
    <n v="3600000"/>
    <m/>
    <m/>
    <m/>
    <m/>
    <n v="600000"/>
    <n v="100000"/>
    <n v="100000"/>
    <n v="650000"/>
    <n v="650000"/>
    <n v="700000"/>
    <n v="700000"/>
    <n v="7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754800"/>
    <n v="125800"/>
    <n v="125800"/>
    <n v="817700"/>
    <n v="817700"/>
    <n v="880600"/>
    <n v="880600"/>
    <n v="880600"/>
  </r>
  <r>
    <n v="166"/>
    <s v="温州伟力汽车部件有限公司"/>
    <x v="1"/>
    <s v="鸿赛芯（上海）科技有限公司"/>
    <s v="Stephen"/>
    <s v="袁海峰"/>
    <x v="37"/>
    <x v="40"/>
    <m/>
    <x v="0"/>
    <s v="曲轴位置传感器"/>
    <m/>
    <m/>
    <m/>
    <m/>
    <m/>
    <n v="1.61"/>
    <n v="499100"/>
    <n v="660100"/>
    <n v="310000"/>
    <m/>
    <m/>
    <m/>
    <m/>
    <n v="40000"/>
    <n v="15000"/>
    <n v="15000"/>
    <n v="50000"/>
    <n v="50000"/>
    <n v="60000"/>
    <n v="60000"/>
    <n v="6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4400"/>
    <n v="24150"/>
    <n v="24150"/>
    <n v="80500"/>
    <n v="80500"/>
    <n v="96600"/>
    <n v="96600"/>
    <n v="96600"/>
  </r>
  <r>
    <n v="167"/>
    <s v="宁德市沃德汽车配件有限公司"/>
    <x v="0"/>
    <s v="鸿赛芯（上海）科技有限公司"/>
    <s v="Stephen"/>
    <s v="袁海峰"/>
    <x v="34"/>
    <x v="37"/>
    <m/>
    <x v="0"/>
    <s v="曲轴位置传感器"/>
    <m/>
    <m/>
    <m/>
    <m/>
    <m/>
    <n v="1.61"/>
    <n v="297850"/>
    <n v="330050"/>
    <n v="185000"/>
    <m/>
    <m/>
    <m/>
    <m/>
    <n v="20000"/>
    <n v="20000"/>
    <n v="25000"/>
    <n v="25000"/>
    <n v="25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2200"/>
    <n v="32200"/>
    <n v="40250"/>
    <n v="40250"/>
    <n v="40250"/>
    <n v="48300"/>
    <n v="48300"/>
    <n v="48300"/>
  </r>
  <r>
    <n v="168"/>
    <s v="浙江汉博汽车传感器有限公司"/>
    <x v="0"/>
    <s v="鸿赛芯（上海）科技有限公司"/>
    <s v="Stephen"/>
    <s v="袁海峰"/>
    <x v="36"/>
    <x v="63"/>
    <m/>
    <x v="0"/>
    <s v="凸轮轴相位传感器"/>
    <m/>
    <m/>
    <m/>
    <m/>
    <m/>
    <n v="0.98"/>
    <n v="205800"/>
    <n v="245000"/>
    <n v="210000"/>
    <m/>
    <m/>
    <m/>
    <m/>
    <n v="2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9600"/>
    <n v="29400"/>
    <n v="29400"/>
    <n v="29400"/>
    <n v="29400"/>
    <n v="29400"/>
    <n v="29400"/>
    <n v="29400"/>
  </r>
  <r>
    <n v="169"/>
    <s v="浙江顺加汽车配件有限公司"/>
    <x v="0"/>
    <s v="鸿赛芯（上海）科技有限公司"/>
    <s v="Stephen"/>
    <s v="袁海峰"/>
    <x v="81"/>
    <x v="86"/>
    <m/>
    <x v="0"/>
    <s v="凸轮轴相位传感器"/>
    <m/>
    <m/>
    <m/>
    <m/>
    <m/>
    <n v="6.02"/>
    <n v="138460"/>
    <n v="150500"/>
    <n v="23000"/>
    <m/>
    <m/>
    <m/>
    <m/>
    <n v="2000"/>
    <n v="2000"/>
    <n v="3000"/>
    <n v="3000"/>
    <n v="3000"/>
    <n v="4000"/>
    <n v="4000"/>
    <n v="4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2040"/>
    <n v="12040"/>
    <n v="18060"/>
    <n v="18060"/>
    <n v="18060"/>
    <n v="24080"/>
    <n v="24080"/>
    <n v="24080"/>
  </r>
  <r>
    <n v="170"/>
    <s v="重庆亚川电器有限公司"/>
    <x v="0"/>
    <s v="鸿赛芯（上海）科技有限公司"/>
    <s v="Stephen"/>
    <s v="袁海峰"/>
    <x v="26"/>
    <x v="82"/>
    <n v="2442"/>
    <x v="0"/>
    <s v="里程表传感器"/>
    <m/>
    <m/>
    <m/>
    <m/>
    <m/>
    <n v="0.272"/>
    <n v="100640"/>
    <n v="111520"/>
    <n v="370000"/>
    <m/>
    <m/>
    <m/>
    <m/>
    <n v="40000"/>
    <n v="40000"/>
    <n v="50000"/>
    <n v="50000"/>
    <n v="50000"/>
    <n v="60000"/>
    <n v="60000"/>
    <n v="6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0880"/>
    <n v="10880"/>
    <n v="13600"/>
    <n v="13600"/>
    <n v="13600"/>
    <n v="16320"/>
    <n v="16320"/>
    <n v="16320"/>
  </r>
  <r>
    <n v="171"/>
    <s v="芜湖联诺电器有限公司"/>
    <x v="0"/>
    <s v="鸿赛芯（上海）科技有限公司"/>
    <s v="Stephen"/>
    <s v="袁海峰"/>
    <x v="80"/>
    <x v="84"/>
    <m/>
    <x v="0"/>
    <s v="里程表传感器"/>
    <m/>
    <m/>
    <m/>
    <m/>
    <m/>
    <n v="0.272"/>
    <n v="25840"/>
    <n v="27200"/>
    <n v="95000"/>
    <m/>
    <m/>
    <m/>
    <m/>
    <n v="5000"/>
    <n v="5000"/>
    <n v="10000"/>
    <n v="10000"/>
    <n v="10000"/>
    <n v="20000"/>
    <n v="20000"/>
    <n v="2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360"/>
    <n v="1360"/>
    <n v="2720"/>
    <n v="2720"/>
    <n v="2720"/>
    <n v="5440"/>
    <n v="5440"/>
    <n v="5440"/>
  </r>
  <r>
    <n v="172"/>
    <m/>
    <x v="0"/>
    <s v="鸿赛芯（上海）科技有限公司"/>
    <s v="Stephen"/>
    <s v="袁海峰"/>
    <x v="52"/>
    <x v="54"/>
    <m/>
    <x v="0"/>
    <s v="车身高度传感器"/>
    <m/>
    <m/>
    <m/>
    <m/>
    <m/>
    <n v="2.47"/>
    <n v="150670"/>
    <n v="69160"/>
    <n v="61000"/>
    <m/>
    <m/>
    <m/>
    <m/>
    <n v="2000"/>
    <n v="20000"/>
    <n v="20000"/>
    <n v="3000"/>
    <n v="3000"/>
    <n v="5000"/>
    <n v="5000"/>
    <n v="5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4940"/>
    <n v="49400"/>
    <n v="49400"/>
    <n v="7410"/>
    <n v="7410"/>
    <n v="12350"/>
    <n v="12350"/>
    <n v="12350"/>
  </r>
  <r>
    <n v="173"/>
    <s v="浙江可得电子科技有限公司"/>
    <x v="0"/>
    <s v="鸿赛芯（上海）科技有限公司"/>
    <s v="Stephen"/>
    <s v="袁海峰"/>
    <x v="78"/>
    <x v="81"/>
    <m/>
    <x v="0"/>
    <s v="车身高度传感器"/>
    <m/>
    <m/>
    <m/>
    <m/>
    <m/>
    <n v="3.32"/>
    <n v="677280"/>
    <n v="803440"/>
    <n v="204000"/>
    <m/>
    <m/>
    <m/>
    <m/>
    <n v="12000"/>
    <n v="12000"/>
    <n v="12000"/>
    <n v="30000"/>
    <n v="30000"/>
    <n v="40000"/>
    <n v="40000"/>
    <n v="4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39840"/>
    <n v="39840"/>
    <n v="39840"/>
    <n v="99600"/>
    <n v="99600"/>
    <n v="132800"/>
    <n v="132800"/>
    <n v="132800"/>
  </r>
  <r>
    <n v="174"/>
    <s v="浙江可得电子科技有限公司"/>
    <x v="0"/>
    <s v="鸿赛芯（上海）科技有限公司"/>
    <s v="Stephen"/>
    <s v="袁海峰"/>
    <x v="82"/>
    <x v="87"/>
    <m/>
    <x v="0"/>
    <s v="车身高度传感器"/>
    <m/>
    <m/>
    <m/>
    <m/>
    <m/>
    <n v="7"/>
    <n v="630000"/>
    <n v="735000"/>
    <n v="90000"/>
    <m/>
    <m/>
    <m/>
    <m/>
    <n v="6000"/>
    <n v="6000"/>
    <n v="6000"/>
    <n v="12000"/>
    <n v="12000"/>
    <n v="18000"/>
    <n v="18000"/>
    <n v="18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42000"/>
    <n v="42000"/>
    <n v="42000"/>
    <n v="84000"/>
    <n v="84000"/>
    <n v="126000"/>
    <n v="126000"/>
    <n v="126000"/>
  </r>
  <r>
    <n v="175"/>
    <m/>
    <x v="0"/>
    <s v="鸿赛芯（上海）科技有限公司"/>
    <s v="Stephen"/>
    <s v="袁海峰"/>
    <x v="55"/>
    <x v="57"/>
    <m/>
    <x v="0"/>
    <s v="凸轮轴相位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76"/>
    <s v="浙江好亚汽车配件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126000"/>
    <n v="144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177"/>
    <s v="浙江好亚汽车配件有限公司"/>
    <x v="0"/>
    <s v="颖晶电子科技(上海)有限公司"/>
    <s v="Stephen"/>
    <s v="曾文鼎"/>
    <x v="37"/>
    <x v="40"/>
    <m/>
    <x v="0"/>
    <s v="曲轴位置传感器"/>
    <m/>
    <m/>
    <m/>
    <m/>
    <m/>
    <n v="2.2"/>
    <n v="506000"/>
    <n v="198000"/>
    <n v="230000"/>
    <m/>
    <m/>
    <m/>
    <m/>
    <n v="20000"/>
    <n v="50000"/>
    <n v="50000"/>
    <n v="50000"/>
    <n v="5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4000"/>
    <n v="110000"/>
    <n v="110000"/>
    <n v="110000"/>
    <n v="110000"/>
    <n v="22000"/>
    <n v="22000"/>
    <n v="22000"/>
  </r>
  <r>
    <n v="178"/>
    <s v="浙江好亚汽车配件有限公司"/>
    <x v="0"/>
    <s v="颖晶电子科技(上海)有限公司"/>
    <s v="Stephen"/>
    <s v="曾文鼎"/>
    <x v="58"/>
    <x v="60"/>
    <m/>
    <x v="0"/>
    <s v="ABS轮速传感器"/>
    <m/>
    <m/>
    <m/>
    <m/>
    <m/>
    <n v="2.3"/>
    <n v="96600"/>
    <n v="110400"/>
    <n v="42000"/>
    <m/>
    <m/>
    <m/>
    <m/>
    <n v="6000"/>
    <n v="6000"/>
    <n v="6000"/>
    <n v="6000"/>
    <n v="6000"/>
    <n v="6000"/>
    <n v="6000"/>
    <n v="6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800"/>
    <n v="13800"/>
    <n v="13800"/>
    <n v="13800"/>
    <n v="13800"/>
    <n v="13800"/>
    <n v="13800"/>
    <n v="13800"/>
  </r>
  <r>
    <n v="179"/>
    <s v="浙江好亚汽车配件有限公司"/>
    <x v="0"/>
    <s v="颖晶电子科技(上海)有限公司"/>
    <s v="Stephen"/>
    <s v="曾文鼎"/>
    <x v="26"/>
    <x v="82"/>
    <n v="2442"/>
    <x v="0"/>
    <s v="里程表传感器"/>
    <m/>
    <m/>
    <m/>
    <m/>
    <m/>
    <n v="0.36"/>
    <n v="25200"/>
    <n v="288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180"/>
    <s v="杭州沃能汽车传感技术有限公司"/>
    <x v="1"/>
    <s v="颖晶电子科技(上海)有限公司"/>
    <s v="Stephen"/>
    <s v="曾文鼎"/>
    <x v="76"/>
    <x v="78"/>
    <m/>
    <x v="0"/>
    <s v="ABS轮速传感器"/>
    <m/>
    <m/>
    <m/>
    <m/>
    <m/>
    <n v="1.302"/>
    <n v="546840"/>
    <n v="632772"/>
    <n v="420000"/>
    <m/>
    <m/>
    <m/>
    <m/>
    <n v="150000"/>
    <n v="60000"/>
    <n v="120000"/>
    <n v="48000"/>
    <n v="48000"/>
    <n v="48000"/>
    <n v="48000"/>
    <n v="48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95300"/>
    <n v="78120"/>
    <n v="156240"/>
    <n v="62496"/>
    <n v="62496"/>
    <n v="62496"/>
    <n v="62496"/>
    <n v="62496"/>
  </r>
  <r>
    <n v="181"/>
    <s v="杭州沃能汽车传感技术有限公司"/>
    <x v="1"/>
    <s v="颖晶电子科技(上海)有限公司"/>
    <s v="Stephen"/>
    <s v="曾文鼎"/>
    <x v="83"/>
    <x v="88"/>
    <m/>
    <x v="0"/>
    <s v="ABS轮速传感器"/>
    <m/>
    <m/>
    <m/>
    <m/>
    <m/>
    <n v="2.3"/>
    <n v="96600"/>
    <n v="110400"/>
    <n v="42000"/>
    <m/>
    <m/>
    <m/>
    <m/>
    <n v="6000"/>
    <n v="6000"/>
    <n v="6000"/>
    <n v="6000"/>
    <n v="6000"/>
    <n v="6000"/>
    <n v="6000"/>
    <n v="6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800"/>
    <n v="13800"/>
    <n v="13800"/>
    <n v="13800"/>
    <n v="13800"/>
    <n v="13800"/>
    <n v="13800"/>
    <n v="13800"/>
  </r>
  <r>
    <n v="182"/>
    <s v="杭州沃能汽车传感技术有限公司"/>
    <x v="1"/>
    <s v="颖晶电子科技(上海)有限公司"/>
    <s v="Stephen"/>
    <s v="曾文鼎"/>
    <x v="58"/>
    <x v="60"/>
    <m/>
    <x v="0"/>
    <s v="ABS轮速传感器"/>
    <m/>
    <m/>
    <m/>
    <m/>
    <m/>
    <n v="2.3"/>
    <n v="24150"/>
    <n v="27600"/>
    <n v="10500"/>
    <m/>
    <m/>
    <m/>
    <m/>
    <n v="1500"/>
    <n v="1500"/>
    <n v="1500"/>
    <n v="1500"/>
    <n v="1500"/>
    <n v="1500"/>
    <n v="1500"/>
    <n v="15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450"/>
    <n v="3450"/>
    <n v="3450"/>
    <n v="3450"/>
    <n v="3450"/>
    <n v="3450"/>
    <n v="3450"/>
    <n v="3450"/>
  </r>
  <r>
    <n v="183"/>
    <s v="浙江卓瑞控制系统有限公司"/>
    <x v="0"/>
    <s v="颖晶电子科技(上海)有限公司"/>
    <s v="Stephen"/>
    <s v="曾文鼎"/>
    <x v="52"/>
    <x v="54"/>
    <m/>
    <x v="0"/>
    <s v="电子油门踏板"/>
    <m/>
    <m/>
    <m/>
    <m/>
    <m/>
    <n v="2.9"/>
    <n v="203000"/>
    <n v="232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29000"/>
    <n v="29000"/>
    <n v="29000"/>
    <n v="29000"/>
    <n v="29000"/>
    <n v="29000"/>
    <n v="29000"/>
    <n v="29000"/>
  </r>
  <r>
    <n v="184"/>
    <s v="温州鑫亚汽车电子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63000"/>
    <n v="72000"/>
    <n v="35000"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185"/>
    <s v="温州鑫亚汽车电子有限公司"/>
    <x v="0"/>
    <s v="颖晶电子科技(上海)有限公司"/>
    <s v="Stephen"/>
    <s v="曾文鼎"/>
    <x v="37"/>
    <x v="40"/>
    <m/>
    <x v="0"/>
    <s v="曲轴位置传感器"/>
    <m/>
    <m/>
    <m/>
    <m/>
    <m/>
    <n v="1.6"/>
    <n v="56000"/>
    <n v="64000"/>
    <n v="35000"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8000"/>
    <n v="8000"/>
    <n v="8000"/>
    <n v="8000"/>
    <n v="8000"/>
    <n v="8000"/>
    <n v="8000"/>
    <n v="8000"/>
  </r>
  <r>
    <n v="186"/>
    <s v="瑞安市众品汽车配件制造有限公司"/>
    <x v="0"/>
    <s v="颖晶电子科技(上海)有限公司"/>
    <s v="Stephen"/>
    <s v="曾文鼎"/>
    <x v="76"/>
    <x v="78"/>
    <m/>
    <x v="0"/>
    <s v="ABS轮速传感器"/>
    <m/>
    <m/>
    <m/>
    <m/>
    <m/>
    <n v="1.302"/>
    <n v="273420"/>
    <n v="338520"/>
    <n v="210000"/>
    <m/>
    <m/>
    <m/>
    <m/>
    <n v="5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5100"/>
    <n v="39060"/>
    <n v="39060"/>
    <n v="39060"/>
    <n v="39060"/>
    <n v="39060"/>
    <n v="39060"/>
    <n v="39060"/>
  </r>
  <r>
    <n v="187"/>
    <s v="瑞安市众品汽车配件制造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12600"/>
    <n v="14400"/>
    <n v="7000"/>
    <m/>
    <m/>
    <m/>
    <m/>
    <n v="1000"/>
    <n v="1000"/>
    <n v="1000"/>
    <n v="1000"/>
    <n v="1000"/>
    <n v="1000"/>
    <n v="1000"/>
    <n v="1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800"/>
    <n v="1800"/>
    <n v="1800"/>
    <n v="1800"/>
    <n v="1800"/>
    <n v="1800"/>
    <n v="1800"/>
    <n v="1800"/>
  </r>
  <r>
    <n v="188"/>
    <s v="温州峰汇汽车部件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37800"/>
    <n v="43200"/>
    <n v="21000"/>
    <m/>
    <m/>
    <m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189"/>
    <s v="温州峰汇汽车部件有限公司"/>
    <x v="0"/>
    <s v="颖晶电子科技(上海)有限公司"/>
    <s v="Stephen"/>
    <s v="曾文鼎"/>
    <x v="37"/>
    <x v="40"/>
    <m/>
    <x v="0"/>
    <s v="曲轴位置传感器"/>
    <m/>
    <m/>
    <m/>
    <m/>
    <m/>
    <n v="1.6"/>
    <n v="16800"/>
    <n v="19200"/>
    <n v="10500"/>
    <m/>
    <m/>
    <m/>
    <m/>
    <n v="1500"/>
    <n v="1500"/>
    <n v="1500"/>
    <n v="1500"/>
    <n v="1500"/>
    <n v="1500"/>
    <n v="1500"/>
    <n v="15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190"/>
    <s v="温州楷瑞电子科技有限公司"/>
    <x v="0"/>
    <s v="颖晶电子科技(上海)有限公司"/>
    <s v="Stephen"/>
    <s v="曾文鼎"/>
    <x v="26"/>
    <x v="82"/>
    <n v="2442"/>
    <x v="0"/>
    <s v="BLDC"/>
    <m/>
    <m/>
    <m/>
    <m/>
    <m/>
    <n v="0.36"/>
    <n v="5040"/>
    <n v="576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720"/>
    <n v="720"/>
    <n v="720"/>
    <n v="720"/>
    <n v="720"/>
    <n v="720"/>
    <n v="720"/>
    <n v="720"/>
  </r>
  <r>
    <n v="191"/>
    <s v="温州市祺隆汽车电子有限公司"/>
    <x v="0"/>
    <s v="颖晶电子科技(上海)有限公司"/>
    <s v="Stephen"/>
    <s v="曾文鼎"/>
    <x v="52"/>
    <x v="54"/>
    <m/>
    <x v="0"/>
    <s v="车身高度传感器"/>
    <m/>
    <m/>
    <m/>
    <m/>
    <m/>
    <n v="2.9"/>
    <n v="40600"/>
    <n v="4640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5800"/>
    <n v="5800"/>
    <n v="5800"/>
    <n v="5800"/>
    <n v="5800"/>
    <n v="5800"/>
    <n v="5800"/>
    <n v="5800"/>
  </r>
  <r>
    <n v="192"/>
    <s v="瑞安市宇泰汽车电子有限公司"/>
    <x v="0"/>
    <s v="颖晶电子科技(上海)有限公司"/>
    <s v="Stephen"/>
    <s v="曾文鼎"/>
    <x v="26"/>
    <x v="82"/>
    <n v="2442"/>
    <x v="0"/>
    <s v="里程表传感器"/>
    <m/>
    <m/>
    <m/>
    <m/>
    <m/>
    <n v="0.36"/>
    <n v="50400"/>
    <n v="576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7200"/>
    <n v="7200"/>
    <n v="7200"/>
    <n v="7200"/>
    <n v="7200"/>
    <n v="7200"/>
    <n v="7200"/>
    <n v="7200"/>
  </r>
  <r>
    <n v="193"/>
    <s v="瑞安市宇泰汽车电子有限公司"/>
    <x v="0"/>
    <s v="颖晶电子科技(上海)有限公司"/>
    <s v="Stephen"/>
    <s v="曾文鼎"/>
    <x v="78"/>
    <x v="81"/>
    <m/>
    <x v="0"/>
    <s v="车身高度传感器"/>
    <m/>
    <m/>
    <m/>
    <m/>
    <m/>
    <n v="4.2"/>
    <n v="6300"/>
    <n v="8400"/>
    <n v="1500"/>
    <m/>
    <m/>
    <m/>
    <m/>
    <n v="500"/>
    <n v="0"/>
    <n v="500"/>
    <n v="0"/>
    <n v="500"/>
    <n v="0"/>
    <n v="500"/>
    <n v="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2100"/>
    <n v="0"/>
    <n v="2100"/>
    <n v="0"/>
    <n v="2100"/>
    <n v="0"/>
    <n v="2100"/>
    <n v="0"/>
  </r>
  <r>
    <n v="194"/>
    <s v="广东九和新电器科技有限公司"/>
    <x v="0"/>
    <s v="颖晶电子科技(上海)有限公司"/>
    <s v="Stephen"/>
    <s v="曾文鼎"/>
    <x v="32"/>
    <x v="35"/>
    <m/>
    <x v="0"/>
    <s v="水压传感器"/>
    <m/>
    <m/>
    <m/>
    <m/>
    <m/>
    <n v="2.5"/>
    <n v="350000"/>
    <n v="4000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50000"/>
    <n v="50000"/>
    <n v="50000"/>
    <n v="50000"/>
    <n v="50000"/>
    <n v="50000"/>
    <n v="50000"/>
    <n v="50000"/>
  </r>
  <r>
    <n v="195"/>
    <s v="浙江华地电子有限公司"/>
    <x v="0"/>
    <s v="颖晶电子科技(上海)有限公司"/>
    <s v="Stephen"/>
    <s v="曾文鼎"/>
    <x v="32"/>
    <x v="35"/>
    <m/>
    <x v="0"/>
    <s v="水压传感器"/>
    <m/>
    <m/>
    <m/>
    <m/>
    <m/>
    <n v="2.5"/>
    <n v="210000"/>
    <n v="260000"/>
    <n v="84000"/>
    <m/>
    <m/>
    <m/>
    <m/>
    <n v="20000"/>
    <n v="12000"/>
    <n v="12000"/>
    <n v="12000"/>
    <n v="12000"/>
    <n v="12000"/>
    <n v="12000"/>
    <n v="12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50000"/>
    <n v="30000"/>
    <n v="30000"/>
    <n v="30000"/>
    <n v="30000"/>
    <n v="30000"/>
    <n v="30000"/>
    <n v="30000"/>
  </r>
  <r>
    <n v="196"/>
    <s v="杭州飞越汽车零部件有限公司"/>
    <x v="0"/>
    <s v="颖晶电子科技(上海)有限公司"/>
    <s v="Stephen"/>
    <s v="曾文鼎"/>
    <x v="52"/>
    <x v="54"/>
    <m/>
    <x v="0"/>
    <s v="扭矩传感器"/>
    <m/>
    <m/>
    <m/>
    <m/>
    <m/>
    <n v="2.9"/>
    <n v="81200"/>
    <n v="92800"/>
    <n v="28000"/>
    <m/>
    <m/>
    <m/>
    <m/>
    <n v="4000"/>
    <n v="4000"/>
    <n v="4000"/>
    <n v="4000"/>
    <n v="4000"/>
    <n v="4000"/>
    <n v="4000"/>
    <n v="4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1600"/>
    <n v="11600"/>
    <n v="11600"/>
    <n v="11600"/>
    <n v="11600"/>
    <n v="11600"/>
    <n v="11600"/>
    <n v="11600"/>
  </r>
  <r>
    <n v="197"/>
    <s v="余姚市博使通电子科技有限公司"/>
    <x v="0"/>
    <s v="颖晶电子科技(上海)有限公司"/>
    <s v="Stephen"/>
    <s v="曾文鼎"/>
    <x v="58"/>
    <x v="60"/>
    <m/>
    <x v="0"/>
    <s v="ABS轮速传感器"/>
    <m/>
    <m/>
    <m/>
    <m/>
    <m/>
    <n v="2.3"/>
    <n v="24150"/>
    <n v="27600"/>
    <n v="10500"/>
    <m/>
    <m/>
    <m/>
    <m/>
    <n v="1500"/>
    <n v="1500"/>
    <n v="1500"/>
    <n v="1500"/>
    <n v="1500"/>
    <n v="1500"/>
    <n v="1500"/>
    <n v="15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450"/>
    <n v="3450"/>
    <n v="3450"/>
    <n v="3450"/>
    <n v="3450"/>
    <n v="3450"/>
    <n v="3450"/>
    <n v="3450"/>
  </r>
  <r>
    <n v="198"/>
    <s v="临沂市国连电子有限公司"/>
    <x v="0"/>
    <s v="颖晶电子科技(上海)有限公司"/>
    <s v="Stephen"/>
    <s v="曾文鼎"/>
    <x v="58"/>
    <x v="60"/>
    <m/>
    <x v="0"/>
    <s v="ABS轮速传感器"/>
    <m/>
    <m/>
    <m/>
    <m/>
    <m/>
    <n v="2.3"/>
    <n v="48300"/>
    <n v="55200"/>
    <n v="21000"/>
    <m/>
    <m/>
    <m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900"/>
    <n v="6900"/>
    <n v="6900"/>
    <n v="6900"/>
    <n v="6900"/>
    <n v="6900"/>
    <n v="6900"/>
    <n v="6900"/>
  </r>
  <r>
    <n v="199"/>
    <s v="临沂市国连电子有限公司"/>
    <x v="0"/>
    <s v="颖晶电子科技(上海)有限公司"/>
    <s v="Stephen"/>
    <s v="曾文鼎"/>
    <x v="37"/>
    <x v="40"/>
    <m/>
    <x v="0"/>
    <s v="轮速传感器"/>
    <m/>
    <m/>
    <m/>
    <m/>
    <m/>
    <n v="1.6"/>
    <n v="22400"/>
    <n v="2560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200"/>
    <n v="3200"/>
    <n v="3200"/>
    <n v="3200"/>
    <n v="3200"/>
    <n v="3200"/>
    <n v="3200"/>
    <n v="3200"/>
  </r>
  <r>
    <n v="200"/>
    <s v="温州万辅科技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25200"/>
    <n v="2880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201"/>
    <s v="江西格泰汽车零部件有限公司"/>
    <x v="0"/>
    <s v="颖晶电子科技(上海)有限公司"/>
    <s v="Stephen"/>
    <s v="曾文鼎"/>
    <x v="52"/>
    <x v="54"/>
    <m/>
    <x v="0"/>
    <s v="电子节气门"/>
    <m/>
    <m/>
    <m/>
    <m/>
    <m/>
    <n v="2.9"/>
    <n v="60900"/>
    <n v="69600"/>
    <n v="21000"/>
    <m/>
    <m/>
    <m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8700"/>
    <n v="8700"/>
    <n v="8700"/>
    <n v="8700"/>
    <n v="8700"/>
    <n v="8700"/>
    <n v="8700"/>
    <n v="8700"/>
  </r>
  <r>
    <n v="202"/>
    <s v="温州瑞感科技有限公司"/>
    <x v="0"/>
    <s v="武汉沃达瑞电子科技有限公司"/>
    <s v="Stephen"/>
    <s v="周晓雨"/>
    <x v="23"/>
    <x v="25"/>
    <m/>
    <x v="0"/>
    <s v="电子换挡器"/>
    <m/>
    <m/>
    <m/>
    <m/>
    <m/>
    <n v="0.25"/>
    <n v="18750"/>
    <n v="18750"/>
    <n v="75000"/>
    <m/>
    <m/>
    <m/>
    <m/>
    <n v="0"/>
    <n v="25000"/>
    <n v="0"/>
    <n v="0"/>
    <n v="25000"/>
    <n v="0"/>
    <n v="0"/>
    <n v="2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6250"/>
    <n v="0"/>
    <n v="0"/>
    <n v="6250"/>
    <n v="0"/>
    <n v="0"/>
    <n v="6250"/>
  </r>
  <r>
    <n v="203"/>
    <s v="温州市雷迅电子科技有限公司"/>
    <x v="0"/>
    <s v="武汉沃达瑞电子科技有限公司"/>
    <s v="Stephen"/>
    <s v="周晓雨"/>
    <x v="84"/>
    <x v="31"/>
    <m/>
    <x v="0"/>
    <s v="速度传感器"/>
    <m/>
    <m/>
    <m/>
    <m/>
    <m/>
    <n v="0"/>
    <n v="0"/>
    <n v="0"/>
    <n v="0"/>
    <m/>
    <m/>
    <m/>
    <m/>
    <n v="0"/>
    <n v="0"/>
    <n v="0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04"/>
    <s v="温州弘腾科技有限公司"/>
    <x v="0"/>
    <s v="武汉沃达瑞电子科技有限公司"/>
    <s v="Stephen"/>
    <s v="周晓雨"/>
    <x v="52"/>
    <x v="54"/>
    <m/>
    <x v="0"/>
    <s v="EGR阀"/>
    <m/>
    <m/>
    <m/>
    <m/>
    <m/>
    <n v="2.5"/>
    <n v="875000"/>
    <n v="1000000"/>
    <n v="350000"/>
    <m/>
    <m/>
    <m/>
    <m/>
    <n v="50000"/>
    <n v="50000"/>
    <n v="50000"/>
    <n v="50000"/>
    <n v="50000"/>
    <n v="50000"/>
    <n v="50000"/>
    <n v="5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25000"/>
    <n v="125000"/>
    <n v="125000"/>
    <n v="125000"/>
    <n v="125000"/>
    <n v="125000"/>
    <n v="125000"/>
    <n v="125000"/>
  </r>
  <r>
    <n v="205"/>
    <s v="上海智穆汽车配件有限公司"/>
    <x v="0"/>
    <s v="武汉沃达瑞电子科技有限公司"/>
    <s v="Stephen"/>
    <s v="周晓雨"/>
    <x v="37"/>
    <x v="40"/>
    <m/>
    <x v="0"/>
    <s v="曲轴位置传感器"/>
    <m/>
    <m/>
    <m/>
    <m/>
    <m/>
    <n v="2"/>
    <n v="140000"/>
    <n v="160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206"/>
    <s v="温州品一车辆配件有限公司"/>
    <x v="0"/>
    <s v="武汉沃达瑞电子科技有限公司"/>
    <s v="Stephen"/>
    <s v="周晓雨"/>
    <x v="80"/>
    <x v="84"/>
    <m/>
    <x v="0"/>
    <s v="电子水泵"/>
    <m/>
    <m/>
    <m/>
    <m/>
    <m/>
    <n v="0.32"/>
    <n v="192000"/>
    <n v="192000"/>
    <n v="600000"/>
    <m/>
    <m/>
    <m/>
    <m/>
    <n v="0"/>
    <n v="200000"/>
    <n v="0"/>
    <n v="0"/>
    <n v="200000"/>
    <n v="0"/>
    <n v="0"/>
    <n v="2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64000"/>
    <n v="0"/>
    <n v="0"/>
    <n v="64000"/>
    <n v="0"/>
    <n v="0"/>
    <n v="64000"/>
  </r>
  <r>
    <n v="207"/>
    <s v="瑞安市浩南电器有限公司"/>
    <x v="0"/>
    <s v="武汉沃达瑞电子科技有限公司"/>
    <s v="Stephen"/>
    <s v="周晓雨"/>
    <x v="76"/>
    <x v="78"/>
    <m/>
    <x v="0"/>
    <s v="曲轴位置传感器"/>
    <m/>
    <m/>
    <m/>
    <m/>
    <m/>
    <n v="1.35"/>
    <n v="1890000"/>
    <n v="2160000"/>
    <n v="1400000"/>
    <m/>
    <m/>
    <m/>
    <m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70000"/>
    <n v="270000"/>
    <n v="270000"/>
    <n v="270000"/>
    <n v="270000"/>
    <n v="270000"/>
    <n v="270000"/>
    <n v="270000"/>
  </r>
  <r>
    <n v="208"/>
    <s v="浙江中创汽车部件有限公司"/>
    <x v="0"/>
    <s v="武汉沃达瑞电子科技有限公司"/>
    <s v="Stephen"/>
    <s v="周晓雨"/>
    <x v="78"/>
    <x v="81"/>
    <m/>
    <x v="0"/>
    <s v="阀体"/>
    <m/>
    <m/>
    <m/>
    <m/>
    <m/>
    <n v="3.8"/>
    <n v="266000"/>
    <n v="304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38000"/>
    <n v="38000"/>
    <n v="38000"/>
    <n v="38000"/>
    <n v="38000"/>
    <n v="38000"/>
    <n v="38000"/>
    <n v="38000"/>
  </r>
  <r>
    <n v="209"/>
    <s v="深圳市齐锴电子有限公司"/>
    <x v="0"/>
    <s v="深圳市齐锴电子有限公司"/>
    <s v="Stephen"/>
    <s v="陈义财"/>
    <x v="68"/>
    <x v="71"/>
    <m/>
    <x v="0"/>
    <s v="ABS轮速传感器"/>
    <m/>
    <m/>
    <m/>
    <m/>
    <m/>
    <n v="2.28"/>
    <n v="478800"/>
    <n v="934800"/>
    <n v="210000"/>
    <m/>
    <m/>
    <m/>
    <m/>
    <n v="20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56000"/>
    <n v="68400"/>
    <n v="68400"/>
    <n v="68400"/>
    <n v="68400"/>
    <n v="68400"/>
    <n v="68400"/>
    <n v="68400"/>
  </r>
  <r>
    <n v="210"/>
    <s v="深圳市齐锴电子有限公司"/>
    <x v="0"/>
    <s v="深圳市齐锴电子有限公司"/>
    <s v="Stephen"/>
    <s v="陈义财"/>
    <x v="27"/>
    <x v="29"/>
    <m/>
    <x v="0"/>
    <s v="速度表"/>
    <m/>
    <m/>
    <m/>
    <m/>
    <m/>
    <n v="0.52"/>
    <n v="18200"/>
    <n v="20800"/>
    <n v="35000"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211"/>
    <s v="深圳市中旭源科技有限公司"/>
    <x v="0"/>
    <m/>
    <s v="Kevin"/>
    <m/>
    <x v="85"/>
    <x v="89"/>
    <n v="8602"/>
    <x v="0"/>
    <s v="应急电源300W"/>
    <m/>
    <s v="小批量"/>
    <m/>
    <m/>
    <m/>
    <n v="3"/>
    <n v="240000"/>
    <n v="528000"/>
    <n v="80000"/>
    <m/>
    <m/>
    <m/>
    <n v="0"/>
    <n v="0"/>
    <n v="2000"/>
    <n v="4000"/>
    <n v="4000"/>
    <n v="10000"/>
    <n v="20000"/>
    <n v="20000"/>
    <n v="2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6000"/>
    <n v="12000"/>
    <n v="12000"/>
    <n v="30000"/>
    <n v="60000"/>
    <n v="60000"/>
    <n v="60000"/>
  </r>
  <r>
    <n v="212"/>
    <s v="东莞市朗泰通科技股份有限公司"/>
    <x v="0"/>
    <m/>
    <s v="Kevin"/>
    <m/>
    <x v="86"/>
    <x v="90"/>
    <n v="8602"/>
    <x v="0"/>
    <s v="路灯电源100W"/>
    <m/>
    <s v="送样"/>
    <m/>
    <m/>
    <m/>
    <n v="3"/>
    <n v="57000"/>
    <n v="276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3000"/>
    <n v="6000"/>
    <n v="12000"/>
    <n v="12000"/>
    <n v="12000"/>
    <n v="12000"/>
  </r>
  <r>
    <n v="213"/>
    <s v="广州广沃电子有限公司"/>
    <x v="0"/>
    <m/>
    <s v="Kevin"/>
    <m/>
    <x v="86"/>
    <x v="90"/>
    <n v="8602"/>
    <x v="0"/>
    <s v="拉杆音响200W"/>
    <m/>
    <s v="送样"/>
    <m/>
    <m/>
    <m/>
    <n v="2.5"/>
    <n v="187500"/>
    <n v="245000"/>
    <n v="75000"/>
    <m/>
    <m/>
    <m/>
    <n v="0"/>
    <n v="0"/>
    <n v="0"/>
    <n v="1000"/>
    <n v="4000"/>
    <n v="10000"/>
    <n v="20000"/>
    <n v="20000"/>
    <n v="2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14"/>
    <s v="歌特贝斯(广州)电子有限公司"/>
    <x v="0"/>
    <m/>
    <s v="Kevin"/>
    <m/>
    <x v="86"/>
    <x v="90"/>
    <n v="8602"/>
    <x v="0"/>
    <s v="拉杆音响300W"/>
    <m/>
    <s v="送样"/>
    <m/>
    <m/>
    <m/>
    <n v="2.5"/>
    <n v="47500"/>
    <n v="230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5"/>
    <s v="广州一凡电子有限公司"/>
    <x v="0"/>
    <m/>
    <s v="Kevin"/>
    <m/>
    <x v="86"/>
    <x v="90"/>
    <n v="8602"/>
    <x v="0"/>
    <s v="拉杆音响150W"/>
    <m/>
    <s v="小批量"/>
    <m/>
    <m/>
    <m/>
    <n v="2.5"/>
    <n v="47500"/>
    <n v="230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6"/>
    <s v="广州翔科电子科技有限公司"/>
    <x v="0"/>
    <m/>
    <s v="Kevin"/>
    <m/>
    <x v="86"/>
    <x v="90"/>
    <n v="8602"/>
    <x v="0"/>
    <s v="拉杆音响300W"/>
    <m/>
    <s v="送样"/>
    <m/>
    <m/>
    <m/>
    <n v="2.5"/>
    <n v="47500"/>
    <n v="145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7"/>
    <s v="广东声视美电子有限公司"/>
    <x v="0"/>
    <m/>
    <s v="Kevin"/>
    <m/>
    <x v="86"/>
    <x v="90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18"/>
    <s v="广东新越电子有限公司"/>
    <x v="0"/>
    <m/>
    <s v="Kevin"/>
    <m/>
    <x v="86"/>
    <x v="90"/>
    <n v="8602"/>
    <x v="0"/>
    <s v="拉杆音响200W"/>
    <m/>
    <s v="送样"/>
    <m/>
    <m/>
    <m/>
    <n v="2.5"/>
    <n v="47500"/>
    <n v="120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9"/>
    <s v="广东创芯辉电子有限公司"/>
    <x v="0"/>
    <m/>
    <s v="Kevin"/>
    <m/>
    <x v="86"/>
    <x v="90"/>
    <n v="8602"/>
    <x v="0"/>
    <s v="拉杆音响200W"/>
    <m/>
    <s v="送样"/>
    <m/>
    <m/>
    <m/>
    <n v="2.5"/>
    <n v="187500"/>
    <n v="120000"/>
    <n v="75000"/>
    <m/>
    <m/>
    <m/>
    <n v="0"/>
    <n v="0"/>
    <n v="0"/>
    <n v="1000"/>
    <n v="4000"/>
    <n v="10000"/>
    <n v="20000"/>
    <n v="20000"/>
    <n v="2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20"/>
    <s v="广东旭杰电子有限公司"/>
    <x v="0"/>
    <m/>
    <s v="Kevin"/>
    <m/>
    <x v="86"/>
    <x v="90"/>
    <n v="8602"/>
    <x v="0"/>
    <s v="拉杆音响200W"/>
    <m/>
    <s v="送样"/>
    <m/>
    <m/>
    <m/>
    <n v="2.5"/>
    <n v="92500"/>
    <n v="120000"/>
    <n v="37000"/>
    <m/>
    <m/>
    <m/>
    <n v="0"/>
    <n v="0"/>
    <n v="0"/>
    <n v="1000"/>
    <n v="2000"/>
    <n v="4000"/>
    <n v="10000"/>
    <n v="10000"/>
    <n v="1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1"/>
    <s v="广州明生电子有限公司"/>
    <x v="0"/>
    <m/>
    <s v="Kevin"/>
    <m/>
    <x v="86"/>
    <x v="90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22"/>
    <s v="清远辉杰智能有限公司"/>
    <x v="0"/>
    <m/>
    <s v="Kevin"/>
    <m/>
    <x v="86"/>
    <x v="90"/>
    <n v="8602"/>
    <x v="0"/>
    <s v="拉杆音响200W"/>
    <m/>
    <s v="送样"/>
    <m/>
    <m/>
    <m/>
    <n v="2.5"/>
    <n v="125000"/>
    <m/>
    <n v="50000"/>
    <m/>
    <m/>
    <m/>
    <m/>
    <m/>
    <m/>
    <n v="0"/>
    <n v="1000"/>
    <n v="4000"/>
    <n v="15000"/>
    <n v="15000"/>
    <n v="15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0"/>
    <n v="2500"/>
    <n v="10000"/>
    <n v="37500"/>
    <n v="37500"/>
    <n v="37500"/>
  </r>
  <r>
    <n v="223"/>
    <s v="广东浩声科技有限公司"/>
    <x v="0"/>
    <m/>
    <s v="Kevin"/>
    <m/>
    <x v="86"/>
    <x v="90"/>
    <n v="8602"/>
    <x v="0"/>
    <s v="拉杆音响200W"/>
    <m/>
    <s v="送样"/>
    <m/>
    <m/>
    <m/>
    <n v="2.5"/>
    <n v="97500"/>
    <m/>
    <n v="39000"/>
    <m/>
    <m/>
    <m/>
    <m/>
    <m/>
    <m/>
    <n v="1000"/>
    <n v="4000"/>
    <n v="4000"/>
    <n v="10000"/>
    <n v="10000"/>
    <n v="1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10000"/>
    <n v="10000"/>
    <n v="25000"/>
    <n v="25000"/>
    <n v="25000"/>
  </r>
  <r>
    <n v="224"/>
    <s v="广东心乐电子有限公司"/>
    <x v="0"/>
    <m/>
    <s v="Kevin"/>
    <m/>
    <x v="86"/>
    <x v="90"/>
    <n v="8602"/>
    <x v="0"/>
    <s v="拉杆音响200W"/>
    <m/>
    <s v="送样"/>
    <m/>
    <m/>
    <m/>
    <n v="2.5"/>
    <n v="92500"/>
    <m/>
    <n v="37000"/>
    <m/>
    <m/>
    <m/>
    <m/>
    <m/>
    <m/>
    <n v="1000"/>
    <n v="2000"/>
    <n v="4000"/>
    <n v="10000"/>
    <n v="10000"/>
    <n v="1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5"/>
    <s v="东莞市景盛电子科技有限公司"/>
    <x v="1"/>
    <s v="深圳市亚特联科技有限公司"/>
    <s v="Bill"/>
    <s v="陈松玲"/>
    <x v="87"/>
    <x v="91"/>
    <m/>
    <x v="0"/>
    <s v="游戏扳机"/>
    <n v="10800000"/>
    <s v="送样"/>
    <s v="推动研发人员进行测试，测试通过后封装改为正封测试"/>
    <s v="MT9105、CC6503"/>
    <n v="0.33"/>
    <n v="0.26"/>
    <n v="21840"/>
    <m/>
    <n v="84000"/>
    <m/>
    <m/>
    <n v="5000"/>
    <n v="6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x v="2"/>
    <s v="磁性位置传感器"/>
    <s v="消费电子"/>
    <s v="电脑周边"/>
    <s v="游戏摇杆"/>
    <s v="游戏扳机"/>
    <m/>
    <m/>
    <m/>
    <n v="2"/>
    <m/>
    <m/>
    <m/>
    <m/>
    <m/>
    <m/>
    <m/>
    <m/>
    <n v="3120"/>
    <n v="3120"/>
    <n v="3120"/>
    <n v="3120"/>
    <n v="3120"/>
    <n v="3120"/>
    <n v="3120"/>
    <n v="3120"/>
  </r>
  <r>
    <n v="226"/>
    <s v="珠海创伟领航科技有限公司"/>
    <x v="0"/>
    <s v="深圳市大凌电子有限公司"/>
    <s v="Bill"/>
    <s v="Shu"/>
    <x v="13"/>
    <x v="92"/>
    <m/>
    <x v="0"/>
    <s v="无刷电机控制板"/>
    <n v="12000000"/>
    <s v="批量"/>
    <m/>
    <s v="177直插"/>
    <m/>
    <n v="0.12"/>
    <n v="0"/>
    <m/>
    <n v="0"/>
    <n v="1000000"/>
    <n v="1000000"/>
    <n v="1000000"/>
    <n v="0"/>
    <n v="0"/>
    <n v="0"/>
    <n v="0"/>
    <n v="0"/>
    <n v="0"/>
    <n v="0"/>
    <n v="0"/>
    <n v="0"/>
    <m/>
    <m/>
    <m/>
    <m/>
    <m/>
    <m/>
    <m/>
    <m/>
    <m/>
    <m/>
    <m/>
    <m/>
    <s v="Bill"/>
    <x v="2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227"/>
    <s v="上海飞智电子科技有限公司"/>
    <x v="2"/>
    <s v="深圳市大凌电子有限公司"/>
    <s v="Bill"/>
    <s v="Shu"/>
    <x v="88"/>
    <x v="93"/>
    <m/>
    <x v="0"/>
    <s v="磁轴键盘，游戏手柄"/>
    <n v="5000000"/>
    <s v="送样"/>
    <m/>
    <s v="无"/>
    <m/>
    <n v="0.2"/>
    <n v="400000"/>
    <m/>
    <n v="2000000"/>
    <n v="500000"/>
    <n v="500000"/>
    <n v="0"/>
    <n v="0"/>
    <n v="0"/>
    <n v="0"/>
    <n v="0"/>
    <n v="0"/>
    <n v="500000"/>
    <n v="500000"/>
    <n v="500000"/>
    <n v="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100000"/>
    <n v="100000"/>
    <n v="100000"/>
    <n v="100000"/>
  </r>
  <r>
    <n v="228"/>
    <s v="深圳市万至达电机制造有限公司"/>
    <x v="0"/>
    <s v="深圳市大凌电子有限公司"/>
    <s v="Bill"/>
    <s v="Shu"/>
    <x v="72"/>
    <x v="94"/>
    <m/>
    <x v="0"/>
    <s v="电动牙刷电机方案，无刷电机"/>
    <n v="1800000"/>
    <s v="批量"/>
    <m/>
    <s v="无"/>
    <m/>
    <n v="0.28"/>
    <n v="588000"/>
    <m/>
    <n v="2100000"/>
    <n v="300000"/>
    <n v="300000"/>
    <n v="300000"/>
    <n v="300000"/>
    <n v="300000"/>
    <n v="300000"/>
    <n v="300000"/>
    <n v="300000"/>
    <n v="300000"/>
    <n v="300000"/>
    <n v="300000"/>
    <n v="300000"/>
    <m/>
    <m/>
    <m/>
    <m/>
    <m/>
    <m/>
    <m/>
    <m/>
    <m/>
    <m/>
    <m/>
    <m/>
    <s v="Bill"/>
    <x v="2"/>
    <s v="磁性位置传感器"/>
    <s v="消费电子"/>
    <s v="个人护理"/>
    <s v="电动牙刷"/>
    <m/>
    <m/>
    <m/>
    <m/>
    <m/>
    <m/>
    <m/>
    <m/>
    <m/>
    <m/>
    <m/>
    <m/>
    <m/>
    <n v="84000"/>
    <n v="84000"/>
    <n v="84000"/>
    <n v="84000"/>
    <n v="84000"/>
    <n v="84000"/>
    <n v="84000"/>
    <n v="84000"/>
  </r>
  <r>
    <n v="229"/>
    <s v="惠州市金力变速实业发展有限公司"/>
    <x v="0"/>
    <s v="深圳市亚特联科技有限公司"/>
    <s v="Bill"/>
    <s v="May"/>
    <x v="11"/>
    <x v="85"/>
    <m/>
    <x v="0"/>
    <s v="扫地机三相无刷电机"/>
    <n v="10000000"/>
    <s v="送样"/>
    <s v="英能同步拜访，建立方案级合作"/>
    <s v="MT876X、MH188"/>
    <n v="0.35"/>
    <n v="0.22"/>
    <n v="0"/>
    <m/>
    <n v="0"/>
    <n v="0"/>
    <n v="10000"/>
    <n v="10000"/>
    <m/>
    <m/>
    <m/>
    <m/>
    <m/>
    <m/>
    <m/>
    <m/>
    <m/>
    <m/>
    <m/>
    <m/>
    <m/>
    <m/>
    <m/>
    <m/>
    <m/>
    <m/>
    <m/>
    <m/>
    <m/>
    <s v="Bill"/>
    <x v="2"/>
    <s v="磁性位置传感器"/>
    <s v="智能家居"/>
    <s v="小型家电"/>
    <s v="扫地机"/>
    <s v="扫地机行走电机"/>
    <m/>
    <m/>
    <m/>
    <n v="3"/>
    <m/>
    <m/>
    <m/>
    <m/>
    <m/>
    <m/>
    <m/>
    <m/>
    <n v="0"/>
    <n v="0"/>
    <n v="0"/>
    <n v="0"/>
    <n v="0"/>
    <n v="0"/>
    <n v="0"/>
    <n v="0"/>
  </r>
  <r>
    <n v="230"/>
    <s v="浙江仕优驱动有限公司"/>
    <x v="0"/>
    <s v="深圳市首显电子设计有限公司"/>
    <s v="Bill"/>
    <s v="Suzy"/>
    <x v="89"/>
    <x v="31"/>
    <m/>
    <x v="0"/>
    <s v="轮椅电机"/>
    <n v="240000"/>
    <s v="送样"/>
    <s v="跟进后续需求"/>
    <m/>
    <m/>
    <n v="3.65"/>
    <n v="255500"/>
    <m/>
    <n v="70000"/>
    <n v="20000"/>
    <n v="20000"/>
    <n v="2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电机编码器"/>
    <s v="工业和机器人"/>
    <s v="工业电机"/>
    <s v="电机电控"/>
    <m/>
    <m/>
    <m/>
    <m/>
    <m/>
    <m/>
    <m/>
    <m/>
    <m/>
    <m/>
    <m/>
    <m/>
    <m/>
    <n v="36500"/>
    <n v="36500"/>
    <n v="36500"/>
    <n v="36500"/>
    <n v="36500"/>
    <n v="36500"/>
    <n v="36500"/>
    <n v="36500"/>
  </r>
  <r>
    <n v="231"/>
    <s v="广州市沃燊电子科技有限公司"/>
    <x v="0"/>
    <s v="深圳市大凌电子有限公司"/>
    <s v="Bill"/>
    <s v="Shu"/>
    <x v="25"/>
    <x v="95"/>
    <m/>
    <x v="0"/>
    <s v="舞台灯光"/>
    <n v="2000000"/>
    <s v="批量"/>
    <m/>
    <m/>
    <m/>
    <n v="0.19"/>
    <n v="465500"/>
    <m/>
    <n v="2450000"/>
    <n v="350000"/>
    <n v="350000"/>
    <n v="350000"/>
    <n v="350000"/>
    <n v="350000"/>
    <n v="350000"/>
    <n v="350000"/>
    <n v="350000"/>
    <n v="350000"/>
    <n v="350000"/>
    <n v="350000"/>
    <n v="3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66500"/>
    <n v="66500"/>
    <n v="66500"/>
    <n v="66500"/>
    <n v="66500"/>
    <n v="66500"/>
    <n v="66500"/>
    <n v="66500"/>
  </r>
  <r>
    <n v="232"/>
    <s v="深圳市金跃达电子有限公司"/>
    <x v="1"/>
    <s v="南京富聚科技有限公司"/>
    <s v="Bill"/>
    <s v="晏紫莹"/>
    <x v="7"/>
    <x v="7"/>
    <m/>
    <x v="0"/>
    <s v="撑杆电机（电动车尾门）"/>
    <m/>
    <s v="批量"/>
    <s v="量产"/>
    <m/>
    <m/>
    <n v="0.46"/>
    <n v="483000"/>
    <m/>
    <n v="10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69000"/>
    <n v="69000"/>
    <n v="69000"/>
    <n v="69000"/>
    <n v="69000"/>
    <n v="69000"/>
    <n v="69000"/>
    <n v="69000"/>
  </r>
  <r>
    <n v="233"/>
    <s v="广州市沃燊电子科技有限公司"/>
    <x v="0"/>
    <s v="深圳市大凌电子有限公司"/>
    <s v="Bill"/>
    <s v="Shu"/>
    <x v="90"/>
    <x v="96"/>
    <m/>
    <x v="0"/>
    <s v="共享单车锁"/>
    <n v="3000000"/>
    <s v="评估"/>
    <m/>
    <m/>
    <m/>
    <n v="0.25"/>
    <n v="462500"/>
    <m/>
    <n v="1850000"/>
    <m/>
    <m/>
    <n v="50000"/>
    <n v="50000"/>
    <n v="50000"/>
    <n v="50000"/>
    <n v="300000"/>
    <n v="300000"/>
    <n v="300000"/>
    <n v="300000"/>
    <n v="300000"/>
    <n v="300000"/>
    <m/>
    <m/>
    <m/>
    <m/>
    <m/>
    <m/>
    <m/>
    <m/>
    <m/>
    <m/>
    <m/>
    <m/>
    <s v="Bill"/>
    <x v="2"/>
    <s v="磁性位置传感器"/>
    <s v="工业和机器人"/>
    <m/>
    <m/>
    <m/>
    <m/>
    <m/>
    <m/>
    <m/>
    <m/>
    <m/>
    <m/>
    <m/>
    <m/>
    <m/>
    <m/>
    <m/>
    <n v="12500"/>
    <n v="12500"/>
    <n v="75000"/>
    <n v="75000"/>
    <n v="75000"/>
    <n v="75000"/>
    <n v="75000"/>
    <n v="75000"/>
  </r>
  <r>
    <n v="234"/>
    <s v="深圳市恒驱电机股份有限公司"/>
    <x v="1"/>
    <s v="南京富聚科技有限公司"/>
    <s v="Bill"/>
    <s v="晏紫莹"/>
    <x v="91"/>
    <x v="97"/>
    <m/>
    <x v="0"/>
    <s v="电动牙刷"/>
    <n v="2600000"/>
    <s v="小批量"/>
    <s v="待量产后，进行1000Pcs小批量测试"/>
    <s v="MT9101"/>
    <n v="0.31"/>
    <n v="0.44"/>
    <n v="572000"/>
    <m/>
    <n v="1300000"/>
    <m/>
    <n v="0"/>
    <n v="100000"/>
    <n v="100000"/>
    <n v="200000"/>
    <n v="100000"/>
    <n v="100000"/>
    <n v="100000"/>
    <n v="100000"/>
    <n v="500000"/>
    <n v="200000"/>
    <n v="200000"/>
    <m/>
    <m/>
    <m/>
    <m/>
    <m/>
    <m/>
    <m/>
    <m/>
    <m/>
    <m/>
    <m/>
    <m/>
    <s v="Bill"/>
    <x v="2"/>
    <s v="磁性位置传感器"/>
    <s v="消费电子"/>
    <s v="个人护理"/>
    <s v="电动牙刷"/>
    <s v="转子定位"/>
    <m/>
    <m/>
    <m/>
    <n v="1"/>
    <m/>
    <m/>
    <m/>
    <m/>
    <m/>
    <m/>
    <m/>
    <m/>
    <n v="88000"/>
    <n v="44000"/>
    <n v="44000"/>
    <n v="44000"/>
    <n v="44000"/>
    <n v="220000"/>
    <n v="88000"/>
    <n v="88000"/>
  </r>
  <r>
    <n v="235"/>
    <s v="广州华望半导体科技有限公司"/>
    <x v="0"/>
    <s v="南京富聚科技有限公司"/>
    <s v="Bill"/>
    <s v="姚振环"/>
    <x v="18"/>
    <x v="20"/>
    <m/>
    <x v="0"/>
    <s v="座椅水平电机"/>
    <n v="5000000"/>
    <s v="送样"/>
    <s v="送样测试阶段"/>
    <m/>
    <m/>
    <n v="0.62"/>
    <n v="0"/>
    <m/>
    <n v="0"/>
    <n v="50000"/>
    <n v="50000"/>
    <n v="100000"/>
    <m/>
    <m/>
    <m/>
    <m/>
    <m/>
    <m/>
    <m/>
    <m/>
    <m/>
    <m/>
    <m/>
    <m/>
    <m/>
    <m/>
    <m/>
    <m/>
    <m/>
    <m/>
    <m/>
    <m/>
    <m/>
    <s v="Bill"/>
    <x v="2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236"/>
    <s v="广州市鸿远电子科技有限公司"/>
    <x v="0"/>
    <s v="深圳市智芯诚科技有限公司"/>
    <s v="Bill"/>
    <s v="Guo"/>
    <x v="92"/>
    <x v="98"/>
    <m/>
    <x v="0"/>
    <s v="摇头灯"/>
    <n v="100000"/>
    <s v="批量"/>
    <s v="已量产"/>
    <s v="无"/>
    <s v="无"/>
    <n v="3"/>
    <n v="312480"/>
    <m/>
    <n v="104160"/>
    <n v="14880"/>
    <n v="14880"/>
    <n v="14880"/>
    <n v="14880"/>
    <n v="14880"/>
    <n v="14880"/>
    <n v="14880"/>
    <n v="14880"/>
    <n v="14880"/>
    <n v="14880"/>
    <n v="14880"/>
    <n v="14880"/>
    <m/>
    <m/>
    <m/>
    <m/>
    <m/>
    <m/>
    <m/>
    <m/>
    <m/>
    <m/>
    <m/>
    <m/>
    <s v="Bill"/>
    <x v="2"/>
    <s v="电机编码器"/>
    <s v="消费电子"/>
    <m/>
    <m/>
    <m/>
    <m/>
    <m/>
    <m/>
    <m/>
    <m/>
    <m/>
    <m/>
    <m/>
    <m/>
    <m/>
    <m/>
    <m/>
    <n v="44640"/>
    <n v="44640"/>
    <n v="44640"/>
    <n v="44640"/>
    <n v="44640"/>
    <n v="44640"/>
    <n v="44640"/>
    <n v="44640"/>
  </r>
  <r>
    <n v="237"/>
    <s v="深圳市金跃达电子有限公司"/>
    <x v="1"/>
    <s v="南京富聚科技有限公司"/>
    <s v="Bill"/>
    <s v="晏紫莹"/>
    <x v="93"/>
    <x v="99"/>
    <m/>
    <x v="0"/>
    <s v="撑杆电机（电动车尾门）"/>
    <n v="1000000"/>
    <s v="批量"/>
    <s v="量产"/>
    <s v="A1212"/>
    <n v="1.1"/>
    <n v="0.52"/>
    <n v="364000"/>
    <m/>
    <n v="700000"/>
    <n v="10000"/>
    <n v="10000"/>
    <n v="1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52000"/>
    <n v="52000"/>
    <n v="52000"/>
    <n v="52000"/>
    <n v="52000"/>
    <n v="52000"/>
    <n v="52000"/>
    <n v="52000"/>
  </r>
  <r>
    <n v="238"/>
    <s v="深圳市永诚创科技有限公司"/>
    <x v="0"/>
    <s v="深圳市大凌电子有限公司"/>
    <s v="Bill"/>
    <s v="Chen"/>
    <x v="30"/>
    <x v="33"/>
    <m/>
    <x v="0"/>
    <s v="散热风扇"/>
    <n v="1000000"/>
    <s v="小批量"/>
    <m/>
    <s v="新项目"/>
    <m/>
    <n v="0.35"/>
    <n v="24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39"/>
    <s v="深圳市清联同创汽车电子有限公司"/>
    <x v="1"/>
    <s v="深圳市大凌电子有限公司"/>
    <s v="Bill"/>
    <s v="Shu"/>
    <x v="94"/>
    <x v="100"/>
    <m/>
    <x v="0"/>
    <s v="汽车尾门电机"/>
    <n v="1000000"/>
    <s v="批量"/>
    <m/>
    <m/>
    <m/>
    <n v="0.35"/>
    <n v="24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0"/>
    <s v="深圳市太美亚电子科技有限公司（恒盟鑫）"/>
    <x v="0"/>
    <s v="深圳市大凌电子有限公司"/>
    <s v="Bill"/>
    <s v="Shu"/>
    <x v="94"/>
    <x v="100"/>
    <m/>
    <x v="0"/>
    <s v="汽车尾门电机"/>
    <n v="1000000"/>
    <s v="批量"/>
    <m/>
    <m/>
    <m/>
    <n v="0.35"/>
    <n v="24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1"/>
    <s v="深圳微羽智能科技有限公司"/>
    <x v="0"/>
    <s v="深圳市首显电子设计有限公司"/>
    <s v="Bill"/>
    <s v="Wayne"/>
    <x v="95"/>
    <x v="101"/>
    <m/>
    <x v="0"/>
    <s v="工业电机驱动"/>
    <n v="120000"/>
    <s v="批量"/>
    <s v="正常下单"/>
    <m/>
    <m/>
    <n v="3.3"/>
    <n v="231000"/>
    <m/>
    <n v="7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电机编码器"/>
    <s v="工业和机器人"/>
    <m/>
    <m/>
    <m/>
    <m/>
    <m/>
    <m/>
    <m/>
    <m/>
    <m/>
    <m/>
    <m/>
    <m/>
    <m/>
    <m/>
    <m/>
    <n v="33000"/>
    <n v="33000"/>
    <n v="33000"/>
    <n v="33000"/>
    <n v="33000"/>
    <n v="33000"/>
    <n v="33000"/>
    <n v="33000"/>
  </r>
  <r>
    <n v="242"/>
    <s v="广东芯通电子科技有限公司"/>
    <x v="0"/>
    <s v="深圳市大凌电子有限公司"/>
    <s v="Bill"/>
    <s v="Shu"/>
    <x v="23"/>
    <x v="25"/>
    <m/>
    <x v="0"/>
    <s v="商用电磁炉开关"/>
    <n v="2000000"/>
    <s v="批量"/>
    <m/>
    <m/>
    <m/>
    <n v="0.21"/>
    <n v="220500"/>
    <m/>
    <n v="10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31500"/>
    <n v="31500"/>
    <n v="31500"/>
    <n v="31500"/>
    <n v="31500"/>
    <n v="31500"/>
    <n v="31500"/>
    <n v="31500"/>
  </r>
  <r>
    <n v="243"/>
    <s v="深圳市恒驱电机股份有限公司"/>
    <x v="1"/>
    <s v="南京富聚科技有限公司"/>
    <s v="Bill"/>
    <s v="晏紫莹"/>
    <x v="91"/>
    <x v="97"/>
    <m/>
    <x v="0"/>
    <s v="云台定位"/>
    <n v="1000000"/>
    <s v="评估"/>
    <s v="待带量产进行小批量测试"/>
    <s v="MT9102"/>
    <n v="0.31"/>
    <n v="0.44"/>
    <n v="308000"/>
    <m/>
    <n v="700000"/>
    <n v="0"/>
    <n v="0"/>
    <n v="0"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s v="电脑周边"/>
    <s v="摄像头云台"/>
    <s v="云台定位"/>
    <m/>
    <m/>
    <m/>
    <n v="1"/>
    <m/>
    <m/>
    <m/>
    <m/>
    <m/>
    <m/>
    <m/>
    <m/>
    <n v="44000"/>
    <n v="44000"/>
    <n v="44000"/>
    <n v="44000"/>
    <n v="44000"/>
    <n v="44000"/>
    <n v="44000"/>
    <n v="44000"/>
  </r>
  <r>
    <n v="244"/>
    <s v="中山市群荣电子厂"/>
    <x v="0"/>
    <s v="深圳市大凌电子有限公司"/>
    <s v="Bill"/>
    <s v="Shu"/>
    <x v="10"/>
    <x v="10"/>
    <m/>
    <x v="0"/>
    <s v="商用电磁炉开关"/>
    <n v="1000000"/>
    <s v="批量"/>
    <m/>
    <m/>
    <m/>
    <n v="0.25"/>
    <n v="17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5"/>
    <s v="大凌-SC1134SO-N"/>
    <x v="0"/>
    <s v="深圳市大凌电子有限公司"/>
    <s v="Bill"/>
    <s v="Shu"/>
    <x v="23"/>
    <x v="25"/>
    <m/>
    <x v="0"/>
    <s v="商用电磁炉开关"/>
    <n v="1200000"/>
    <s v="批量"/>
    <m/>
    <s v="无"/>
    <m/>
    <n v="0.25"/>
    <n v="17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6"/>
    <s v="大凌-SC2434SO-N"/>
    <x v="0"/>
    <s v="深圳市大凌电子有限公司"/>
    <s v="Bill"/>
    <s v="Shu"/>
    <x v="10"/>
    <x v="10"/>
    <m/>
    <x v="0"/>
    <s v="商用电磁炉开关"/>
    <n v="2500000"/>
    <s v="批量"/>
    <m/>
    <s v="无"/>
    <m/>
    <n v="0.25"/>
    <n v="17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7"/>
    <s v="深圳市金跃达电子有限公司"/>
    <x v="1"/>
    <s v="南京富聚科技有限公司"/>
    <s v="Bill"/>
    <s v="晏紫莹"/>
    <x v="18"/>
    <x v="20"/>
    <m/>
    <x v="0"/>
    <s v="座椅水平电机"/>
    <m/>
    <s v="批量"/>
    <s v="量产"/>
    <m/>
    <m/>
    <n v="0.62"/>
    <n v="173600"/>
    <m/>
    <n v="280000"/>
    <n v="40000"/>
    <n v="40000"/>
    <n v="40000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s v="Bill"/>
    <x v="2"/>
    <s v="磁性位置传感器"/>
    <s v="汽车电子"/>
    <s v="智能座舱"/>
    <s v="智能座椅"/>
    <s v="座椅水平电机"/>
    <m/>
    <m/>
    <m/>
    <m/>
    <m/>
    <m/>
    <m/>
    <m/>
    <m/>
    <m/>
    <m/>
    <m/>
    <n v="24800"/>
    <n v="24800"/>
    <n v="24800"/>
    <n v="24800"/>
    <n v="24800"/>
    <n v="24800"/>
    <n v="24800"/>
    <n v="24800"/>
  </r>
  <r>
    <n v="248"/>
    <s v="佛山联睿电子科技有限公司"/>
    <x v="0"/>
    <s v="深圳市大凌电子有限公司"/>
    <s v="Bill"/>
    <s v="Chen"/>
    <x v="11"/>
    <x v="85"/>
    <m/>
    <x v="0"/>
    <s v="散热风扇，家电控制板"/>
    <n v="2000000"/>
    <s v="批量"/>
    <m/>
    <m/>
    <m/>
    <n v="0.12"/>
    <n v="168000"/>
    <m/>
    <n v="14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49"/>
    <s v="深圳市方珘电子有限公司"/>
    <x v="1"/>
    <s v="深圳市大凌电子有限公司"/>
    <s v="Bill"/>
    <s v="Shu"/>
    <x v="96"/>
    <x v="102"/>
    <m/>
    <x v="0"/>
    <s v="电动牙刷电机方案"/>
    <m/>
    <s v="小批量"/>
    <m/>
    <s v="MT9101DT"/>
    <m/>
    <n v="0.23"/>
    <n v="24150"/>
    <m/>
    <n v="105000"/>
    <n v="100000"/>
    <n v="100000"/>
    <n v="15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s v="Bill"/>
    <x v="2"/>
    <s v="磁性位置传感器"/>
    <s v="消费电子"/>
    <s v="个人护理"/>
    <s v="电动牙刷"/>
    <m/>
    <m/>
    <m/>
    <m/>
    <m/>
    <m/>
    <m/>
    <m/>
    <m/>
    <m/>
    <m/>
    <m/>
    <m/>
    <n v="3450"/>
    <n v="3450"/>
    <n v="3450"/>
    <n v="3450"/>
    <n v="3450"/>
    <n v="3450"/>
    <n v="3450"/>
    <n v="3450"/>
  </r>
  <r>
    <n v="250"/>
    <s v="深圳市海富创电子科技有限公司"/>
    <x v="0"/>
    <s v="深圳市首显电子设计有限公司"/>
    <s v="Bill"/>
    <s v="Wayne"/>
    <x v="25"/>
    <x v="27"/>
    <m/>
    <x v="0"/>
    <s v="接近开关"/>
    <n v="1200000"/>
    <s v="批量"/>
    <s v="正常下单"/>
    <m/>
    <m/>
    <n v="0.23"/>
    <n v="32200"/>
    <m/>
    <n v="140000"/>
    <n v="100000"/>
    <n v="100000"/>
    <n v="10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51"/>
    <s v="佛山联睿电子科技有限公司"/>
    <x v="0"/>
    <s v="深圳市大凌电子有限公司"/>
    <s v="Bill"/>
    <s v="Chen"/>
    <x v="23"/>
    <x v="25"/>
    <m/>
    <x v="0"/>
    <s v="散热风扇，家电控制板"/>
    <n v="1000000"/>
    <s v="批量"/>
    <m/>
    <m/>
    <m/>
    <n v="0.205"/>
    <n v="1435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0500"/>
    <n v="20500"/>
    <n v="20500"/>
    <n v="20500"/>
    <n v="20500"/>
    <n v="20500"/>
    <n v="20500"/>
    <n v="20500"/>
  </r>
  <r>
    <n v="252"/>
    <s v="广东鑫控电子科技有限公司"/>
    <x v="0"/>
    <s v="深圳市大凌电子有限公司"/>
    <s v="Bill"/>
    <s v="Shu"/>
    <x v="10"/>
    <x v="10"/>
    <m/>
    <x v="0"/>
    <s v="商用电磁炉开关"/>
    <n v="1000000"/>
    <s v="批量"/>
    <m/>
    <m/>
    <m/>
    <n v="0.205"/>
    <n v="1435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0500"/>
    <n v="20500"/>
    <n v="20500"/>
    <n v="20500"/>
    <n v="20500"/>
    <n v="20500"/>
    <n v="20500"/>
    <n v="20500"/>
  </r>
  <r>
    <n v="253"/>
    <s v="亚美达电气（深圳）有限公司"/>
    <x v="0"/>
    <s v="深圳市大凌电子有限公司"/>
    <s v="Bill"/>
    <s v="Chen"/>
    <x v="11"/>
    <x v="85"/>
    <m/>
    <x v="0"/>
    <s v="加湿器电机控制板（华为）"/>
    <n v="3000000"/>
    <s v="送样"/>
    <m/>
    <s v="SDC177"/>
    <m/>
    <n v="0.12"/>
    <n v="168000"/>
    <m/>
    <n v="1400000"/>
    <m/>
    <m/>
    <m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4"/>
    <s v="佛山市小点电子科技有限公司"/>
    <x v="0"/>
    <s v="深圳市大凌电子有限公司"/>
    <s v="Bill"/>
    <s v="Chen"/>
    <x v="11"/>
    <x v="85"/>
    <m/>
    <x v="0"/>
    <s v="散热风扇"/>
    <n v="3000000"/>
    <s v="送样"/>
    <m/>
    <s v="SDC177"/>
    <m/>
    <n v="0.12"/>
    <n v="168000"/>
    <m/>
    <n v="1400000"/>
    <m/>
    <m/>
    <m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5"/>
    <s v="大凌-SC1134BU"/>
    <x v="0"/>
    <s v="深圳市大凌电子有限公司"/>
    <s v="Bill"/>
    <s v="Shu"/>
    <x v="97"/>
    <x v="103"/>
    <m/>
    <x v="0"/>
    <s v="舞台灯光"/>
    <n v="750000"/>
    <s v="批量"/>
    <m/>
    <s v="无"/>
    <m/>
    <n v="0.37"/>
    <n v="129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8500"/>
    <n v="18500"/>
    <n v="18500"/>
    <n v="18500"/>
    <n v="18500"/>
    <n v="18500"/>
    <n v="18500"/>
    <n v="18500"/>
  </r>
  <r>
    <n v="256"/>
    <s v="深圳市清联同创汽车电子有限公司"/>
    <x v="1"/>
    <s v="深圳市大凌电子有限公司"/>
    <s v="Bill"/>
    <s v="Shu"/>
    <x v="41"/>
    <x v="43"/>
    <m/>
    <x v="0"/>
    <s v="汽车尾门电机"/>
    <n v="500000"/>
    <s v="批量"/>
    <m/>
    <m/>
    <m/>
    <n v="0.35"/>
    <n v="122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7"/>
    <s v="大凌-SC2442UA"/>
    <x v="0"/>
    <s v="深圳市大凌电子有限公司"/>
    <s v="Bill"/>
    <s v="Shu"/>
    <x v="26"/>
    <x v="82"/>
    <m/>
    <x v="0"/>
    <s v="汽车尾门电机"/>
    <n v="750000"/>
    <s v="批量"/>
    <m/>
    <s v="无"/>
    <m/>
    <n v="0.35"/>
    <n v="122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8"/>
    <s v="大凌-SC2063SO"/>
    <x v="0"/>
    <s v="深圳市大凌电子有限公司"/>
    <s v="Bill"/>
    <s v="Chen"/>
    <x v="16"/>
    <x v="18"/>
    <m/>
    <x v="0"/>
    <s v="豆浆机/料理机电机"/>
    <n v="2000000"/>
    <s v="批量"/>
    <m/>
    <s v="无"/>
    <m/>
    <n v="0.115"/>
    <n v="120750"/>
    <m/>
    <n v="10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7250"/>
    <n v="17250"/>
    <n v="17250"/>
    <n v="17250"/>
    <n v="17250"/>
    <n v="17250"/>
    <n v="17250"/>
    <n v="17250"/>
  </r>
  <r>
    <n v="259"/>
    <s v="中山澳多科技有限公司"/>
    <x v="1"/>
    <s v="南京富聚科技有限公司"/>
    <s v="Bill"/>
    <s v="姚振环"/>
    <x v="10"/>
    <x v="10"/>
    <m/>
    <x v="0"/>
    <s v="转向锁"/>
    <m/>
    <s v="批量"/>
    <s v="量产"/>
    <m/>
    <m/>
    <n v="0.52"/>
    <n v="36400"/>
    <m/>
    <n v="70000"/>
    <n v="30000"/>
    <n v="30000"/>
    <n v="3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0"/>
    <s v="汉宇集团股份有限公司"/>
    <x v="0"/>
    <s v="深圳市大凌电子有限公司"/>
    <s v="Bill"/>
    <s v="Shu"/>
    <x v="29"/>
    <x v="32"/>
    <m/>
    <x v="0"/>
    <s v="洗碗机水泵"/>
    <n v="800000"/>
    <s v="批量"/>
    <m/>
    <s v="无"/>
    <m/>
    <n v="0.21"/>
    <n v="102900"/>
    <m/>
    <n v="490000"/>
    <n v="70000"/>
    <n v="70000"/>
    <n v="70000"/>
    <n v="70000"/>
    <n v="70000"/>
    <n v="70000"/>
    <n v="70000"/>
    <n v="70000"/>
    <n v="70000"/>
    <n v="70000"/>
    <n v="70000"/>
    <n v="7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4700"/>
    <n v="14700"/>
    <n v="14700"/>
    <n v="14700"/>
    <n v="14700"/>
    <n v="14700"/>
    <n v="14700"/>
    <n v="14700"/>
  </r>
  <r>
    <n v="261"/>
    <s v="深圳市拓邦自动化技术有限公司"/>
    <x v="1"/>
    <s v="深圳市光耀发展实业有限公司"/>
    <s v="Bill"/>
    <s v="陈博"/>
    <x v="98"/>
    <x v="104"/>
    <m/>
    <x v="0"/>
    <s v="智能马桶（开合盖）-恒洁"/>
    <n v="400000"/>
    <s v="批量"/>
    <m/>
    <m/>
    <m/>
    <n v="0.28"/>
    <n v="0"/>
    <m/>
    <n v="0"/>
    <m/>
    <m/>
    <m/>
    <n v="30000"/>
    <n v="30000"/>
    <n v="0"/>
    <n v="0"/>
    <n v="0"/>
    <n v="0"/>
    <n v="0"/>
    <n v="0"/>
    <n v="0"/>
    <m/>
    <m/>
    <m/>
    <m/>
    <m/>
    <m/>
    <m/>
    <m/>
    <m/>
    <m/>
    <m/>
    <m/>
    <s v="Bill"/>
    <x v="2"/>
    <s v="磁性位置传感器"/>
    <s v="智能家居"/>
    <s v="小型家电"/>
    <s v="智能马桶"/>
    <s v="马桶开盖"/>
    <m/>
    <m/>
    <m/>
    <m/>
    <m/>
    <m/>
    <m/>
    <m/>
    <m/>
    <m/>
    <m/>
    <m/>
    <n v="8400"/>
    <n v="0"/>
    <n v="0"/>
    <n v="0"/>
    <n v="0"/>
    <n v="0"/>
    <n v="0"/>
    <n v="0"/>
  </r>
  <r>
    <n v="262"/>
    <s v="大凌-SC1245SO-N"/>
    <x v="0"/>
    <s v="深圳市大凌电子有限公司"/>
    <s v="Bill"/>
    <s v="Chen"/>
    <x v="28"/>
    <x v="30"/>
    <m/>
    <x v="0"/>
    <s v="电机霍尔板"/>
    <n v="700000"/>
    <s v="批量"/>
    <m/>
    <s v="无"/>
    <m/>
    <n v="0.25"/>
    <n v="87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2500"/>
    <n v="12500"/>
    <n v="12500"/>
    <n v="12500"/>
    <n v="12500"/>
    <n v="12500"/>
    <n v="12500"/>
    <n v="12500"/>
  </r>
  <r>
    <n v="263"/>
    <s v="深圳市海富创电子科技有限公司"/>
    <x v="0"/>
    <s v="深圳市首显电子设计有限公司"/>
    <s v="Bill"/>
    <s v="Wayne"/>
    <x v="99"/>
    <x v="105"/>
    <m/>
    <x v="0"/>
    <s v="直发器"/>
    <n v="720000"/>
    <s v="批量"/>
    <s v="正常下单"/>
    <m/>
    <m/>
    <n v="0.2"/>
    <n v="42000"/>
    <m/>
    <n v="210000"/>
    <n v="60000"/>
    <n v="60000"/>
    <n v="6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264"/>
    <s v="惠州市谷粒精密制造有限公司"/>
    <x v="0"/>
    <s v="深圳市首显电子设计有限公司"/>
    <s v="Bill"/>
    <s v="Suyun.Yan"/>
    <x v="100"/>
    <x v="31"/>
    <m/>
    <x v="0"/>
    <s v="游戏手柄-霍尔摇杆"/>
    <n v="600000"/>
    <s v="送样"/>
    <s v="现测试未达效果，需要改结构，具体需面谈"/>
    <s v="SL93"/>
    <m/>
    <n v="0.23"/>
    <n v="0"/>
    <m/>
    <n v="0"/>
    <n v="0"/>
    <n v="0"/>
    <n v="0"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65"/>
    <s v="东莞市创美时科技有限公司"/>
    <x v="0"/>
    <s v="深圳市首显电子设计有限公司"/>
    <s v="Bill"/>
    <s v="Wayne"/>
    <x v="11"/>
    <x v="85"/>
    <m/>
    <x v="0"/>
    <s v="电机霍尔板"/>
    <n v="360000"/>
    <s v="批量"/>
    <s v="正常下单"/>
    <m/>
    <m/>
    <n v="0.18"/>
    <n v="37800"/>
    <m/>
    <n v="210000"/>
    <n v="60000"/>
    <n v="60000"/>
    <n v="6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266"/>
    <s v="大凌-SC2402SO-N-G"/>
    <x v="0"/>
    <s v="深圳市大凌电子有限公司"/>
    <s v="Bill"/>
    <s v="Shu"/>
    <x v="11"/>
    <x v="85"/>
    <m/>
    <x v="0"/>
    <s v="家电电机"/>
    <n v="1000000"/>
    <s v="批量"/>
    <m/>
    <s v="无"/>
    <m/>
    <n v="0.13"/>
    <n v="72800"/>
    <m/>
    <n v="560000"/>
    <n v="80000"/>
    <n v="80000"/>
    <n v="80000"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0400"/>
    <n v="10400"/>
    <n v="10400"/>
    <n v="10400"/>
    <n v="10400"/>
    <n v="10400"/>
    <n v="10400"/>
    <n v="10400"/>
  </r>
  <r>
    <n v="267"/>
    <s v="东莞市创美时科技有限公司"/>
    <x v="0"/>
    <s v="深圳市首显电子设计有限公司"/>
    <s v="Bill"/>
    <s v="Wayne"/>
    <x v="22"/>
    <x v="24"/>
    <m/>
    <x v="0"/>
    <s v="接近开关"/>
    <n v="240000"/>
    <s v="批量"/>
    <s v="正常下单"/>
    <m/>
    <m/>
    <n v="0.52"/>
    <n v="36400"/>
    <m/>
    <n v="70000"/>
    <n v="20000"/>
    <n v="20000"/>
    <n v="2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8"/>
    <s v="深圳市捷诺科智能科技有限公司"/>
    <x v="0"/>
    <s v="深圳市首显电子设计有限公司"/>
    <s v="Bill"/>
    <s v="Davy"/>
    <x v="99"/>
    <x v="105"/>
    <m/>
    <x v="0"/>
    <s v="IOT 升降桌"/>
    <n v="600000"/>
    <s v="小批量"/>
    <s v="跟进后续需求"/>
    <m/>
    <m/>
    <n v="0.2"/>
    <n v="700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智能家居"/>
    <m/>
    <m/>
    <m/>
    <m/>
    <m/>
    <m/>
    <m/>
    <m/>
    <m/>
    <m/>
    <m/>
    <m/>
    <m/>
    <m/>
    <m/>
    <n v="10000"/>
    <n v="10000"/>
    <n v="10000"/>
    <n v="10000"/>
    <n v="10000"/>
    <n v="10000"/>
    <n v="10000"/>
    <n v="10000"/>
  </r>
  <r>
    <n v="269"/>
    <s v="广州市鸿远电子科技有限公司"/>
    <x v="0"/>
    <s v="深圳市智芯诚科技有限公司"/>
    <s v="Bill"/>
    <s v="Guo"/>
    <x v="95"/>
    <x v="101"/>
    <m/>
    <x v="0"/>
    <s v="摇头灯"/>
    <n v="30000"/>
    <s v="批量"/>
    <s v="已量产"/>
    <s v="无"/>
    <s v="无"/>
    <n v="3"/>
    <n v="63000"/>
    <m/>
    <n v="21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x v="2"/>
    <s v="电机编码器"/>
    <s v="消费电子"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270"/>
    <s v="东莞恒达电机制造有限公司"/>
    <x v="0"/>
    <s v="南京富聚科技有限公司"/>
    <s v="Bill"/>
    <s v="姚振环"/>
    <x v="7"/>
    <x v="7"/>
    <m/>
    <x v="0"/>
    <s v="隐藏式门把手"/>
    <m/>
    <s v="送样"/>
    <s v="画板调试阶段"/>
    <m/>
    <m/>
    <n v="0.52"/>
    <n v="72800"/>
    <m/>
    <n v="140000"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汽车电子"/>
    <s v="车身电子"/>
    <s v="车门系统"/>
    <s v="隐藏式门把手"/>
    <s v="小米"/>
    <m/>
    <s v="Su7"/>
    <m/>
    <m/>
    <m/>
    <m/>
    <m/>
    <m/>
    <m/>
    <m/>
    <m/>
    <n v="10400"/>
    <n v="10400"/>
    <n v="10400"/>
    <n v="10400"/>
    <n v="10400"/>
    <n v="10400"/>
    <n v="10400"/>
    <n v="10400"/>
  </r>
  <r>
    <n v="271"/>
    <s v="深圳市拓邦自动化技术有限公司"/>
    <x v="1"/>
    <s v="深圳市光耀发展实业有限公司"/>
    <s v="Bill"/>
    <s v="陈博"/>
    <x v="11"/>
    <x v="85"/>
    <m/>
    <x v="0"/>
    <s v="智能马桶（流量计）-恒洁"/>
    <n v="510000"/>
    <s v="批量"/>
    <m/>
    <s v="US2882_TSOT_3L"/>
    <m/>
    <n v="0.17"/>
    <n v="23800"/>
    <m/>
    <n v="140000"/>
    <m/>
    <m/>
    <m/>
    <n v="4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智能家居"/>
    <s v="小型家电"/>
    <s v="智能马桶"/>
    <s v="流量计"/>
    <m/>
    <m/>
    <m/>
    <m/>
    <m/>
    <m/>
    <m/>
    <m/>
    <m/>
    <m/>
    <m/>
    <m/>
    <n v="3400"/>
    <n v="3400"/>
    <n v="3400"/>
    <n v="3400"/>
    <n v="3400"/>
    <n v="3400"/>
    <n v="3400"/>
    <n v="3400"/>
  </r>
  <r>
    <n v="272"/>
    <s v="广州飞玛光电科技有限公司"/>
    <x v="0"/>
    <s v="深圳市智芯诚科技有限公司"/>
    <s v="Bill"/>
    <s v="Guo"/>
    <x v="25"/>
    <x v="95"/>
    <s v="NM"/>
    <x v="0"/>
    <s v="摇头灯"/>
    <n v="200000"/>
    <s v="批量"/>
    <s v="已量产"/>
    <s v="无"/>
    <s v="无"/>
    <n v="0.32"/>
    <n v="51520"/>
    <m/>
    <n v="161000"/>
    <n v="23000"/>
    <n v="23000"/>
    <n v="23000"/>
    <n v="23000"/>
    <n v="23000"/>
    <n v="23000"/>
    <n v="23000"/>
    <n v="23000"/>
    <n v="23000"/>
    <n v="23000"/>
    <n v="23000"/>
    <n v="23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7360"/>
    <n v="7360"/>
    <n v="7360"/>
    <n v="7360"/>
    <n v="7360"/>
    <n v="7360"/>
    <n v="7360"/>
    <n v="7360"/>
  </r>
  <r>
    <n v="273"/>
    <s v="深圳市唯真电机发展有限公司"/>
    <x v="0"/>
    <s v="深圳市大凌电子有限公司"/>
    <s v="Bill"/>
    <s v="Shu"/>
    <x v="80"/>
    <x v="84"/>
    <m/>
    <x v="0"/>
    <s v="工缝电机"/>
    <n v="900000"/>
    <s v="评估"/>
    <m/>
    <s v="无"/>
    <m/>
    <n v="0.3"/>
    <n v="46200"/>
    <m/>
    <n v="154000"/>
    <n v="22000"/>
    <n v="22000"/>
    <m/>
    <n v="22000"/>
    <n v="22000"/>
    <n v="22000"/>
    <n v="22000"/>
    <n v="22000"/>
    <n v="22000"/>
    <n v="22000"/>
    <n v="22000"/>
    <n v="22000"/>
    <m/>
    <m/>
    <m/>
    <m/>
    <m/>
    <m/>
    <m/>
    <m/>
    <m/>
    <m/>
    <m/>
    <m/>
    <s v="Bill"/>
    <x v="2"/>
    <s v="磁性位置传感器"/>
    <s v="工业和机器人"/>
    <m/>
    <m/>
    <m/>
    <m/>
    <m/>
    <m/>
    <m/>
    <m/>
    <m/>
    <m/>
    <m/>
    <m/>
    <m/>
    <m/>
    <m/>
    <n v="6600"/>
    <n v="6600"/>
    <n v="6600"/>
    <n v="6600"/>
    <n v="6600"/>
    <n v="6600"/>
    <n v="6600"/>
    <n v="6600"/>
  </r>
  <r>
    <n v="274"/>
    <s v="广东锦富智能科技有限公司"/>
    <x v="0"/>
    <s v="深圳市首显电子设计有限公司"/>
    <s v="Bill"/>
    <s v="Suyun.Yan"/>
    <x v="101"/>
    <x v="31"/>
    <m/>
    <x v="0"/>
    <s v="游戏手柄-霍尔摇杆"/>
    <n v="600000"/>
    <s v="送样"/>
    <s v="现测试未达效果，需要改结构，具体需面谈"/>
    <s v="GH39F"/>
    <m/>
    <n v="0.13"/>
    <n v="0"/>
    <m/>
    <n v="0"/>
    <n v="0"/>
    <n v="0"/>
    <n v="0"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5"/>
    <s v="东莞福哥电子"/>
    <x v="0"/>
    <s v="深圳市首显电子设计有限公司"/>
    <s v="Bill"/>
    <s v="Suyun.Yan"/>
    <x v="101"/>
    <x v="31"/>
    <m/>
    <x v="0"/>
    <s v="游戏手柄-霍尔摇杆"/>
    <n v="500000"/>
    <s v="送样"/>
    <s v="测试通过，项目卡在客户的销售环节，跟进中"/>
    <s v="GH39F"/>
    <m/>
    <n v="0.13"/>
    <n v="0"/>
    <m/>
    <n v="0"/>
    <n v="0"/>
    <n v="0"/>
    <n v="0"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6"/>
    <s v="广东东箭汽车科技股份有限公司"/>
    <x v="0"/>
    <s v="深圳市大凌电子有限公司"/>
    <s v="Bill"/>
    <s v="Shu"/>
    <x v="30"/>
    <x v="33"/>
    <m/>
    <x v="0"/>
    <s v="汽车尾门电机"/>
    <n v="300000"/>
    <s v="批量"/>
    <m/>
    <m/>
    <m/>
    <n v="0.45"/>
    <n v="37800"/>
    <m/>
    <n v="84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5400"/>
    <n v="5400"/>
    <n v="5400"/>
    <n v="5400"/>
    <n v="5400"/>
    <n v="5400"/>
    <n v="5400"/>
    <n v="5400"/>
  </r>
  <r>
    <n v="277"/>
    <s v="深圳市三美电子科技有限公司"/>
    <x v="0"/>
    <s v="深圳市首显电子设计有限公司"/>
    <s v="Bill"/>
    <s v="Wayne"/>
    <x v="23"/>
    <x v="25"/>
    <m/>
    <x v="0"/>
    <s v="接近开关"/>
    <n v="240000"/>
    <s v="批量"/>
    <s v="正常下单"/>
    <m/>
    <m/>
    <n v="0.23"/>
    <n v="32200"/>
    <m/>
    <n v="140000"/>
    <n v="2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78"/>
    <s v="德昌电机集团"/>
    <x v="0"/>
    <s v="深圳市首显电子设计有限公司"/>
    <s v="Bill"/>
    <s v="Davy"/>
    <x v="27"/>
    <x v="29"/>
    <m/>
    <x v="0"/>
    <s v="CHARGING LID LOCK "/>
    <n v="110000"/>
    <s v="批量"/>
    <s v="跟进后续需求"/>
    <m/>
    <m/>
    <n v="0.4"/>
    <n v="0"/>
    <m/>
    <n v="0"/>
    <m/>
    <n v="10000"/>
    <n v="10000"/>
    <m/>
    <m/>
    <m/>
    <m/>
    <m/>
    <m/>
    <m/>
    <m/>
    <m/>
    <m/>
    <m/>
    <m/>
    <m/>
    <m/>
    <m/>
    <m/>
    <m/>
    <m/>
    <m/>
    <m/>
    <m/>
    <s v="Bill"/>
    <x v="2"/>
    <s v="磁性位置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9"/>
    <s v="常州普芝机电有限公司"/>
    <x v="0"/>
    <s v="深圳市首显电子设计有限公司"/>
    <s v="Bill"/>
    <s v="Suzy"/>
    <x v="102"/>
    <x v="106"/>
    <m/>
    <x v="0"/>
    <s v="电摩电机"/>
    <n v="72000"/>
    <s v="批量"/>
    <s v="正常下单"/>
    <m/>
    <m/>
    <n v="0.45"/>
    <n v="18900"/>
    <m/>
    <n v="42000"/>
    <n v="6000"/>
    <n v="6000"/>
    <n v="6000"/>
    <n v="6000"/>
    <n v="6000"/>
    <n v="6000"/>
    <n v="6000"/>
    <n v="6000"/>
    <n v="6000"/>
    <n v="6000"/>
    <n v="6000"/>
    <n v="6000"/>
    <m/>
    <m/>
    <m/>
    <m/>
    <m/>
    <m/>
    <m/>
    <m/>
    <m/>
    <m/>
    <m/>
    <m/>
    <s v="Bill"/>
    <x v="2"/>
    <s v="磁性位置传感器"/>
    <s v="替代交通"/>
    <m/>
    <m/>
    <m/>
    <m/>
    <m/>
    <m/>
    <m/>
    <m/>
    <m/>
    <m/>
    <m/>
    <m/>
    <m/>
    <m/>
    <m/>
    <n v="2700"/>
    <n v="2700"/>
    <n v="2700"/>
    <n v="2700"/>
    <n v="2700"/>
    <n v="2700"/>
    <n v="2700"/>
    <n v="2700"/>
  </r>
  <r>
    <n v="280"/>
    <s v="广州市明电照明科技有限公司"/>
    <x v="0"/>
    <s v="深圳市智芯诚科技有限公司"/>
    <s v="Bill"/>
    <s v="Guo"/>
    <x v="11"/>
    <x v="85"/>
    <m/>
    <x v="0"/>
    <s v="摇头灯"/>
    <n v="100000"/>
    <s v="批量"/>
    <s v="已量产"/>
    <s v="无"/>
    <s v="无"/>
    <n v="0.19"/>
    <n v="15960"/>
    <m/>
    <n v="84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280"/>
    <n v="2280"/>
    <n v="2280"/>
    <n v="2280"/>
    <n v="2280"/>
    <n v="2280"/>
    <n v="2280"/>
    <n v="2280"/>
  </r>
  <r>
    <n v="281"/>
    <s v="深圳市力辉电机有限公司"/>
    <x v="0"/>
    <s v="深圳市首显电子设计有限公司"/>
    <s v="Bill"/>
    <s v="Davy"/>
    <x v="18"/>
    <x v="20"/>
    <m/>
    <x v="0"/>
    <s v="汽车座椅电机"/>
    <n v="400000"/>
    <s v="送样"/>
    <s v="跟进后续需求"/>
    <m/>
    <m/>
    <n v="0.62"/>
    <n v="21700"/>
    <m/>
    <n v="35000"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s v="Bill"/>
    <x v="2"/>
    <s v="磁性位置传感器"/>
    <s v="汽车电子"/>
    <s v="汽车电子"/>
    <s v="智能座舱"/>
    <s v="智能座椅"/>
    <s v="座椅调角电机"/>
    <m/>
    <m/>
    <m/>
    <m/>
    <m/>
    <m/>
    <m/>
    <m/>
    <m/>
    <m/>
    <m/>
    <n v="0"/>
    <n v="3100"/>
    <n v="3100"/>
    <n v="3100"/>
    <n v="3100"/>
    <n v="3100"/>
    <n v="3100"/>
    <n v="3100"/>
  </r>
  <r>
    <n v="282"/>
    <s v="深圳市拓邦自动化技术有限公司"/>
    <x v="1"/>
    <s v="深圳市光耀发展实业有限公司"/>
    <s v="Bill"/>
    <s v="陈博"/>
    <x v="103"/>
    <x v="107"/>
    <m/>
    <x v="0"/>
    <s v="智能马桶（开合盖）-恒洁"/>
    <n v="270000"/>
    <s v="批量"/>
    <m/>
    <m/>
    <m/>
    <n v="0.32"/>
    <n v="20160"/>
    <m/>
    <n v="63000"/>
    <m/>
    <m/>
    <m/>
    <n v="9000"/>
    <n v="9000"/>
    <n v="9000"/>
    <n v="9000"/>
    <n v="9000"/>
    <n v="9000"/>
    <n v="9000"/>
    <n v="9000"/>
    <n v="9000"/>
    <m/>
    <m/>
    <m/>
    <m/>
    <m/>
    <m/>
    <m/>
    <m/>
    <m/>
    <m/>
    <m/>
    <m/>
    <s v="Bill"/>
    <x v="2"/>
    <s v="磁性位置传感器"/>
    <s v="智能家居"/>
    <s v="小型家电"/>
    <s v="智能马桶"/>
    <s v="马桶开盖"/>
    <m/>
    <m/>
    <m/>
    <m/>
    <m/>
    <m/>
    <m/>
    <m/>
    <m/>
    <m/>
    <m/>
    <m/>
    <n v="2880"/>
    <n v="2880"/>
    <n v="2880"/>
    <n v="2880"/>
    <n v="2880"/>
    <n v="2880"/>
    <n v="2880"/>
    <n v="2880"/>
  </r>
  <r>
    <n v="283"/>
    <s v=" _x0009_深圳市博海威电子科技有限公司"/>
    <x v="0"/>
    <s v="深圳市光耀发展实业有限公司"/>
    <s v="Bill"/>
    <s v="陈博"/>
    <x v="104"/>
    <x v="108"/>
    <m/>
    <x v="0"/>
    <s v="电动工具扳值位置检测"/>
    <n v="40000"/>
    <s v="批量"/>
    <m/>
    <m/>
    <m/>
    <n v="0.54"/>
    <n v="11340"/>
    <m/>
    <n v="21000"/>
    <m/>
    <m/>
    <m/>
    <n v="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x v="2"/>
    <s v="磁性位置传感器"/>
    <s v="工业和机器人"/>
    <s v="电动工具"/>
    <s v="位置开关"/>
    <s v="接近开关"/>
    <m/>
    <m/>
    <m/>
    <m/>
    <m/>
    <m/>
    <m/>
    <m/>
    <m/>
    <m/>
    <m/>
    <m/>
    <n v="1620"/>
    <n v="1620"/>
    <n v="1620"/>
    <n v="1620"/>
    <n v="1620"/>
    <n v="1620"/>
    <n v="1620"/>
    <n v="1620"/>
  </r>
  <r>
    <n v="284"/>
    <s v="深圳市海富创电子科技有限公司"/>
    <x v="0"/>
    <s v="深圳市首显电子设计有限公司"/>
    <s v="Bill"/>
    <s v="Wayne"/>
    <x v="9"/>
    <x v="9"/>
    <m/>
    <x v="0"/>
    <s v="接近开关"/>
    <n v="36000"/>
    <s v="批量"/>
    <s v="正常下单"/>
    <m/>
    <m/>
    <n v="0.5"/>
    <n v="10500"/>
    <m/>
    <n v="21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500"/>
    <n v="1500"/>
    <n v="1500"/>
    <n v="1500"/>
    <n v="1500"/>
    <n v="1500"/>
    <n v="1500"/>
    <n v="1500"/>
  </r>
  <r>
    <n v="285"/>
    <s v="广州市鸿远电子科技有限公司"/>
    <x v="0"/>
    <s v="深圳市智芯诚科技有限公司"/>
    <s v="Bill"/>
    <s v="Guo"/>
    <x v="25"/>
    <x v="95"/>
    <m/>
    <x v="0"/>
    <s v="摇头灯"/>
    <n v="70000"/>
    <s v="批量"/>
    <s v="已量产"/>
    <s v="无"/>
    <s v="无"/>
    <n v="0.19"/>
    <n v="9310"/>
    <m/>
    <n v="49000"/>
    <n v="7000"/>
    <n v="7000"/>
    <n v="7000"/>
    <n v="7000"/>
    <n v="7000"/>
    <n v="7000"/>
    <n v="7000"/>
    <n v="7000"/>
    <n v="7000"/>
    <n v="7000"/>
    <n v="7000"/>
    <n v="7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330"/>
    <n v="1330"/>
    <n v="1330"/>
    <n v="1330"/>
    <n v="1330"/>
    <n v="1330"/>
    <n v="1330"/>
    <n v="1330"/>
  </r>
  <r>
    <n v="286"/>
    <s v="广州飞玛光电科技有限公司"/>
    <x v="0"/>
    <s v="深圳市智芯诚科技有限公司"/>
    <s v="Bill"/>
    <s v="Guo"/>
    <x v="23"/>
    <x v="25"/>
    <m/>
    <x v="0"/>
    <s v="摇头灯"/>
    <n v="10000"/>
    <s v="批量"/>
    <s v="已量产"/>
    <s v="无"/>
    <s v="无"/>
    <n v="0.3"/>
    <n v="2415"/>
    <m/>
    <n v="8050"/>
    <n v="1150"/>
    <n v="1150"/>
    <n v="1150"/>
    <n v="1150"/>
    <n v="1150"/>
    <n v="1150"/>
    <n v="1150"/>
    <n v="1150"/>
    <n v="1150"/>
    <n v="1150"/>
    <n v="1150"/>
    <n v="115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345"/>
    <n v="345"/>
    <n v="345"/>
    <n v="345"/>
    <n v="345"/>
    <n v="345"/>
    <n v="345"/>
    <n v="345"/>
  </r>
  <r>
    <n v="287"/>
    <s v="深圳市鸿飞机电科技有限公司"/>
    <x v="0"/>
    <s v="深圳市大凌电子有限公司"/>
    <s v="Bill"/>
    <s v="Chen"/>
    <x v="11"/>
    <x v="85"/>
    <m/>
    <x v="0"/>
    <s v="散热风扇"/>
    <n v="3000000"/>
    <s v="评估"/>
    <m/>
    <s v="SDC177"/>
    <m/>
    <n v="0.12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8"/>
    <s v="深圳市凯创德科技有限公司"/>
    <x v="0"/>
    <s v="深圳市大凌电子有限公司"/>
    <s v="Bill"/>
    <s v="Ma"/>
    <x v="105"/>
    <x v="31"/>
    <m/>
    <x v="0"/>
    <s v="电动牙刷电机方案"/>
    <m/>
    <s v="送样"/>
    <m/>
    <s v="MT9101DT"/>
    <m/>
    <n v="0.23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9"/>
    <s v="东莞市臻智慧电子有限公司"/>
    <x v="0"/>
    <s v="深圳市大凌电子有限公司"/>
    <s v="Bill"/>
    <s v="Ma"/>
    <x v="16"/>
    <x v="18"/>
    <m/>
    <x v="0"/>
    <s v="玩具"/>
    <n v="1000000"/>
    <s v="送样"/>
    <m/>
    <m/>
    <m/>
    <n v="0.115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0"/>
    <s v="上海飞智电子科技有限公司"/>
    <x v="2"/>
    <s v="深圳市大凌电子有限公司"/>
    <s v="Bill"/>
    <s v="Shu"/>
    <x v="106"/>
    <x v="31"/>
    <m/>
    <x v="0"/>
    <s v="磁轴键盘，游戏手柄"/>
    <n v="3000000"/>
    <s v="送样"/>
    <m/>
    <s v="CH605"/>
    <m/>
    <n v="0.2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1"/>
    <s v="深圳市万至达电机制造有限公司"/>
    <x v="0"/>
    <s v="深圳市大凌电子有限公司"/>
    <s v="Bill"/>
    <s v="Shu"/>
    <x v="105"/>
    <x v="31"/>
    <m/>
    <x v="0"/>
    <s v="电动牙刷电机方案，无刷电机"/>
    <m/>
    <s v="送样"/>
    <m/>
    <s v="MT9103DT"/>
    <m/>
    <n v="0.23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2"/>
    <s v="深圳市星闪悦动科技有限公司"/>
    <x v="0"/>
    <s v="深圳市大凌电子有限公司"/>
    <s v="Bill"/>
    <s v="Shu"/>
    <x v="107"/>
    <x v="31"/>
    <m/>
    <x v="0"/>
    <s v="键盘方案商"/>
    <n v="100000000"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3"/>
    <s v="深圳市星闪悦动科技有限公司"/>
    <x v="0"/>
    <s v="深圳市大凌电子有限公司"/>
    <s v="Bill"/>
    <s v="Shu"/>
    <x v="106"/>
    <x v="31"/>
    <m/>
    <x v="0"/>
    <s v="键盘方案商"/>
    <n v="50000000"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4"/>
    <s v="深圳市容圆科技有限公司"/>
    <x v="0"/>
    <s v="深圳市大凌电子有限公司"/>
    <s v="Bill"/>
    <s v="Shu"/>
    <x v="107"/>
    <x v="31"/>
    <m/>
    <x v="0"/>
    <s v="键盘方案商"/>
    <n v="100000000"/>
    <s v="送样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5"/>
    <s v="深圳市贝盈科技有限公司"/>
    <x v="0"/>
    <s v="深圳市大凌电子有限公司"/>
    <s v="Bill"/>
    <s v="Shu"/>
    <x v="107"/>
    <x v="31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6"/>
    <s v="深圳市贝盈科技有限公司"/>
    <x v="0"/>
    <s v="深圳市大凌电子有限公司"/>
    <s v="Bill"/>
    <s v="Shu"/>
    <x v="108"/>
    <x v="31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7"/>
    <s v="惠州市华密智能科技有限公司"/>
    <x v="0"/>
    <s v="深圳市大凌电子有限公司"/>
    <s v="Bill"/>
    <s v="Shu"/>
    <x v="106"/>
    <x v="31"/>
    <m/>
    <x v="0"/>
    <s v="键盘品牌方（自己方案）"/>
    <n v="20000000"/>
    <s v="送样"/>
    <m/>
    <s v="CH605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8"/>
    <s v="天津市久安科技发展有限公司"/>
    <x v="0"/>
    <s v="深圳市大凌电子有限公司"/>
    <s v="Bill"/>
    <s v="Shu"/>
    <x v="107"/>
    <x v="31"/>
    <m/>
    <x v="0"/>
    <s v="键盘方案商"/>
    <n v="2000000"/>
    <s v="批量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9"/>
    <s v="深圳市和沐科技有限公司"/>
    <x v="0"/>
    <s v="深圳市大凌电子有限公司"/>
    <s v="Bill"/>
    <s v="Shu"/>
    <x v="106"/>
    <x v="31"/>
    <m/>
    <x v="0"/>
    <s v="键盘方案商和品牌方"/>
    <n v="2000000"/>
    <s v="送样"/>
    <m/>
    <s v="MA7919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0"/>
    <s v="深圳市盛牛科技有限公司"/>
    <x v="0"/>
    <s v="深圳市大凌电子有限公司"/>
    <s v="Bill"/>
    <s v="Shu"/>
    <x v="107"/>
    <x v="31"/>
    <m/>
    <x v="0"/>
    <s v="键盘方案商和品牌方"/>
    <n v="2000000"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1"/>
    <s v="深圳市思德创新科技有限公司"/>
    <x v="0"/>
    <s v="深圳市大凌电子有限公司"/>
    <s v="Bill"/>
    <s v="Shu"/>
    <x v="107"/>
    <x v="31"/>
    <m/>
    <x v="0"/>
    <s v="键盘方案商"/>
    <m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2"/>
    <s v="佛山市瀚燊电子科技发展有限公司"/>
    <x v="0"/>
    <s v="深圳市大凌电子有限公司"/>
    <s v="Bill"/>
    <s v="Ma"/>
    <x v="13"/>
    <x v="92"/>
    <m/>
    <x v="0"/>
    <s v="水流量计"/>
    <n v="600000"/>
    <s v="批量"/>
    <m/>
    <s v="易良盛"/>
    <m/>
    <n v="0.18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工业和机器人"/>
    <s v="三表"/>
    <s v="水流量检测"/>
    <s v="水表、气表"/>
    <m/>
    <m/>
    <m/>
    <m/>
    <m/>
    <m/>
    <m/>
    <m/>
    <m/>
    <m/>
    <m/>
    <m/>
    <n v="0"/>
    <n v="0"/>
    <n v="0"/>
    <n v="0"/>
    <n v="0"/>
    <n v="0"/>
    <n v="0"/>
    <n v="0"/>
  </r>
  <r>
    <n v="303"/>
    <s v="深圳市长天智能有限公司"/>
    <x v="0"/>
    <s v="深圳市大凌电子有限公司"/>
    <s v="Bill"/>
    <s v="Shu"/>
    <x v="0"/>
    <x v="0"/>
    <m/>
    <x v="0"/>
    <s v="EMS电流检测"/>
    <n v="100000"/>
    <s v="批量"/>
    <m/>
    <s v="MLX91209"/>
    <m/>
    <n v="2.1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电流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4"/>
    <s v="深圳市矢量科技有限公司"/>
    <x v="0"/>
    <s v="深圳市大凌电子有限公司"/>
    <s v="Bill"/>
    <s v="Shu"/>
    <x v="105"/>
    <x v="31"/>
    <m/>
    <x v="0"/>
    <s v="电动牙刷电机方案"/>
    <m/>
    <s v="送样"/>
    <m/>
    <s v="MT910XDT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s v="个人护理"/>
    <s v="电动牙刷"/>
    <m/>
    <m/>
    <m/>
    <m/>
    <m/>
    <m/>
    <m/>
    <m/>
    <m/>
    <m/>
    <m/>
    <m/>
    <m/>
    <n v="0"/>
    <n v="0"/>
    <n v="0"/>
    <n v="0"/>
    <n v="0"/>
    <n v="0"/>
    <n v="0"/>
    <n v="0"/>
  </r>
  <r>
    <n v="305"/>
    <s v="深圳市富士泰科电子有限公司"/>
    <x v="0"/>
    <s v="深圳市大凌电子有限公司"/>
    <s v="Bill"/>
    <s v="Shu"/>
    <x v="109"/>
    <x v="31"/>
    <m/>
    <x v="0"/>
    <s v="高速风筒"/>
    <n v="30000000"/>
    <s v="评估"/>
    <m/>
    <s v="SA2601"/>
    <m/>
    <n v="0.17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电机驱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6"/>
    <s v="宁波柯力传感科技股份有限公司"/>
    <x v="0"/>
    <s v="深圳市大凌电子有限公司"/>
    <s v="Bill"/>
    <s v="Shu"/>
    <x v="107"/>
    <x v="31"/>
    <m/>
    <x v="0"/>
    <s v="防爆开关"/>
    <m/>
    <s v="评估"/>
    <m/>
    <s v="新项目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7"/>
    <s v="东莞市本末科技有限公司"/>
    <x v="2"/>
    <s v="深圳市光耀发展实业有限公司"/>
    <s v="Bill"/>
    <s v="陈博"/>
    <x v="110"/>
    <x v="31"/>
    <m/>
    <x v="0"/>
    <s v="无刷电机位置检测"/>
    <n v="25000000"/>
    <s v="接触"/>
    <s v="6月之前确认结果"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308"/>
    <s v="深圳市和生创新技术有限公司"/>
    <x v="1"/>
    <s v="深圳市光耀发展实业有限公司"/>
    <s v="Bill"/>
    <s v="陈博"/>
    <x v="16"/>
    <x v="18"/>
    <m/>
    <x v="0"/>
    <s v="加湿器水位检测—工厂瑞德智能"/>
    <n v="1500000"/>
    <s v="送样"/>
    <s v="009案子重新验证"/>
    <m/>
    <m/>
    <n v="0.13"/>
    <n v="18200"/>
    <m/>
    <n v="140000"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智能家居"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309"/>
    <s v="深圳市浦瑞克机电技术有限公司"/>
    <x v="0"/>
    <s v="深圳市光耀发展实业有限公司"/>
    <s v="Bill"/>
    <m/>
    <x v="11"/>
    <x v="85"/>
    <m/>
    <x v="0"/>
    <s v="无刷电机定位"/>
    <m/>
    <s v="送样"/>
    <s v="等新案子机会"/>
    <m/>
    <m/>
    <n v="0.17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0"/>
    <s v="中山澳多电子科技有限公司"/>
    <x v="1"/>
    <s v="南京富聚科技有限公司"/>
    <s v="Bill"/>
    <m/>
    <x v="23"/>
    <x v="25"/>
    <m/>
    <x v="0"/>
    <s v="尾门电机"/>
    <n v="400000"/>
    <s v="批量"/>
    <m/>
    <m/>
    <m/>
    <n v="0.4"/>
    <n v="84000"/>
    <m/>
    <n v="210000"/>
    <m/>
    <m/>
    <m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311"/>
    <s v="中山澳多科技有限公司"/>
    <x v="1"/>
    <s v="南京富聚科技有限公司"/>
    <s v="Bill"/>
    <m/>
    <x v="22"/>
    <x v="24"/>
    <m/>
    <x v="0"/>
    <s v="转向锁"/>
    <n v="100000"/>
    <s v="批量"/>
    <m/>
    <m/>
    <m/>
    <n v="0.5"/>
    <n v="35000"/>
    <m/>
    <n v="70000"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磁性位置传感器"/>
    <s v="汽车电子"/>
    <m/>
    <m/>
    <m/>
    <m/>
    <m/>
    <m/>
    <m/>
    <m/>
    <m/>
    <m/>
    <m/>
    <m/>
    <m/>
    <m/>
    <m/>
    <n v="0"/>
    <n v="5000"/>
    <n v="5000"/>
    <n v="5000"/>
    <n v="5000"/>
    <n v="5000"/>
    <n v="5000"/>
    <n v="5000"/>
  </r>
  <r>
    <n v="312"/>
    <s v="云鲸智能（深圳）有限公司"/>
    <x v="1"/>
    <s v="深圳市蓝东明科技有限公司"/>
    <s v="Bill"/>
    <m/>
    <x v="11"/>
    <x v="85"/>
    <m/>
    <x v="0"/>
    <s v="扫地机三相无刷电机"/>
    <m/>
    <s v="批量"/>
    <m/>
    <m/>
    <m/>
    <n v="0.13"/>
    <n v="728000"/>
    <m/>
    <n v="5600000"/>
    <m/>
    <m/>
    <m/>
    <n v="800000"/>
    <n v="800000"/>
    <n v="800000"/>
    <n v="800000"/>
    <n v="800000"/>
    <n v="800000"/>
    <n v="800000"/>
    <n v="800000"/>
    <n v="8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04000"/>
    <n v="104000"/>
    <n v="104000"/>
    <n v="104000"/>
    <n v="104000"/>
    <n v="104000"/>
    <n v="104000"/>
    <n v="104000"/>
  </r>
  <r>
    <n v="313"/>
    <s v="深圳市创科维信电子有限公司"/>
    <x v="1"/>
    <s v="深圳市蓝东明科技有限公司"/>
    <s v="Bill"/>
    <m/>
    <x v="11"/>
    <x v="85"/>
    <m/>
    <x v="0"/>
    <s v="电机方案商"/>
    <m/>
    <s v="批量"/>
    <m/>
    <m/>
    <m/>
    <n v="0.13"/>
    <n v="455000"/>
    <m/>
    <n v="3500000"/>
    <m/>
    <m/>
    <m/>
    <n v="500000"/>
    <n v="500000"/>
    <n v="500000"/>
    <n v="500000"/>
    <n v="500000"/>
    <n v="500000"/>
    <n v="500000"/>
    <n v="500000"/>
    <n v="5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314"/>
    <s v="深圳市银色风暴科技有限公司"/>
    <x v="2"/>
    <s v="东莞市永巨科技有限公司"/>
    <s v="Harry"/>
    <s v="Harry"/>
    <x v="111"/>
    <x v="109"/>
    <n v="4923"/>
    <x v="2"/>
    <s v="磁轴键盘"/>
    <m/>
    <m/>
    <m/>
    <m/>
    <m/>
    <n v="0.4"/>
    <n v="11200000"/>
    <n v="12680000"/>
    <n v="28000000"/>
    <m/>
    <m/>
    <m/>
    <n v="1000000"/>
    <n v="3700000"/>
    <n v="4000000"/>
    <n v="4000000"/>
    <n v="4000000"/>
    <n v="4000000"/>
    <n v="4000000"/>
    <n v="4000000"/>
    <n v="4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480000"/>
    <n v="1600000"/>
    <n v="1600000"/>
    <n v="1600000"/>
    <n v="1600000"/>
    <n v="1600000"/>
    <n v="1600000"/>
    <n v="1600000"/>
  </r>
  <r>
    <n v="315"/>
    <s v="深圳市银色风暴科技有限公司"/>
    <x v="2"/>
    <s v="东莞市永巨科技有限公司"/>
    <s v="Harry"/>
    <s v="Harry"/>
    <x v="112"/>
    <x v="110"/>
    <n v="4391"/>
    <x v="2"/>
    <s v="磁轴键盘"/>
    <m/>
    <m/>
    <m/>
    <m/>
    <m/>
    <n v="1"/>
    <n v="6000000"/>
    <n v="14400000"/>
    <n v="6000000"/>
    <m/>
    <m/>
    <m/>
    <m/>
    <n v="1000000"/>
    <m/>
    <m/>
    <m/>
    <m/>
    <n v="2000000"/>
    <n v="2000000"/>
    <n v="2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000000"/>
    <n v="0"/>
    <n v="0"/>
    <n v="0"/>
    <n v="0"/>
    <n v="2000000"/>
    <n v="2000000"/>
    <n v="2000000"/>
  </r>
  <r>
    <n v="316"/>
    <s v="深圳市银色风暴科技有限公司"/>
    <x v="2"/>
    <s v="东莞市永巨科技有限公司"/>
    <s v="Harry"/>
    <s v="Harry"/>
    <x v="113"/>
    <x v="111"/>
    <n v="4823"/>
    <x v="0"/>
    <s v="磁轴键盘"/>
    <m/>
    <m/>
    <m/>
    <m/>
    <m/>
    <n v="1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7"/>
    <s v="深圳思维奇电子科技有限公司"/>
    <x v="1"/>
    <s v="深圳思维奇电子科技有限公司"/>
    <s v="Harry"/>
    <s v="Harry"/>
    <x v="111"/>
    <x v="109"/>
    <n v="4923"/>
    <x v="0"/>
    <s v="磁轴键盘"/>
    <m/>
    <m/>
    <m/>
    <m/>
    <m/>
    <n v="0.4"/>
    <n v="2400000"/>
    <n v="6400000"/>
    <n v="6000000"/>
    <m/>
    <m/>
    <m/>
    <m/>
    <n v="2000000"/>
    <m/>
    <m/>
    <m/>
    <m/>
    <n v="2000000"/>
    <n v="2000000"/>
    <n v="2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800000"/>
    <n v="0"/>
    <n v="0"/>
    <n v="0"/>
    <n v="0"/>
    <n v="800000"/>
    <n v="800000"/>
    <n v="800000"/>
  </r>
  <r>
    <n v="318"/>
    <s v="深圳思维奇电子科技有限公司"/>
    <x v="1"/>
    <s v="深圳思维奇电子科技有限公司"/>
    <s v="Harry"/>
    <s v="Harry"/>
    <x v="113"/>
    <x v="111"/>
    <n v="4823"/>
    <x v="0"/>
    <s v="磁轴键盘"/>
    <m/>
    <m/>
    <m/>
    <m/>
    <m/>
    <n v="0.5"/>
    <n v="15000000"/>
    <n v="30000000"/>
    <n v="30000000"/>
    <m/>
    <m/>
    <m/>
    <m/>
    <n v="0"/>
    <n v="0"/>
    <m/>
    <m/>
    <m/>
    <n v="10000000"/>
    <n v="10000000"/>
    <n v="10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5000000"/>
    <n v="5000000"/>
    <n v="5000000"/>
  </r>
  <r>
    <n v="319"/>
    <s v="深圳意义之塔科技有限公司"/>
    <x v="1"/>
    <s v="深圳意义之塔科技有限公司"/>
    <s v="Harry"/>
    <s v="Harry"/>
    <x v="114"/>
    <x v="112"/>
    <n v="4015"/>
    <x v="0"/>
    <m/>
    <m/>
    <m/>
    <m/>
    <m/>
    <m/>
    <n v="0.265"/>
    <n v="3710000"/>
    <m/>
    <n v="14000000"/>
    <m/>
    <m/>
    <m/>
    <m/>
    <m/>
    <n v="2000000"/>
    <n v="2000000"/>
    <n v="2000000"/>
    <n v="2000000"/>
    <n v="2000000"/>
    <n v="2000000"/>
    <n v="2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m/>
    <n v="530000"/>
    <n v="530000"/>
    <n v="530000"/>
    <n v="530000"/>
    <n v="530000"/>
    <n v="530000"/>
    <n v="530000"/>
  </r>
  <r>
    <n v="320"/>
    <s v="华奋达（东莞）科技有限公司"/>
    <x v="1"/>
    <s v="广东长耀光电科技有限公司"/>
    <s v="Harry"/>
    <s v="Harry"/>
    <x v="115"/>
    <x v="113"/>
    <s v="CY19S"/>
    <x v="3"/>
    <s v="磁轴键盘"/>
    <m/>
    <m/>
    <m/>
    <m/>
    <m/>
    <n v="0.14"/>
    <n v="2100000"/>
    <n v="5600000"/>
    <n v="15000000"/>
    <m/>
    <m/>
    <m/>
    <m/>
    <n v="5000000"/>
    <m/>
    <m/>
    <m/>
    <m/>
    <n v="5000000"/>
    <n v="5000000"/>
    <n v="5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700000"/>
    <n v="0"/>
    <n v="0"/>
    <n v="0"/>
    <n v="0"/>
    <n v="700000"/>
    <n v="700000"/>
    <n v="700000"/>
  </r>
  <r>
    <n v="321"/>
    <s v="东莞市微技电子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2"/>
    <s v="泛仕达机电股份有限公司"/>
    <x v="0"/>
    <s v="深圳市志德机电科技有限公司"/>
    <s v="Harry"/>
    <s v="Harry"/>
    <x v="26"/>
    <x v="82"/>
    <n v="2442"/>
    <x v="0"/>
    <m/>
    <m/>
    <m/>
    <m/>
    <m/>
    <m/>
    <n v="0.28"/>
    <n v="294000"/>
    <m/>
    <n v="1050000"/>
    <m/>
    <m/>
    <m/>
    <m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42000"/>
    <n v="42000"/>
    <n v="42000"/>
    <n v="42000"/>
    <n v="42000"/>
    <n v="42000"/>
    <n v="42000"/>
    <n v="42000"/>
  </r>
  <r>
    <n v="323"/>
    <s v="广东瑞讯电子科技有限公司"/>
    <x v="1"/>
    <s v="深圳市志德机电科技有限公司"/>
    <s v="Harry"/>
    <s v="Harry"/>
    <x v="116"/>
    <x v="114"/>
    <m/>
    <x v="0"/>
    <s v="磁轴键盘"/>
    <m/>
    <m/>
    <m/>
    <m/>
    <m/>
    <n v="1665"/>
    <n v="1456875"/>
    <n v="1665000"/>
    <n v="875"/>
    <m/>
    <m/>
    <m/>
    <n v="125"/>
    <n v="125"/>
    <n v="125"/>
    <n v="125"/>
    <n v="125"/>
    <n v="125"/>
    <n v="125"/>
    <n v="125"/>
    <n v="125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208125"/>
    <n v="208125"/>
    <n v="208125"/>
    <n v="208125"/>
    <n v="208125"/>
    <n v="208125"/>
    <n v="208125"/>
    <n v="208125"/>
  </r>
  <r>
    <n v="324"/>
    <s v="惠州市立源电器有限公司"/>
    <x v="0"/>
    <s v="深圳市志德机电科技有限公司"/>
    <s v="Harry"/>
    <s v="Harry"/>
    <x v="117"/>
    <x v="115"/>
    <m/>
    <x v="0"/>
    <m/>
    <m/>
    <m/>
    <m/>
    <m/>
    <m/>
    <n v="0.3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5"/>
    <s v="乐清市三合电子有限公司"/>
    <x v="0"/>
    <s v="深圳市志德机电科技有限公司"/>
    <s v="Harry"/>
    <s v="Harry"/>
    <x v="118"/>
    <x v="116"/>
    <s v="41F"/>
    <x v="0"/>
    <m/>
    <m/>
    <m/>
    <m/>
    <m/>
    <m/>
    <n v="0.25"/>
    <n v="25000"/>
    <n v="0"/>
    <n v="100000"/>
    <m/>
    <m/>
    <m/>
    <m/>
    <m/>
    <m/>
    <m/>
    <n v="50000"/>
    <m/>
    <m/>
    <n v="50000"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12500"/>
    <n v="0"/>
    <n v="0"/>
    <n v="12500"/>
    <n v="0"/>
  </r>
  <r>
    <n v="326"/>
    <s v="乐清市三合电子有限公司"/>
    <x v="0"/>
    <s v="深圳市志德机电科技有限公司"/>
    <s v="Harry"/>
    <s v="Harry"/>
    <x v="119"/>
    <x v="117"/>
    <n v="2546"/>
    <x v="0"/>
    <m/>
    <m/>
    <m/>
    <m/>
    <m/>
    <m/>
    <n v="1.2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7"/>
    <s v="宁波皓源智能科技有限公司"/>
    <x v="0"/>
    <s v="深圳市志德机电科技有限公司"/>
    <s v="Harry"/>
    <s v="Harry"/>
    <x v="11"/>
    <x v="85"/>
    <n v="2402"/>
    <x v="4"/>
    <m/>
    <m/>
    <m/>
    <m/>
    <m/>
    <m/>
    <n v="0.1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8"/>
    <s v="厦门华联电子股份有限公司"/>
    <x v="0"/>
    <s v="深圳市志德机电科技有限公司"/>
    <s v="Harry"/>
    <s v="Harry"/>
    <x v="17"/>
    <x v="19"/>
    <n v="2462"/>
    <x v="0"/>
    <m/>
    <m/>
    <m/>
    <m/>
    <m/>
    <m/>
    <n v="0.4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9"/>
    <s v="厦门市瑞尔特卫浴科技股份有限公司"/>
    <x v="0"/>
    <s v="深圳市志德机电科技有限公司"/>
    <s v="Harry"/>
    <s v="Harry"/>
    <x v="17"/>
    <x v="19"/>
    <n v="2462"/>
    <x v="0"/>
    <m/>
    <m/>
    <m/>
    <m/>
    <m/>
    <m/>
    <n v="0.4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0"/>
    <s v="深圳阿比特科技有限公司"/>
    <x v="0"/>
    <s v="深圳市志德机电科技有限公司"/>
    <s v="Harry"/>
    <s v="Harry"/>
    <x v="115"/>
    <x v="118"/>
    <s v="G01M"/>
    <x v="0"/>
    <s v="磁轴键盘"/>
    <m/>
    <m/>
    <m/>
    <m/>
    <m/>
    <n v="0.14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1"/>
    <s v="深圳瀚迪高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2"/>
    <s v="深圳巨力神电气有限公司"/>
    <x v="0"/>
    <s v="深圳市志德机电科技有限公司"/>
    <s v="Harry"/>
    <s v="Harry"/>
    <x v="120"/>
    <x v="119"/>
    <m/>
    <x v="0"/>
    <m/>
    <m/>
    <m/>
    <m/>
    <m/>
    <m/>
    <n v="2.2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电机编码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3"/>
    <s v="深圳骏飞扬科技有限公司"/>
    <x v="0"/>
    <s v="深圳市志德机电科技有限公司"/>
    <s v="Harry"/>
    <s v="Harry"/>
    <x v="80"/>
    <x v="84"/>
    <n v="2442"/>
    <x v="0"/>
    <m/>
    <m/>
    <m/>
    <m/>
    <m/>
    <m/>
    <n v="0.4"/>
    <n v="672000"/>
    <m/>
    <n v="1680000"/>
    <m/>
    <m/>
    <m/>
    <m/>
    <n v="240000"/>
    <n v="240000"/>
    <n v="240000"/>
    <n v="240000"/>
    <n v="240000"/>
    <n v="240000"/>
    <n v="240000"/>
    <n v="24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96000"/>
    <n v="96000"/>
    <n v="96000"/>
    <n v="96000"/>
    <n v="96000"/>
    <n v="96000"/>
    <n v="96000"/>
    <n v="96000"/>
  </r>
  <r>
    <n v="334"/>
    <s v="深圳市迪美思机电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5"/>
    <s v="深圳市华源鑫电器有限公司"/>
    <x v="0"/>
    <s v="深圳市志德机电科技有限公司"/>
    <s v="Harry"/>
    <s v="Harry"/>
    <x v="117"/>
    <x v="115"/>
    <m/>
    <x v="0"/>
    <m/>
    <m/>
    <m/>
    <m/>
    <m/>
    <m/>
    <n v="0.3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6"/>
    <s v="深圳市骏飞阳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7"/>
    <s v="深圳市诺必成电子有限公司"/>
    <x v="0"/>
    <s v="深圳市志德机电科技有限公司"/>
    <s v="Harry"/>
    <s v="Harry"/>
    <x v="11"/>
    <x v="85"/>
    <n v="2402"/>
    <x v="4"/>
    <m/>
    <m/>
    <m/>
    <m/>
    <m/>
    <m/>
    <n v="0.1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8"/>
    <s v="深圳市诺必成电子有限公司"/>
    <x v="0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9"/>
    <s v="深圳市诺必成电子有限公司"/>
    <x v="0"/>
    <s v="深圳市志德机电科技有限公司"/>
    <s v="Harry"/>
    <s v="Harry"/>
    <x v="13"/>
    <x v="13"/>
    <n v="2402"/>
    <x v="0"/>
    <m/>
    <m/>
    <m/>
    <m/>
    <m/>
    <m/>
    <n v="0.16"/>
    <n v="112000"/>
    <m/>
    <n v="700000"/>
    <m/>
    <m/>
    <m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6000"/>
    <n v="16000"/>
    <n v="16000"/>
    <n v="16000"/>
    <n v="16000"/>
    <n v="16000"/>
    <n v="16000"/>
    <n v="16000"/>
  </r>
  <r>
    <n v="340"/>
    <s v="深圳市唯川科技有限公司"/>
    <x v="0"/>
    <s v="深圳市志德机电科技有限公司"/>
    <s v="Harry"/>
    <s v="Harry"/>
    <x v="121"/>
    <x v="31"/>
    <m/>
    <x v="0"/>
    <m/>
    <m/>
    <m/>
    <m/>
    <m/>
    <m/>
    <n v="0.22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1"/>
    <s v="深圳市小龙电器科技有限公司"/>
    <x v="0"/>
    <s v="深圳市志德机电科技有限公司"/>
    <s v="Harry"/>
    <s v="Harry"/>
    <x v="52"/>
    <x v="54"/>
    <m/>
    <x v="0"/>
    <m/>
    <m/>
    <m/>
    <m/>
    <m/>
    <m/>
    <n v="2.9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2"/>
    <s v="深圳市小龙电器科技有限公司"/>
    <x v="0"/>
    <s v="深圳市志德机电科技有限公司"/>
    <s v="Harry"/>
    <s v="Harry"/>
    <x v="70"/>
    <x v="73"/>
    <m/>
    <x v="0"/>
    <m/>
    <m/>
    <m/>
    <m/>
    <m/>
    <m/>
    <n v="2.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3"/>
    <s v="深圳市旭顺电子有限公司"/>
    <x v="0"/>
    <s v="深圳市志德机电科技有限公司"/>
    <s v="Harry"/>
    <s v="Harry"/>
    <x v="72"/>
    <x v="94"/>
    <m/>
    <x v="0"/>
    <m/>
    <m/>
    <m/>
    <m/>
    <m/>
    <m/>
    <n v="0.33"/>
    <n v="346500"/>
    <n v="0"/>
    <n v="1050000"/>
    <m/>
    <m/>
    <m/>
    <m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49500"/>
    <n v="49500"/>
    <n v="49500"/>
    <n v="49500"/>
    <n v="49500"/>
    <n v="49500"/>
    <n v="49500"/>
    <n v="49500"/>
  </r>
  <r>
    <n v="344"/>
    <s v="深圳市旭顺电子有限公司"/>
    <x v="0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5"/>
    <s v="深圳市雅腾电机有限公司"/>
    <x v="0"/>
    <s v="深圳市志德机电科技有限公司"/>
    <s v="Harry"/>
    <s v="Harry"/>
    <x v="118"/>
    <x v="116"/>
    <s v="41F"/>
    <x v="0"/>
    <m/>
    <m/>
    <m/>
    <m/>
    <m/>
    <m/>
    <n v="0.2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6"/>
    <s v="深圳市智芯云技术有限责任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7"/>
    <s v="深圳烨昊科技有限公司"/>
    <x v="0"/>
    <s v="深圳市志德机电科技有限公司"/>
    <s v="Harry"/>
    <s v="Harry"/>
    <x v="21"/>
    <x v="23"/>
    <n v="2466"/>
    <x v="0"/>
    <m/>
    <m/>
    <m/>
    <m/>
    <m/>
    <m/>
    <n v="0.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8"/>
    <s v="温州市展芯电子科技有限公司"/>
    <x v="0"/>
    <s v="深圳市志德机电科技有限公司"/>
    <s v="Harry"/>
    <s v="Harry"/>
    <x v="119"/>
    <x v="117"/>
    <n v="2546"/>
    <x v="0"/>
    <m/>
    <m/>
    <m/>
    <m/>
    <m/>
    <m/>
    <n v="1.2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9"/>
    <s v="友贸电机（深圳）有限公司"/>
    <x v="0"/>
    <s v="深圳市志德机电科技有限公司"/>
    <s v="Harry"/>
    <s v="Harry"/>
    <x v="30"/>
    <x v="33"/>
    <n v="2442"/>
    <x v="0"/>
    <m/>
    <m/>
    <m/>
    <m/>
    <m/>
    <m/>
    <n v="0.28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0"/>
    <s v="台州市乐利电子科技有限公司"/>
    <x v="0"/>
    <s v="台州同异元电子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1"/>
    <s v="安乃达驱动技术（上海）股份有限公司"/>
    <x v="1"/>
    <s v="台州同异元电子科技有限公司"/>
    <s v="Harry"/>
    <s v="Harry"/>
    <x v="122"/>
    <x v="120"/>
    <m/>
    <x v="0"/>
    <m/>
    <m/>
    <m/>
    <m/>
    <m/>
    <m/>
    <n v="0.255"/>
    <n v="6247500"/>
    <n v="0"/>
    <n v="24500000"/>
    <m/>
    <m/>
    <m/>
    <m/>
    <m/>
    <n v="3500000"/>
    <n v="3500000"/>
    <n v="3500000"/>
    <n v="3500000"/>
    <n v="3500000"/>
    <n v="3500000"/>
    <n v="3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892500"/>
    <n v="892500"/>
    <n v="892500"/>
    <n v="892500"/>
    <n v="892500"/>
    <n v="892500"/>
    <n v="892500"/>
  </r>
  <r>
    <n v="352"/>
    <s v="成都市力远新能源电动车有限公司"/>
    <x v="0"/>
    <s v="台州同异元电子科技有限公司"/>
    <s v="Harry"/>
    <s v="Harry"/>
    <x v="123"/>
    <x v="121"/>
    <m/>
    <x v="0"/>
    <m/>
    <m/>
    <m/>
    <m/>
    <m/>
    <m/>
    <n v="0.255"/>
    <n v="5355000"/>
    <n v="0"/>
    <n v="21000000"/>
    <m/>
    <m/>
    <m/>
    <m/>
    <m/>
    <n v="3000000"/>
    <n v="3000000"/>
    <n v="3000000"/>
    <n v="3000000"/>
    <n v="3000000"/>
    <n v="3000000"/>
    <n v="3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765000"/>
    <n v="765000"/>
    <n v="765000"/>
    <n v="765000"/>
    <n v="765000"/>
    <n v="765000"/>
    <n v="765000"/>
  </r>
  <r>
    <n v="353"/>
    <s v="无锡赛盈动力科技有限公司"/>
    <x v="0"/>
    <s v="台州同异元电子科技有限公司"/>
    <s v="Harry"/>
    <s v="Harry"/>
    <x v="124"/>
    <x v="122"/>
    <m/>
    <x v="0"/>
    <m/>
    <m/>
    <m/>
    <m/>
    <m/>
    <m/>
    <n v="0.255"/>
    <n v="2677500"/>
    <n v="0"/>
    <n v="10500000"/>
    <m/>
    <m/>
    <m/>
    <m/>
    <m/>
    <n v="1500000"/>
    <n v="1500000"/>
    <n v="1500000"/>
    <n v="1500000"/>
    <n v="1500000"/>
    <n v="1500000"/>
    <n v="1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382500"/>
    <n v="382500"/>
    <n v="382500"/>
    <n v="382500"/>
    <n v="382500"/>
    <n v="382500"/>
    <n v="382500"/>
  </r>
  <r>
    <n v="354"/>
    <s v="无锡华芯晟科技有限公司"/>
    <x v="1"/>
    <s v="无锡华芯晟科技有限公司"/>
    <s v="Harry"/>
    <s v="Harry"/>
    <x v="107"/>
    <x v="123"/>
    <s v="49E"/>
    <x v="3"/>
    <m/>
    <m/>
    <m/>
    <m/>
    <m/>
    <m/>
    <n v="0.21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5"/>
    <s v="无锡华芯晟科技有限公司"/>
    <x v="1"/>
    <s v="无锡华芯晟科技有限公司"/>
    <s v="Harry"/>
    <s v="Harry"/>
    <x v="125"/>
    <x v="124"/>
    <s v="41F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6"/>
    <s v="无锡华芯晟科技有限公司"/>
    <x v="1"/>
    <s v="无锡华芯晟科技有限公司"/>
    <s v="Harry"/>
    <s v="Harry"/>
    <x v="125"/>
    <x v="125"/>
    <s v="S41H"/>
    <x v="0"/>
    <m/>
    <m/>
    <m/>
    <m/>
    <m/>
    <m/>
    <n v="0.255"/>
    <n v="4462500"/>
    <n v="5100000"/>
    <n v="17500000"/>
    <m/>
    <m/>
    <m/>
    <m/>
    <n v="2500000"/>
    <n v="2500000"/>
    <n v="2500000"/>
    <n v="2500000"/>
    <n v="2500000"/>
    <n v="2500000"/>
    <n v="2500000"/>
    <n v="2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637500"/>
    <n v="637500"/>
    <n v="637500"/>
    <n v="637500"/>
    <n v="637500"/>
    <n v="637500"/>
    <n v="637500"/>
    <n v="637500"/>
  </r>
  <r>
    <n v="357"/>
    <s v="无锡华芯晟科技有限公司"/>
    <x v="1"/>
    <s v="无锡华芯晟科技有限公司"/>
    <s v="Harry"/>
    <s v="Harry"/>
    <x v="126"/>
    <x v="126"/>
    <s v="41F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8"/>
    <s v="无锡华芯晟科技有限公司"/>
    <x v="1"/>
    <s v="无锡华芯晟科技有限公司"/>
    <s v="Harry"/>
    <s v="Harry"/>
    <x v="126"/>
    <x v="127"/>
    <s v="S41H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9"/>
    <s v="无锡华芯晟科技有限公司"/>
    <x v="1"/>
    <s v="无锡华芯晟科技有限公司"/>
    <s v="Harry"/>
    <s v="Harry"/>
    <x v="127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0"/>
    <s v="无锡华芯晟科技有限公司"/>
    <x v="1"/>
    <s v="无锡华芯晟科技有限公司"/>
    <s v="Harry"/>
    <s v="Harry"/>
    <x v="128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1"/>
    <s v="无锡华芯晟科技有限公司"/>
    <x v="1"/>
    <s v="无锡华芯晟科技有限公司"/>
    <s v="Harry"/>
    <s v="Harry"/>
    <x v="129"/>
    <x v="31"/>
    <s v="41F"/>
    <x v="0"/>
    <m/>
    <m/>
    <m/>
    <m/>
    <m/>
    <m/>
    <n v="0.16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2"/>
    <s v="无锡华芯晟科技有限公司"/>
    <x v="1"/>
    <s v="无锡华芯晟科技有限公司"/>
    <s v="Harry"/>
    <s v="Harry"/>
    <x v="130"/>
    <x v="128"/>
    <s v="42N"/>
    <x v="0"/>
    <m/>
    <m/>
    <m/>
    <m/>
    <m/>
    <m/>
    <n v="0.16"/>
    <n v="0"/>
    <n v="80000"/>
    <n v="0"/>
    <m/>
    <m/>
    <m/>
    <m/>
    <n v="500000"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80000"/>
    <n v="0"/>
    <n v="0"/>
    <n v="0"/>
    <n v="0"/>
    <n v="0"/>
    <n v="0"/>
    <n v="0"/>
  </r>
  <r>
    <n v="363"/>
    <s v="无锡华芯晟科技有限公司"/>
    <x v="1"/>
    <s v="无锡华芯晟科技有限公司"/>
    <s v="Harry"/>
    <s v="Harry"/>
    <x v="25"/>
    <x v="129"/>
    <s v="43F"/>
    <x v="6"/>
    <m/>
    <m/>
    <m/>
    <m/>
    <m/>
    <m/>
    <n v="0.265"/>
    <n v="704900"/>
    <n v="805600"/>
    <n v="2660000"/>
    <m/>
    <m/>
    <m/>
    <m/>
    <n v="380000"/>
    <n v="380000"/>
    <n v="380000"/>
    <n v="380000"/>
    <n v="380000"/>
    <n v="380000"/>
    <n v="380000"/>
    <n v="38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00700"/>
    <n v="100700"/>
    <n v="100700"/>
    <n v="100700"/>
    <n v="100700"/>
    <n v="100700"/>
    <n v="100700"/>
    <n v="100700"/>
  </r>
  <r>
    <n v="364"/>
    <s v="无锡华芯晟科技有限公司"/>
    <x v="1"/>
    <s v="无锡华芯晟科技有限公司"/>
    <s v="Harry"/>
    <s v="Harry"/>
    <x v="13"/>
    <x v="130"/>
    <s v="U18"/>
    <x v="7"/>
    <m/>
    <m/>
    <m/>
    <m/>
    <m/>
    <m/>
    <n v="0.155"/>
    <n v="155000"/>
    <n v="310000"/>
    <n v="1000000"/>
    <m/>
    <m/>
    <m/>
    <m/>
    <n v="1000000"/>
    <m/>
    <n v="1000000"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55000"/>
    <n v="0"/>
    <n v="155000"/>
    <n v="0"/>
    <n v="0"/>
    <n v="0"/>
    <n v="0"/>
    <n v="0"/>
  </r>
  <r>
    <n v="365"/>
    <s v="无锡华芯晟科技有限公司"/>
    <x v="1"/>
    <s v="无锡华芯晟科技有限公司"/>
    <s v="Harry"/>
    <s v="Harry"/>
    <x v="11"/>
    <x v="131"/>
    <n v="6571"/>
    <x v="8"/>
    <m/>
    <m/>
    <m/>
    <m/>
    <m/>
    <m/>
    <n v="0.1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6"/>
    <s v="无锡华芯晟科技有限公司"/>
    <x v="1"/>
    <s v="无锡华芯晟科技有限公司"/>
    <s v="Harry"/>
    <s v="Harry"/>
    <x v="13"/>
    <x v="31"/>
    <n v="6501"/>
    <x v="7"/>
    <m/>
    <m/>
    <m/>
    <m/>
    <m/>
    <m/>
    <n v="0.1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7"/>
    <s v="无锡华芯晟科技有限公司"/>
    <x v="1"/>
    <s v="无锡华芯晟科技有限公司"/>
    <s v="Harry"/>
    <s v="Harry"/>
    <x v="11"/>
    <x v="31"/>
    <n v="6501"/>
    <x v="7"/>
    <m/>
    <m/>
    <m/>
    <m/>
    <m/>
    <m/>
    <n v="0.1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8"/>
    <s v="无锡华芯晟科技有限公司"/>
    <x v="1"/>
    <s v="无锡华芯晟科技有限公司"/>
    <s v="Harry"/>
    <s v="Harry"/>
    <x v="131"/>
    <x v="132"/>
    <n v="6210"/>
    <x v="0"/>
    <m/>
    <m/>
    <m/>
    <m/>
    <m/>
    <m/>
    <n v="0.31"/>
    <n v="248000"/>
    <n v="372000"/>
    <n v="800000"/>
    <m/>
    <m/>
    <m/>
    <m/>
    <n v="400000"/>
    <m/>
    <n v="400000"/>
    <m/>
    <n v="400000"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24000"/>
    <n v="0"/>
    <n v="124000"/>
    <n v="0"/>
    <n v="124000"/>
    <n v="0"/>
    <n v="0"/>
    <n v="0"/>
  </r>
  <r>
    <n v="369"/>
    <s v="无锡华芯晟科技有限公司"/>
    <x v="1"/>
    <s v="无锡华芯晟科技有限公司"/>
    <s v="Harry"/>
    <s v="Harry"/>
    <x v="132"/>
    <x v="133"/>
    <s v="61H"/>
    <x v="0"/>
    <m/>
    <m/>
    <m/>
    <m/>
    <m/>
    <m/>
    <n v="0.285"/>
    <n v="0"/>
    <n v="320625"/>
    <n v="0"/>
    <m/>
    <m/>
    <m/>
    <m/>
    <n v="1125000"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320625"/>
    <n v="0"/>
    <n v="0"/>
    <n v="0"/>
    <n v="0"/>
    <n v="0"/>
    <n v="0"/>
    <n v="0"/>
  </r>
  <r>
    <n v="370"/>
    <s v="无锡华芯晟科技有限公司"/>
    <x v="1"/>
    <s v="无锡华芯晟科技有限公司"/>
    <s v="Harry"/>
    <s v="Harry"/>
    <x v="133"/>
    <x v="134"/>
    <s v="S21C"/>
    <x v="0"/>
    <m/>
    <m/>
    <m/>
    <m/>
    <m/>
    <m/>
    <n v="0.28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1"/>
    <s v="无锡华芯晟科技有限公司"/>
    <x v="1"/>
    <s v="无锡华芯晟科技有限公司"/>
    <s v="Harry"/>
    <s v="Harry"/>
    <x v="32"/>
    <x v="35"/>
    <n v="6388"/>
    <x v="0"/>
    <m/>
    <m/>
    <m/>
    <m/>
    <m/>
    <m/>
    <n v="1.9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2"/>
    <s v="无锡华芯晟科技有限公司"/>
    <x v="1"/>
    <s v="无锡华芯晟科技有限公司"/>
    <s v="Harry"/>
    <s v="Harry"/>
    <x v="134"/>
    <x v="135"/>
    <n v="6232"/>
    <x v="0"/>
    <m/>
    <m/>
    <m/>
    <m/>
    <m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3"/>
    <s v="无锡华芯晟科技有限公司"/>
    <x v="1"/>
    <s v="无锡华芯晟科技有限公司"/>
    <s v="Harry"/>
    <s v="Harry"/>
    <x v="90"/>
    <x v="136"/>
    <n v="6472"/>
    <x v="0"/>
    <m/>
    <m/>
    <m/>
    <m/>
    <m/>
    <m/>
    <n v="0.26"/>
    <n v="312000"/>
    <n v="312000"/>
    <n v="1200000"/>
    <m/>
    <m/>
    <m/>
    <m/>
    <m/>
    <n v="400000"/>
    <n v="400000"/>
    <n v="400000"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104000"/>
    <n v="104000"/>
    <n v="104000"/>
    <n v="0"/>
    <n v="0"/>
    <n v="0"/>
    <n v="0"/>
  </r>
  <r>
    <n v="374"/>
    <s v="无锡友创电子有限公司"/>
    <x v="0"/>
    <s v="无锡友创电子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5"/>
    <s v="南京博士朗新能源科技有限公司"/>
    <x v="0"/>
    <s v="常州迈莱芯电子有限公司"/>
    <s v="Alex"/>
    <m/>
    <x v="75"/>
    <x v="77"/>
    <n v="4689"/>
    <x v="0"/>
    <m/>
    <s v="电子油门踏板，奇瑞和哪吒"/>
    <n v="3000000"/>
    <s v="无"/>
    <s v="HAL888"/>
    <s v="NA"/>
    <n v="2.4"/>
    <n v="1320000"/>
    <n v="1320000"/>
    <n v="550000"/>
    <n v="0"/>
    <n v="0"/>
    <n v="0"/>
    <n v="0"/>
    <n v="0"/>
    <n v="50000"/>
    <n v="50000"/>
    <n v="50000"/>
    <n v="100000"/>
    <n v="100000"/>
    <n v="100000"/>
    <n v="100000"/>
    <m/>
    <m/>
    <m/>
    <m/>
    <m/>
    <m/>
    <m/>
    <m/>
    <m/>
    <m/>
    <m/>
    <m/>
    <s v="Alex"/>
    <x v="1"/>
    <s v="角度传感器"/>
    <s v="汽车电子"/>
    <s v="安全与智驾"/>
    <s v="油门踏板"/>
    <m/>
    <s v="奇瑞"/>
    <s v="T19"/>
    <m/>
    <n v="2"/>
    <m/>
    <d v="2023-10-20T00:00:00"/>
    <d v="2023-10-25T00:00:00"/>
    <d v="2024-02-02T00:00:00"/>
    <d v="2024-04-02T00:00:00"/>
    <d v="2024-05-02T00:00:00"/>
    <n v="0.8"/>
    <m/>
    <n v="0"/>
    <n v="120000"/>
    <n v="120000"/>
    <n v="120000"/>
    <n v="240000"/>
    <n v="240000"/>
    <n v="240000"/>
    <n v="240000"/>
  </r>
  <r>
    <n v="376"/>
    <s v="江苏恒立液压股份有限公司"/>
    <x v="0"/>
    <s v="常州迈莱芯电子有限公司"/>
    <s v="Alex"/>
    <m/>
    <x v="135"/>
    <x v="137"/>
    <n v="4616"/>
    <x v="0"/>
    <m/>
    <s v="直线位置检测，大型液压油缸行程位置检测"/>
    <n v="20000000"/>
    <s v="目前已经完成小批量验证，无问题。"/>
    <s v="无"/>
    <s v="无"/>
    <n v="0.54"/>
    <n v="1512000"/>
    <n v="1517400"/>
    <n v="2800000"/>
    <n v="0"/>
    <n v="0"/>
    <n v="10000"/>
    <n v="10000"/>
    <n v="10000"/>
    <n v="400000"/>
    <n v="400000"/>
    <n v="400000"/>
    <n v="400000"/>
    <n v="400000"/>
    <n v="400000"/>
    <n v="400000"/>
    <m/>
    <m/>
    <m/>
    <m/>
    <m/>
    <m/>
    <m/>
    <m/>
    <m/>
    <m/>
    <m/>
    <m/>
    <s v="Alex"/>
    <x v="1"/>
    <s v="电流传感器"/>
    <s v="工业和机器人"/>
    <s v="其他_3"/>
    <m/>
    <m/>
    <s v="恒立液压股份"/>
    <m/>
    <s v="NA"/>
    <n v="192"/>
    <m/>
    <d v="2023-08-27T00:00:00"/>
    <d v="2023-09-18T00:00:00"/>
    <d v="2023-11-10T00:00:00"/>
    <d v="2023-12-30T00:00:00"/>
    <d v="2024-06-30T00:00:00"/>
    <n v="1"/>
    <m/>
    <n v="5400"/>
    <n v="216000"/>
    <n v="216000"/>
    <n v="216000"/>
    <n v="216000"/>
    <n v="216000"/>
    <n v="216000"/>
    <n v="216000"/>
  </r>
  <r>
    <n v="377"/>
    <s v="南京奥联汽车电子电器股份有限公司"/>
    <x v="1"/>
    <s v="南京奥联汽车电子电器股份有限公司"/>
    <s v="Alex"/>
    <m/>
    <x v="136"/>
    <x v="138"/>
    <s v="1430QC5"/>
    <x v="0"/>
    <m/>
    <s v="电子换挡器、怀挡、组合开关电源转换"/>
    <n v="500000"/>
    <s v="客户成本太低，并且量少，切换动力不足。只能在新项目上看是否有机会"/>
    <s v="LN2054YQ1"/>
    <n v="1.4"/>
    <n v="1.2"/>
    <n v="21600"/>
    <n v="21600"/>
    <n v="18000"/>
    <n v="0"/>
    <n v="0"/>
    <n v="0"/>
    <n v="0"/>
    <n v="0"/>
    <n v="0"/>
    <n v="1000"/>
    <n v="1000"/>
    <n v="1000"/>
    <n v="5000"/>
    <n v="5000"/>
    <n v="5000"/>
    <m/>
    <m/>
    <m/>
    <m/>
    <m/>
    <m/>
    <m/>
    <m/>
    <m/>
    <m/>
    <m/>
    <m/>
    <s v="Torres"/>
    <x v="1"/>
    <s v="电源管理"/>
    <s v="汽车电子"/>
    <s v="安全与智驾"/>
    <s v="换挡传感器"/>
    <m/>
    <m/>
    <m/>
    <m/>
    <n v="1"/>
    <m/>
    <m/>
    <m/>
    <m/>
    <m/>
    <m/>
    <s v="NA"/>
    <m/>
    <n v="0"/>
    <n v="0"/>
    <n v="1200"/>
    <n v="1200"/>
    <n v="1200"/>
    <n v="6000"/>
    <n v="6000"/>
    <n v="6000"/>
  </r>
  <r>
    <n v="378"/>
    <s v="南京奥联汽车电子电器股份有限公司"/>
    <x v="1"/>
    <s v="南京奥联汽车电子电器股份有限公司"/>
    <s v="Alex"/>
    <m/>
    <x v="77"/>
    <x v="80"/>
    <n v="69401"/>
    <x v="0"/>
    <m/>
    <s v="第三代电子油门踏板，目前还在DV实验中，未定点"/>
    <n v="1000000"/>
    <s v="无 "/>
    <m/>
    <n v="6.9"/>
    <n v="6.5"/>
    <n v="39000"/>
    <n v="39000"/>
    <n v="6000"/>
    <n v="0"/>
    <n v="0"/>
    <n v="0"/>
    <n v="0"/>
    <n v="0"/>
    <n v="0"/>
    <n v="1000"/>
    <n v="1000"/>
    <n v="1000"/>
    <n v="1000"/>
    <n v="1000"/>
    <n v="1000"/>
    <m/>
    <m/>
    <m/>
    <m/>
    <m/>
    <m/>
    <m/>
    <m/>
    <m/>
    <m/>
    <m/>
    <m/>
    <s v="Serge"/>
    <x v="1"/>
    <s v="角度传感器"/>
    <s v="汽车电子"/>
    <s v="安全与智驾"/>
    <s v="油门踏板"/>
    <m/>
    <s v="平台件"/>
    <m/>
    <m/>
    <n v="1"/>
    <m/>
    <d v="2024-04-19T00:00:00"/>
    <d v="2024-04-19T00:00:00"/>
    <d v="2024-08-19T00:00:00"/>
    <d v="2024-12-19T00:00:00"/>
    <d v="2025-03-19T00:00:00"/>
    <s v="NA"/>
    <m/>
    <n v="0"/>
    <n v="0"/>
    <n v="6500"/>
    <n v="6500"/>
    <n v="6500"/>
    <n v="6500"/>
    <n v="6500"/>
    <n v="6500"/>
  </r>
  <r>
    <n v="379"/>
    <s v="南京奥联汽车电子电器股份有限公司"/>
    <x v="1"/>
    <s v="南京奥联汽车电子电器股份有限公司"/>
    <s v="Alex"/>
    <m/>
    <x v="4"/>
    <x v="4"/>
    <n v="69401"/>
    <x v="0"/>
    <m/>
    <s v="商用车电子节气门，一汽解放定点项目"/>
    <n v="100000"/>
    <s v="目前已经开始PV，无问题"/>
    <s v="MLX90365"/>
    <m/>
    <n v="4.5"/>
    <n v="27000"/>
    <n v="27000"/>
    <n v="6000"/>
    <n v="0"/>
    <n v="0"/>
    <n v="0"/>
    <n v="0"/>
    <n v="0"/>
    <n v="0"/>
    <n v="1000"/>
    <n v="1000"/>
    <n v="1000"/>
    <n v="1000"/>
    <n v="1000"/>
    <n v="1000"/>
    <m/>
    <m/>
    <m/>
    <m/>
    <m/>
    <m/>
    <m/>
    <m/>
    <m/>
    <m/>
    <m/>
    <m/>
    <s v="Serge"/>
    <x v="1"/>
    <s v="角度传感器"/>
    <s v="汽车电子"/>
    <s v="发动机变速箱"/>
    <s v="节气门"/>
    <m/>
    <s v="一汽商用车"/>
    <m/>
    <m/>
    <n v="1"/>
    <m/>
    <d v="2024-04-19T00:00:00"/>
    <d v="2024-04-19T00:00:00"/>
    <d v="2024-07-12T00:00:00"/>
    <d v="2024-11-12T00:00:00"/>
    <d v="2025-02-12T00:00:00"/>
    <s v="NA"/>
    <m/>
    <n v="0"/>
    <n v="0"/>
    <n v="4500"/>
    <n v="4500"/>
    <n v="4500"/>
    <n v="4500"/>
    <n v="4500"/>
    <n v="4500"/>
  </r>
  <r>
    <n v="380"/>
    <s v="南京奥联汽车电子电器股份有限公司"/>
    <x v="1"/>
    <s v="南京奥联汽车电子电器股份有限公司"/>
    <s v="Alex"/>
    <m/>
    <x v="75"/>
    <x v="77"/>
    <n v="4689"/>
    <x v="0"/>
    <m/>
    <s v="电子油门踏板，量产车厂有广汽，一汽奔腾"/>
    <n v="4500000"/>
    <s v="关注客户目前量产情况以及质量表现，稳步提升份额"/>
    <s v="HAL888"/>
    <n v="3.5"/>
    <n v="2.66"/>
    <n v="2660000"/>
    <n v="2926000"/>
    <n v="1000000"/>
    <n v="100000"/>
    <n v="100000"/>
    <n v="100000"/>
    <n v="100000"/>
    <n v="100000"/>
    <n v="100000"/>
    <n v="150000"/>
    <n v="150000"/>
    <n v="150000"/>
    <n v="150000"/>
    <n v="150000"/>
    <n v="150000"/>
    <m/>
    <m/>
    <m/>
    <m/>
    <m/>
    <m/>
    <m/>
    <m/>
    <m/>
    <m/>
    <m/>
    <m/>
    <s v="Alex"/>
    <x v="1"/>
    <s v="角度传感器"/>
    <s v="汽车电子"/>
    <s v="安全与智驾"/>
    <s v="油门踏板"/>
    <m/>
    <m/>
    <m/>
    <m/>
    <n v="2"/>
    <m/>
    <d v="2023-10-20T00:00:00"/>
    <d v="2023-10-25T00:00:00"/>
    <d v="2024-02-02T00:00:00"/>
    <d v="2024-04-02T00:00:00"/>
    <d v="2024-05-02T00:00:00"/>
    <s v="NA"/>
    <m/>
    <n v="266000"/>
    <n v="266000"/>
    <n v="399000"/>
    <n v="399000"/>
    <n v="399000"/>
    <n v="399000"/>
    <n v="399000"/>
    <n v="399000"/>
  </r>
  <r>
    <n v="381"/>
    <s v="南京奥联汽车电子电器股份有限公司"/>
    <x v="1"/>
    <s v="南京奥联汽车电子电器股份有限公司"/>
    <s v="Alex"/>
    <m/>
    <x v="137"/>
    <x v="139"/>
    <n v="2455"/>
    <x v="0"/>
    <m/>
    <s v="电子换挡器，一汽项目"/>
    <n v="200000"/>
    <s v="无"/>
    <s v="A1106"/>
    <s v="NA"/>
    <n v="0.55"/>
    <n v="19800"/>
    <n v="22550"/>
    <n v="36000"/>
    <n v="0"/>
    <n v="5000"/>
    <n v="5000"/>
    <n v="5000"/>
    <n v="5000"/>
    <n v="5000"/>
    <n v="6000"/>
    <n v="5000"/>
    <n v="5000"/>
    <n v="5000"/>
    <n v="5000"/>
    <n v="5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m/>
    <m/>
    <m/>
    <n v="3"/>
    <m/>
    <m/>
    <m/>
    <m/>
    <m/>
    <m/>
    <s v="NA"/>
    <m/>
    <n v="2750"/>
    <n v="2750"/>
    <n v="3300"/>
    <n v="2750"/>
    <n v="2750"/>
    <n v="2750"/>
    <n v="2750"/>
    <n v="2750"/>
  </r>
  <r>
    <n v="382"/>
    <s v="南京奥联汽车电子电器股份有限公司"/>
    <x v="1"/>
    <s v="南京奥联汽车电子电器股份有限公司"/>
    <s v="Alex"/>
    <m/>
    <x v="138"/>
    <x v="46"/>
    <n v="2436"/>
    <x v="0"/>
    <m/>
    <s v="电子换挡器，长安项目"/>
    <n v="200000"/>
    <s v="无"/>
    <s v="A1106"/>
    <s v="NA"/>
    <n v="0.55"/>
    <n v="115500"/>
    <n v="132000"/>
    <n v="210000"/>
    <n v="3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m/>
    <m/>
    <m/>
    <n v="3"/>
    <m/>
    <m/>
    <m/>
    <m/>
    <m/>
    <m/>
    <s v="NA"/>
    <m/>
    <n v="16500"/>
    <n v="16500"/>
    <n v="16500"/>
    <n v="16500"/>
    <n v="16500"/>
    <n v="16500"/>
    <n v="16500"/>
    <n v="16500"/>
  </r>
  <r>
    <n v="383"/>
    <s v="宁波高发汽车控制系统股份有限公司"/>
    <x v="2"/>
    <s v="宁波高发汽车控制系统股份有限公司"/>
    <s v="Alex"/>
    <m/>
    <x v="136"/>
    <x v="138"/>
    <s v="1430QC5"/>
    <x v="0"/>
    <m/>
    <s v="电子换挡器、怀挡、组合开关电源转换"/>
    <n v="2000000"/>
    <s v="目前卡在胡万训上，主要矛盾点是对我司产品的不信任。不想当小白鼠。25年重点跟进项目"/>
    <s v="LN2054YQ1"/>
    <n v="0.9"/>
    <n v="0.8"/>
    <n v="408000"/>
    <n v="416000"/>
    <n v="510000"/>
    <n v="0"/>
    <n v="0"/>
    <n v="1000"/>
    <n v="1000"/>
    <n v="10000"/>
    <n v="10000"/>
    <n v="50000"/>
    <n v="50000"/>
    <n v="100000"/>
    <n v="100000"/>
    <n v="100000"/>
    <n v="100000"/>
    <m/>
    <m/>
    <m/>
    <m/>
    <m/>
    <m/>
    <m/>
    <m/>
    <m/>
    <m/>
    <m/>
    <m/>
    <s v="Torres"/>
    <x v="1"/>
    <s v="电源管理"/>
    <s v="汽车电子"/>
    <s v="安全与智驾"/>
    <s v="换挡传感器"/>
    <m/>
    <s v="平台产品"/>
    <m/>
    <m/>
    <n v="1"/>
    <m/>
    <d v="2023-10-20T00:00:00"/>
    <d v="2023-10-25T00:00:00"/>
    <d v="2024-02-02T00:00:00"/>
    <d v="2025-03-02T00:00:00"/>
    <d v="2025-05-02T00:00:00"/>
    <s v="NA"/>
    <m/>
    <n v="8000"/>
    <n v="8000"/>
    <n v="40000"/>
    <n v="40000"/>
    <n v="80000"/>
    <n v="80000"/>
    <n v="80000"/>
    <n v="80000"/>
  </r>
  <r>
    <n v="384"/>
    <s v="宁波高发汽车控制系统股份有限公司"/>
    <x v="2"/>
    <s v="宁波高发汽车控制系统股份有限公司"/>
    <s v="Alex"/>
    <m/>
    <x v="77"/>
    <x v="80"/>
    <n v="69401"/>
    <x v="0"/>
    <m/>
    <s v="高发未来主推产品，第三代电子油门踏板，目前在长安定点"/>
    <n v="1500000"/>
    <s v="配合客户和车厂的相关测试。 价格讨论"/>
    <s v="MT6511"/>
    <n v="5.1"/>
    <n v="4.8"/>
    <n v="1680000"/>
    <n v="1680000"/>
    <n v="350000"/>
    <n v="0"/>
    <n v="0"/>
    <n v="0"/>
    <n v="0"/>
    <n v="0"/>
    <n v="50000"/>
    <n v="50000"/>
    <n v="50000"/>
    <n v="50000"/>
    <n v="50000"/>
    <n v="50000"/>
    <n v="50000"/>
    <m/>
    <m/>
    <m/>
    <m/>
    <m/>
    <m/>
    <m/>
    <m/>
    <m/>
    <m/>
    <m/>
    <m/>
    <s v="Serge"/>
    <x v="1"/>
    <s v="角度传感器"/>
    <s v="汽车电子"/>
    <s v="安全与智驾"/>
    <s v="油门踏板"/>
    <m/>
    <s v="长安"/>
    <m/>
    <m/>
    <n v="1"/>
    <m/>
    <d v="2024-03-07T00:00:00"/>
    <d v="2024-03-07T00:00:00"/>
    <d v="2024-04-07T00:00:00"/>
    <d v="2024-08-07T00:00:00"/>
    <d v="2024-12-07T00:00:00"/>
    <s v="NA"/>
    <m/>
    <n v="0"/>
    <n v="240000"/>
    <n v="240000"/>
    <n v="240000"/>
    <n v="240000"/>
    <n v="240000"/>
    <n v="240000"/>
    <n v="240000"/>
  </r>
  <r>
    <n v="385"/>
    <s v="宁波高发汽车控制系统股份有限公司"/>
    <x v="2"/>
    <s v="宁波高发汽车控制系统股份有限公司"/>
    <s v="Alex"/>
    <m/>
    <x v="4"/>
    <x v="4"/>
    <n v="69401"/>
    <x v="0"/>
    <m/>
    <s v="车身高度传感器-奇瑞定点项目"/>
    <s v="NA "/>
    <s v="配合客户和车厂的相关测试"/>
    <s v="MT6511"/>
    <n v="3.6"/>
    <n v="3.62"/>
    <n v="398200"/>
    <n v="398200"/>
    <n v="110000"/>
    <n v="0"/>
    <n v="0"/>
    <n v="0"/>
    <n v="0"/>
    <n v="0"/>
    <n v="5000"/>
    <n v="5000"/>
    <n v="20000"/>
    <n v="20000"/>
    <n v="20000"/>
    <n v="20000"/>
    <n v="20000"/>
    <m/>
    <m/>
    <m/>
    <m/>
    <m/>
    <m/>
    <m/>
    <m/>
    <m/>
    <m/>
    <m/>
    <m/>
    <m/>
    <x v="1"/>
    <s v="角度传感器"/>
    <m/>
    <m/>
    <m/>
    <m/>
    <s v="奇瑞"/>
    <m/>
    <m/>
    <n v="1"/>
    <m/>
    <d v="2024-09-20T00:00:00"/>
    <d v="2024-09-21T00:00:00"/>
    <d v="2024-11-30T00:00:00"/>
    <d v="2025-03-29T00:00:00"/>
    <d v="2025-05-29T00:00:00"/>
    <s v="NA"/>
    <m/>
    <n v="0"/>
    <n v="18100"/>
    <n v="18100"/>
    <n v="72400"/>
    <n v="72400"/>
    <n v="72400"/>
    <n v="72400"/>
    <n v="72400"/>
  </r>
  <r>
    <n v="386"/>
    <s v="宁波高发汽车控制系统股份有限公司"/>
    <x v="2"/>
    <s v="宁波高发汽车控制系统股份有限公司"/>
    <s v="Alex"/>
    <m/>
    <x v="52"/>
    <x v="140"/>
    <s v="888K"/>
    <x v="0"/>
    <m/>
    <s v="电子油门踏板，国内商用车市场，以及五菱，BYD等"/>
    <n v="9000000"/>
    <s v="持续跟进项目状态，以及量产提量。同时，注重产品质量，重点关注24年8月之后出货质量"/>
    <s v="HAL888"/>
    <n v="3"/>
    <n v="2.42"/>
    <n v="8107000"/>
    <n v="8833000"/>
    <n v="3350000"/>
    <n v="450000"/>
    <n v="300000"/>
    <n v="300000"/>
    <n v="300000"/>
    <n v="300000"/>
    <n v="450000"/>
    <n v="450000"/>
    <n v="450000"/>
    <n v="500000"/>
    <n v="500000"/>
    <n v="500000"/>
    <n v="500000"/>
    <m/>
    <m/>
    <m/>
    <m/>
    <m/>
    <m/>
    <m/>
    <m/>
    <m/>
    <m/>
    <m/>
    <m/>
    <s v="Alex"/>
    <x v="1"/>
    <s v="角度传感器"/>
    <s v="汽车电子"/>
    <s v="安全与智驾"/>
    <s v="油门踏板"/>
    <m/>
    <s v="国内商用车，广汽，五菱，BYD，长安等"/>
    <m/>
    <m/>
    <n v="2"/>
    <d v="2022-03-01T00:00:00"/>
    <d v="2020-03-01T00:00:00"/>
    <d v="2020-04-01T00:00:00"/>
    <d v="2020-10-01T00:00:00"/>
    <d v="2021-06-01T00:00:00"/>
    <d v="2022-02-01T00:00:00"/>
    <n v="0.7"/>
    <m/>
    <n v="726000"/>
    <n v="1089000"/>
    <n v="1089000"/>
    <n v="1089000"/>
    <n v="1210000"/>
    <n v="1210000"/>
    <n v="1210000"/>
    <n v="1210000"/>
  </r>
  <r>
    <n v="387"/>
    <s v="宁波高发汽车控制系统股份有限公司"/>
    <x v="2"/>
    <s v="宁波高发汽车控制系统股份有限公司"/>
    <s v="Alex"/>
    <m/>
    <x v="24"/>
    <x v="26"/>
    <n v="1138"/>
    <x v="6"/>
    <m/>
    <s v="电子换挡器，主要终端是奇瑞和吉利"/>
    <n v="2350000"/>
    <s v="无"/>
    <s v="无"/>
    <s v="无"/>
    <n v="0.42"/>
    <n v="420000"/>
    <n v="420000"/>
    <n v="1000000"/>
    <n v="180000"/>
    <n v="0"/>
    <n v="180000"/>
    <n v="180000"/>
    <n v="0"/>
    <n v="0"/>
    <n v="0"/>
    <n v="200000"/>
    <n v="200000"/>
    <n v="200000"/>
    <n v="200000"/>
    <n v="200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s v="吉利"/>
    <m/>
    <m/>
    <n v="3"/>
    <d v="2022-03-01T00:00:00"/>
    <d v="2020-03-01T00:00:00"/>
    <d v="2020-04-01T00:00:00"/>
    <d v="2020-10-01T00:00:00"/>
    <d v="2021-06-01T00:00:00"/>
    <d v="2022-02-01T00:00:00"/>
    <s v="NA"/>
    <m/>
    <n v="0"/>
    <n v="0"/>
    <n v="0"/>
    <n v="84000"/>
    <n v="84000"/>
    <n v="84000"/>
    <n v="84000"/>
    <n v="84000"/>
  </r>
  <r>
    <n v="388"/>
    <s v="宁波高发汽车控制系统股份有限公司"/>
    <x v="2"/>
    <s v="宁波高发汽车控制系统股份有限公司"/>
    <s v="Alex"/>
    <m/>
    <x v="43"/>
    <x v="45"/>
    <n v="1134"/>
    <x v="6"/>
    <m/>
    <s v="电子换挡器，主要终端是奇瑞和吉利"/>
    <n v="540000"/>
    <s v="无"/>
    <s v="无"/>
    <s v="无"/>
    <n v="0.42"/>
    <n v="147000"/>
    <n v="168000"/>
    <n v="350000"/>
    <n v="0"/>
    <n v="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s v="吉利"/>
    <m/>
    <m/>
    <n v="2"/>
    <d v="2022-03-01T00:00:00"/>
    <d v="2020-03-01T00:00:00"/>
    <d v="2020-04-01T00:00:00"/>
    <d v="2020-10-01T00:00:00"/>
    <d v="2021-06-01T00:00:00"/>
    <d v="2022-02-01T00:00:00"/>
    <s v="NA"/>
    <m/>
    <n v="21000"/>
    <n v="21000"/>
    <n v="21000"/>
    <n v="21000"/>
    <n v="21000"/>
    <n v="21000"/>
    <n v="21000"/>
    <n v="21000"/>
  </r>
  <r>
    <n v="389"/>
    <s v="鸣志电器（太仓）有限公司"/>
    <x v="2"/>
    <s v="上海霍通电子科技有限公司"/>
    <s v="Alex"/>
    <m/>
    <x v="139"/>
    <x v="141"/>
    <n v="60370"/>
    <x v="0"/>
    <m/>
    <s v="无刷电机编码器项目-华为云台项目（108，145，146）"/>
    <n v="100000"/>
    <s v="无"/>
    <s v="无"/>
    <s v="NA"/>
    <n v="8.5"/>
    <n v="425000"/>
    <n v="425000"/>
    <n v="50000"/>
    <n v="50000"/>
    <n v="0"/>
    <n v="0"/>
    <n v="0"/>
    <n v="0"/>
    <n v="0"/>
    <n v="0"/>
    <n v="0"/>
    <n v="0"/>
    <n v="0"/>
    <n v="0"/>
    <n v="50000"/>
    <m/>
    <m/>
    <m/>
    <m/>
    <m/>
    <m/>
    <m/>
    <m/>
    <m/>
    <m/>
    <m/>
    <m/>
    <s v="Alex"/>
    <x v="1"/>
    <s v="电机编码器"/>
    <s v="工业和机器人"/>
    <s v="工业电机"/>
    <s v="工业电机电控"/>
    <s v="工业伺服电机"/>
    <s v="华为"/>
    <m/>
    <m/>
    <n v="1"/>
    <m/>
    <m/>
    <m/>
    <m/>
    <m/>
    <m/>
    <s v="NA"/>
    <m/>
    <n v="0"/>
    <n v="0"/>
    <n v="0"/>
    <n v="0"/>
    <n v="0"/>
    <n v="0"/>
    <n v="0"/>
    <n v="425000"/>
  </r>
  <r>
    <n v="390"/>
    <s v="鸣志电器（太仓）有限公司"/>
    <x v="2"/>
    <s v="上海霍通电子科技有限公司"/>
    <s v="Alex"/>
    <m/>
    <x v="64"/>
    <x v="142"/>
    <n v="2662"/>
    <x v="0"/>
    <m/>
    <s v="无刷电机霍尔-华为天玑项目"/>
    <s v="NA "/>
    <s v="11月底华为将开始招标，目前鸣志成功率接近80%。最新消息，项目最终由1部量产。目前正在积极接触1部相关人员"/>
    <s v="无"/>
    <s v="NA"/>
    <n v="0.25"/>
    <n v="393500"/>
    <n v="175000"/>
    <n v="1574000"/>
    <n v="0"/>
    <n v="0"/>
    <n v="0"/>
    <n v="0"/>
    <n v="0"/>
    <n v="212000"/>
    <n v="242000"/>
    <n v="212000"/>
    <n v="212000"/>
    <n v="242000"/>
    <n v="212000"/>
    <n v="242000"/>
    <m/>
    <m/>
    <m/>
    <m/>
    <m/>
    <m/>
    <m/>
    <m/>
    <m/>
    <m/>
    <m/>
    <m/>
    <s v="Alex"/>
    <x v="1"/>
    <s v="磁性位置传感器"/>
    <s v="工业和机器人"/>
    <s v="工业电机"/>
    <s v="工业电机电控"/>
    <s v="工业伺服电机"/>
    <s v="华为"/>
    <m/>
    <m/>
    <n v="3"/>
    <m/>
    <m/>
    <m/>
    <m/>
    <m/>
    <m/>
    <s v="NA"/>
    <m/>
    <n v="0"/>
    <n v="53000"/>
    <n v="60500"/>
    <n v="53000"/>
    <n v="53000"/>
    <n v="60500"/>
    <n v="53000"/>
    <n v="60500"/>
  </r>
  <r>
    <n v="391"/>
    <s v="宁波汽车软轴软管有限公司"/>
    <x v="0"/>
    <s v="上海致馨电子科技有限公司"/>
    <s v="Alex"/>
    <m/>
    <x v="52"/>
    <x v="54"/>
    <n v="4688"/>
    <x v="0"/>
    <m/>
    <s v="电子油门踏板，主要是出口市场以及国内电车市场"/>
    <n v="500000"/>
    <s v="客户目前准备全面切换，目前主要是量产产线跟进中。（同时客户在和飞仙接触，飞仙价格2元）"/>
    <s v="HAL888"/>
    <n v="4.2"/>
    <n v="2.66"/>
    <n v="372400"/>
    <n v="425600"/>
    <n v="140000"/>
    <n v="0"/>
    <n v="0"/>
    <n v="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Alex"/>
    <x v="1"/>
    <s v="角度传感器"/>
    <m/>
    <m/>
    <m/>
    <m/>
    <s v="领跑，出口项目"/>
    <m/>
    <m/>
    <n v="2"/>
    <m/>
    <d v="2021-01-01T00:00:00"/>
    <d v="2021-01-01T00:00:00"/>
    <d v="2021-06-01T00:00:00"/>
    <d v="2022-01-01T00:00:00"/>
    <d v="2024-06-01T00:00:00"/>
    <s v="NA"/>
    <m/>
    <n v="53200"/>
    <n v="53200"/>
    <n v="53200"/>
    <n v="53200"/>
    <n v="53200"/>
    <n v="53200"/>
    <n v="53200"/>
    <n v="53200"/>
  </r>
  <r>
    <n v="392"/>
    <s v="苏州柯尔特测控技术有限公司"/>
    <x v="0"/>
    <s v="苏州柯尔特测控技术有限公司"/>
    <s v="Alex"/>
    <m/>
    <x v="31"/>
    <x v="34"/>
    <n v="2425"/>
    <x v="0"/>
    <m/>
    <m/>
    <n v="3000000"/>
    <s v="客户移交给陈端淇"/>
    <s v="N/A"/>
    <m/>
    <s v="2.5"/>
    <n v="3500000"/>
    <n v="4000000"/>
    <n v="14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Alex"/>
    <x v="1"/>
    <s v="角度传感器"/>
    <s v="智能家居"/>
    <s v="大型家电"/>
    <s v="壁挂炉水压力传感器"/>
    <m/>
    <m/>
    <m/>
    <m/>
    <m/>
    <m/>
    <m/>
    <m/>
    <m/>
    <m/>
    <m/>
    <m/>
    <m/>
    <n v="500000"/>
    <n v="500000"/>
    <n v="500000"/>
    <n v="500000"/>
    <n v="500000"/>
    <n v="500000"/>
    <n v="500000"/>
    <n v="500000"/>
  </r>
  <r>
    <n v="393"/>
    <s v="浙江三花汽车零部件有限公司"/>
    <x v="1"/>
    <s v="浙江三花汽车零部件有限公司"/>
    <s v="Alex"/>
    <m/>
    <x v="71"/>
    <x v="74"/>
    <n v="2443"/>
    <x v="0"/>
    <m/>
    <s v="电子膨胀阀开合角度检测"/>
    <n v="8000000"/>
    <s v="交货，和客户确认换封装厂事宜"/>
    <s v="MLX92211"/>
    <s v="NA"/>
    <n v="0.65"/>
    <n v="3640000"/>
    <n v="4160000"/>
    <n v="5600000"/>
    <n v="288187"/>
    <n v="212300"/>
    <n v="536969"/>
    <n v="529507"/>
    <n v="800000"/>
    <n v="800000"/>
    <n v="800000"/>
    <n v="800000"/>
    <n v="800000"/>
    <n v="800000"/>
    <n v="800000"/>
    <n v="800000"/>
    <m/>
    <m/>
    <m/>
    <m/>
    <m/>
    <m/>
    <m/>
    <m/>
    <m/>
    <m/>
    <m/>
    <m/>
    <s v="Alex"/>
    <x v="1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520000"/>
    <n v="520000"/>
    <n v="520000"/>
    <n v="520000"/>
    <n v="520000"/>
    <n v="520000"/>
    <n v="520000"/>
    <n v="520000"/>
  </r>
  <r>
    <n v="394"/>
    <s v="浙江三花汽车零部件有限公司"/>
    <x v="1"/>
    <s v="浙江三花汽车零部件有限公司"/>
    <s v="Alex"/>
    <m/>
    <x v="27"/>
    <x v="29"/>
    <n v="2443"/>
    <x v="0"/>
    <m/>
    <s v="电子膨胀阀开合角度检测"/>
    <n v="300000"/>
    <s v="项目延续，量少"/>
    <s v="MLX92211"/>
    <s v="NA"/>
    <n v="0.65"/>
    <n v="182000"/>
    <n v="208000"/>
    <n v="280000"/>
    <n v="33340"/>
    <n v="15245"/>
    <n v="23069"/>
    <n v="31033"/>
    <n v="40000"/>
    <n v="40000"/>
    <n v="40000"/>
    <n v="40000"/>
    <n v="40000"/>
    <n v="40000"/>
    <n v="40000"/>
    <n v="40000"/>
    <m/>
    <m/>
    <m/>
    <m/>
    <m/>
    <m/>
    <m/>
    <m/>
    <m/>
    <m/>
    <m/>
    <m/>
    <s v="Alex"/>
    <x v="1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26000"/>
    <n v="26000"/>
    <n v="26000"/>
    <n v="26000"/>
    <n v="26000"/>
    <n v="26000"/>
    <n v="26000"/>
    <n v="26000"/>
  </r>
  <r>
    <n v="395"/>
    <s v="智邦-SC2063SO"/>
    <x v="0"/>
    <s v="深圳市智邦电子有限公司"/>
    <s v="Tom"/>
    <m/>
    <x v="16"/>
    <x v="18"/>
    <m/>
    <x v="0"/>
    <s v="手持榨汁机"/>
    <n v="3000000"/>
    <s v="批量"/>
    <m/>
    <s v="无"/>
    <m/>
    <n v="0.125"/>
    <n v="125000"/>
    <m/>
    <n v="1000000"/>
    <m/>
    <m/>
    <n v="1000000"/>
    <m/>
    <m/>
    <m/>
    <m/>
    <n v="0"/>
    <n v="1000000"/>
    <m/>
    <m/>
    <m/>
    <m/>
    <n v="0"/>
    <n v="0"/>
    <n v="0"/>
    <m/>
    <m/>
    <n v="0"/>
    <m/>
    <m/>
    <m/>
    <m/>
    <m/>
    <s v="Tom"/>
    <x v="2"/>
    <s v="磁性位置传感器"/>
    <s v="智能家居"/>
    <s v="小型家电"/>
    <s v="豆浆机/咖啡机"/>
    <m/>
    <m/>
    <m/>
    <m/>
    <m/>
    <m/>
    <m/>
    <m/>
    <m/>
    <m/>
    <m/>
    <m/>
    <m/>
    <n v="0"/>
    <n v="0"/>
    <n v="0"/>
    <n v="0"/>
    <n v="125000"/>
    <n v="0"/>
    <n v="0"/>
    <n v="0"/>
  </r>
  <r>
    <n v="396"/>
    <s v="智邦-SC1134SO-N"/>
    <x v="0"/>
    <s v="深圳市智邦电子有限公司"/>
    <s v="Tom"/>
    <m/>
    <x v="23"/>
    <x v="25"/>
    <m/>
    <x v="0"/>
    <s v="接近开关"/>
    <n v="661230"/>
    <s v="批量"/>
    <m/>
    <s v="无"/>
    <m/>
    <n v="0.23"/>
    <n v="69000"/>
    <m/>
    <n v="300000"/>
    <n v="60000"/>
    <n v="60000"/>
    <n v="60000"/>
    <n v="60000"/>
    <n v="60000"/>
    <n v="60000"/>
    <n v="0"/>
    <n v="60000"/>
    <n v="0"/>
    <n v="60000"/>
    <n v="60000"/>
    <n v="60000"/>
    <n v="0"/>
    <n v="0"/>
    <n v="0"/>
    <n v="0"/>
    <n v="0"/>
    <n v="0"/>
    <n v="0"/>
    <m/>
    <m/>
    <m/>
    <m/>
    <m/>
    <s v="Tom"/>
    <x v="2"/>
    <s v="磁性位置传感器"/>
    <s v="工业和机器人"/>
    <s v="工业其他"/>
    <s v="工业接近开关"/>
    <s v="接近开关"/>
    <m/>
    <m/>
    <m/>
    <m/>
    <m/>
    <m/>
    <m/>
    <m/>
    <m/>
    <m/>
    <m/>
    <m/>
    <n v="13800"/>
    <n v="13800"/>
    <n v="0"/>
    <n v="13800"/>
    <n v="0"/>
    <n v="13800"/>
    <n v="13800"/>
    <n v="13800"/>
  </r>
  <r>
    <n v="397"/>
    <s v="余姚市瑞玛特电器有限公司"/>
    <x v="0"/>
    <s v="天津越尔兴电子科技有限公司"/>
    <s v="Sales"/>
    <m/>
    <x v="140"/>
    <x v="143"/>
    <m/>
    <x v="0"/>
    <s v="其他电机控制板"/>
    <n v="300000"/>
    <s v="批量"/>
    <m/>
    <s v="N/A"/>
    <m/>
    <n v="0.495"/>
    <n v="89100"/>
    <m/>
    <n v="180000"/>
    <m/>
    <n v="0"/>
    <m/>
    <n v="0"/>
    <n v="0"/>
    <n v="0"/>
    <n v="30000"/>
    <n v="30000"/>
    <n v="30000"/>
    <n v="30000"/>
    <n v="30000"/>
    <n v="30000"/>
    <m/>
    <n v="0"/>
    <m/>
    <n v="0"/>
    <n v="0"/>
    <m/>
    <n v="0"/>
    <m/>
    <m/>
    <m/>
    <m/>
    <m/>
    <s v="Harry"/>
    <x v="3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4850"/>
    <n v="14850"/>
    <n v="14850"/>
    <n v="14850"/>
    <n v="14850"/>
    <n v="14850"/>
  </r>
  <r>
    <n v="398"/>
    <s v="余姚市瑞玛特电器有限公司"/>
    <x v="0"/>
    <s v="天津越尔兴电子科技有限公司"/>
    <s v="Sales"/>
    <m/>
    <x v="24"/>
    <x v="26"/>
    <m/>
    <x v="1"/>
    <s v="其他电机控制板"/>
    <n v="600000"/>
    <s v="批量"/>
    <m/>
    <s v="N/A"/>
    <m/>
    <n v="0.4"/>
    <n v="7200"/>
    <m/>
    <n v="18000"/>
    <n v="0"/>
    <m/>
    <m/>
    <m/>
    <m/>
    <m/>
    <n v="3000"/>
    <n v="3000"/>
    <n v="3000"/>
    <n v="3000"/>
    <n v="3000"/>
    <n v="3000"/>
    <n v="0"/>
    <n v="0"/>
    <n v="0"/>
    <n v="0"/>
    <n v="0"/>
    <m/>
    <n v="0"/>
    <m/>
    <m/>
    <m/>
    <m/>
    <m/>
    <s v="Harry"/>
    <x v="3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200"/>
    <n v="1200"/>
    <n v="1200"/>
    <n v="1200"/>
    <n v="1200"/>
    <n v="1200"/>
  </r>
  <r>
    <n v="399"/>
    <s v="余姚市瑞玛特电器有限公司"/>
    <x v="0"/>
    <s v="天津越尔兴电子科技有限公司"/>
    <s v="Sales"/>
    <m/>
    <x v="52"/>
    <x v="54"/>
    <m/>
    <x v="0"/>
    <s v="其他电机控制板"/>
    <n v="20000"/>
    <s v="批量"/>
    <m/>
    <m/>
    <m/>
    <n v="2.6"/>
    <n v="156000"/>
    <m/>
    <n v="60000"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s v="Tom"/>
    <x v="3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26000"/>
    <n v="26000"/>
    <n v="26000"/>
    <n v="26000"/>
    <n v="26000"/>
    <n v="26000"/>
  </r>
  <r>
    <n v="400"/>
    <s v="余姚市瑞玛特电器有限公司"/>
    <x v="0"/>
    <s v="天津越尔兴电子科技有限公司"/>
    <s v="Sales"/>
    <m/>
    <x v="32"/>
    <x v="35"/>
    <m/>
    <x v="0"/>
    <s v="其他电机控制板"/>
    <m/>
    <s v="评估"/>
    <s v="跟踪样品评估"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3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1"/>
    <s v="余姚市瑞玛特电器有限公司"/>
    <x v="0"/>
    <s v="天津越尔兴电子科技有限公司"/>
    <s v="Sales"/>
    <m/>
    <x v="120"/>
    <x v="119"/>
    <m/>
    <x v="0"/>
    <s v="其他电机控制板"/>
    <m/>
    <s v="批量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3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2"/>
    <s v="余姚市瑞玛特电器有限公司"/>
    <x v="0"/>
    <s v="天津越尔兴电子科技有限公司"/>
    <s v="Sales"/>
    <m/>
    <x v="141"/>
    <x v="31"/>
    <m/>
    <x v="0"/>
    <s v="其他电机控制板"/>
    <n v="10000"/>
    <s v="小批量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3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3"/>
    <s v="余姚市电控电器三厂"/>
    <x v="0"/>
    <s v="上海养盈电子科技有限公司"/>
    <s v="Tom"/>
    <m/>
    <x v="142"/>
    <x v="144"/>
    <m/>
    <x v="0"/>
    <s v="漏保插头"/>
    <n v="1000000"/>
    <s v="批量"/>
    <m/>
    <s v="M54123"/>
    <m/>
    <n v="0.17"/>
    <n v="110500"/>
    <m/>
    <n v="650000"/>
    <n v="0"/>
    <n v="0"/>
    <n v="150000"/>
    <n v="100000"/>
    <n v="200000"/>
    <n v="50000"/>
    <n v="0"/>
    <n v="0"/>
    <n v="200000"/>
    <n v="100000"/>
    <n v="100000"/>
    <n v="2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34000"/>
    <n v="8500"/>
    <n v="0"/>
    <n v="0"/>
    <n v="34000"/>
    <n v="17000"/>
    <n v="17000"/>
    <n v="34000"/>
  </r>
  <r>
    <n v="404"/>
    <s v="养盈-SD477S"/>
    <x v="0"/>
    <s v="上海养盈电子科技有限公司"/>
    <s v="Tom"/>
    <m/>
    <x v="143"/>
    <x v="145"/>
    <m/>
    <x v="0"/>
    <s v="散热风扇"/>
    <m/>
    <s v="批量"/>
    <m/>
    <s v="OCH477H"/>
    <m/>
    <n v="0.18"/>
    <n v="432000"/>
    <m/>
    <n v="2400000"/>
    <n v="0"/>
    <n v="0"/>
    <n v="500000"/>
    <m/>
    <m/>
    <n v="400000"/>
    <n v="0"/>
    <n v="400000"/>
    <n v="400000"/>
    <n v="400000"/>
    <n v="400000"/>
    <n v="400000"/>
    <n v="0"/>
    <n v="0"/>
    <n v="0"/>
    <n v="0"/>
    <n v="0"/>
    <n v="0"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0"/>
    <n v="72000"/>
    <n v="0"/>
    <n v="72000"/>
    <n v="72000"/>
    <n v="72000"/>
    <n v="72000"/>
    <n v="72000"/>
  </r>
  <r>
    <n v="405"/>
    <s v="养盈-SD2276"/>
    <x v="0"/>
    <s v="上海养盈电子科技有限公司"/>
    <s v="Tom"/>
    <m/>
    <x v="144"/>
    <x v="146"/>
    <m/>
    <x v="0"/>
    <s v="散热风扇"/>
    <m/>
    <s v="批量"/>
    <m/>
    <s v="SDC276"/>
    <m/>
    <n v="0.125"/>
    <n v="1987500"/>
    <m/>
    <n v="15900000"/>
    <n v="2000000"/>
    <n v="800000"/>
    <n v="1200000"/>
    <n v="800000"/>
    <n v="3000000"/>
    <n v="2000000"/>
    <n v="2000000"/>
    <n v="2000000"/>
    <n v="3000000"/>
    <n v="1900000"/>
    <n v="2000000"/>
    <n v="3000000"/>
    <n v="0"/>
    <m/>
    <m/>
    <m/>
    <m/>
    <m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375000"/>
    <n v="250000"/>
    <n v="250000"/>
    <n v="250000"/>
    <n v="375000"/>
    <n v="237500"/>
    <n v="250000"/>
    <n v="375000"/>
  </r>
  <r>
    <n v="406"/>
    <s v="养盈-SD211VB"/>
    <x v="0"/>
    <s v="上海养盈电子科技有限公司"/>
    <s v="Tom"/>
    <m/>
    <x v="145"/>
    <x v="147"/>
    <m/>
    <x v="0"/>
    <s v="散热风扇"/>
    <m/>
    <s v="批量"/>
    <m/>
    <s v="SDC211"/>
    <m/>
    <n v="0.14"/>
    <n v="1260000"/>
    <m/>
    <n v="9000000"/>
    <n v="1000000"/>
    <n v="800000"/>
    <n v="1200000"/>
    <n v="800000"/>
    <n v="1000000"/>
    <n v="1000000"/>
    <n v="600000"/>
    <n v="1000000"/>
    <n v="1200000"/>
    <n v="2000000"/>
    <n v="1200000"/>
    <n v="2000000"/>
    <n v="0"/>
    <n v="0"/>
    <n v="0"/>
    <m/>
    <m/>
    <m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140000"/>
    <n v="140000"/>
    <n v="84000"/>
    <n v="140000"/>
    <n v="168000"/>
    <n v="280000"/>
    <n v="168000"/>
    <n v="280000"/>
  </r>
  <r>
    <n v="407"/>
    <s v="养盈-SC4688SA"/>
    <x v="0"/>
    <s v="上海养盈电子科技有限公司"/>
    <s v="Tom"/>
    <m/>
    <x v="52"/>
    <x v="54"/>
    <m/>
    <x v="0"/>
    <s v="外贸"/>
    <n v="100000"/>
    <s v="批量"/>
    <m/>
    <s v="HAL888"/>
    <m/>
    <n v="2.55"/>
    <n v="178500"/>
    <m/>
    <n v="70000"/>
    <n v="10000"/>
    <n v="0"/>
    <n v="10000"/>
    <n v="5000"/>
    <n v="5000"/>
    <n v="10000"/>
    <n v="10000"/>
    <n v="10000"/>
    <n v="10000"/>
    <n v="10000"/>
    <n v="10000"/>
    <n v="10000"/>
    <n v="0"/>
    <n v="0"/>
    <n v="0"/>
    <n v="0"/>
    <n v="0"/>
    <n v="0"/>
    <n v="0"/>
    <m/>
    <m/>
    <m/>
    <m/>
    <m/>
    <s v="Tom"/>
    <x v="2"/>
    <s v="角度传感器"/>
    <s v="替代交通"/>
    <s v="农机"/>
    <s v="农机踏板/转把"/>
    <s v="其他"/>
    <m/>
    <m/>
    <m/>
    <m/>
    <m/>
    <m/>
    <m/>
    <m/>
    <m/>
    <m/>
    <m/>
    <m/>
    <n v="12750"/>
    <n v="25500"/>
    <n v="25500"/>
    <n v="25500"/>
    <n v="25500"/>
    <n v="25500"/>
    <n v="25500"/>
    <n v="25500"/>
  </r>
  <r>
    <n v="408"/>
    <s v="养盈-SC4002UA"/>
    <x v="0"/>
    <s v="上海养盈电子科技有限公司"/>
    <s v="Tom"/>
    <m/>
    <x v="140"/>
    <x v="148"/>
    <m/>
    <x v="0"/>
    <s v="其他电机电机控制板"/>
    <m/>
    <s v="批量"/>
    <m/>
    <s v="N/A"/>
    <m/>
    <n v="0.5"/>
    <n v="175000"/>
    <m/>
    <n v="350000"/>
    <n v="0"/>
    <n v="50000"/>
    <n v="50000"/>
    <n v="50000"/>
    <n v="50000"/>
    <n v="50000"/>
    <n v="50000"/>
    <n v="50000"/>
    <n v="50000"/>
    <n v="50000"/>
    <n v="50000"/>
    <n v="50000"/>
    <n v="0"/>
    <m/>
    <m/>
    <n v="0"/>
    <n v="0"/>
    <m/>
    <n v="0"/>
    <m/>
    <m/>
    <m/>
    <m/>
    <m/>
    <s v="Harry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409"/>
    <s v="养盈-SC2063UA"/>
    <x v="0"/>
    <s v="上海养盈电子科技有限公司"/>
    <s v="Tom"/>
    <m/>
    <x v="146"/>
    <x v="149"/>
    <m/>
    <x v="0"/>
    <s v="门磁开关"/>
    <m/>
    <s v="批量"/>
    <m/>
    <s v="N/A"/>
    <m/>
    <n v="0.13"/>
    <n v="15600"/>
    <m/>
    <n v="120000"/>
    <n v="50000"/>
    <n v="30000"/>
    <n v="30000"/>
    <n v="0"/>
    <n v="30000"/>
    <n v="0"/>
    <n v="30000"/>
    <n v="0"/>
    <n v="30000"/>
    <n v="0"/>
    <n v="30000"/>
    <n v="30000"/>
    <n v="0"/>
    <n v="0"/>
    <m/>
    <n v="0"/>
    <m/>
    <n v="0"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3900"/>
    <n v="0"/>
    <n v="3900"/>
    <n v="0"/>
    <n v="3900"/>
    <n v="0"/>
    <n v="3900"/>
    <n v="3900"/>
  </r>
  <r>
    <n v="410"/>
    <s v="养盈-SC1134SO-N"/>
    <x v="0"/>
    <s v="上海养盈电子科技有限公司"/>
    <s v="Tom"/>
    <m/>
    <x v="23"/>
    <x v="25"/>
    <m/>
    <x v="0"/>
    <s v="豆浆机/料理机电机"/>
    <m/>
    <s v="批量"/>
    <m/>
    <s v="N/A"/>
    <m/>
    <n v="0.2"/>
    <n v="18000"/>
    <m/>
    <n v="90000"/>
    <n v="18000"/>
    <n v="12000"/>
    <n v="0"/>
    <n v="30000"/>
    <n v="0"/>
    <n v="0"/>
    <n v="30000"/>
    <n v="0"/>
    <n v="0"/>
    <n v="0"/>
    <n v="60000"/>
    <n v="0"/>
    <m/>
    <n v="0"/>
    <n v="0"/>
    <n v="0"/>
    <m/>
    <n v="0"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6000"/>
    <n v="0"/>
    <n v="0"/>
    <n v="0"/>
    <n v="12000"/>
    <n v="0"/>
  </r>
  <r>
    <n v="411"/>
    <s v="养盈-SC1134B1"/>
    <x v="0"/>
    <s v="上海养盈电子科技有限公司"/>
    <s v="Tom"/>
    <m/>
    <x v="147"/>
    <x v="150"/>
    <s v="43F"/>
    <x v="0"/>
    <s v="豆浆机/料理机电机"/>
    <m/>
    <s v="批量"/>
    <m/>
    <s v="N/A"/>
    <m/>
    <n v="0.2"/>
    <n v="148000"/>
    <m/>
    <n v="740000"/>
    <n v="0"/>
    <n v="370000"/>
    <n v="0"/>
    <n v="0"/>
    <n v="370000"/>
    <n v="0"/>
    <n v="0"/>
    <n v="0"/>
    <n v="370000"/>
    <n v="0"/>
    <n v="0"/>
    <n v="370000"/>
    <n v="0"/>
    <n v="0"/>
    <n v="0"/>
    <n v="0"/>
    <n v="0"/>
    <n v="0"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74000"/>
    <n v="0"/>
    <n v="0"/>
    <n v="0"/>
    <n v="74000"/>
    <n v="0"/>
    <n v="0"/>
    <n v="74000"/>
  </r>
  <r>
    <n v="412"/>
    <s v="亚世欧-KH477"/>
    <x v="0"/>
    <s v="深圳市亚世欧实业有限公司"/>
    <s v="Tom"/>
    <m/>
    <x v="143"/>
    <x v="151"/>
    <m/>
    <x v="0"/>
    <s v="散热风扇"/>
    <m/>
    <s v="批量"/>
    <m/>
    <m/>
    <m/>
    <n v="0.18"/>
    <n v="327344.94"/>
    <m/>
    <n v="1818583"/>
    <n v="70000"/>
    <n v="0"/>
    <n v="0"/>
    <m/>
    <m/>
    <n v="900000"/>
    <n v="118583"/>
    <n v="0"/>
    <n v="200000"/>
    <n v="200000"/>
    <n v="200000"/>
    <n v="200000"/>
    <m/>
    <n v="0"/>
    <n v="0"/>
    <n v="0"/>
    <m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0"/>
    <n v="162000"/>
    <n v="21344.94"/>
    <n v="0"/>
    <n v="36000"/>
    <n v="36000"/>
    <n v="36000"/>
    <n v="36000"/>
  </r>
  <r>
    <n v="413"/>
    <s v="亚世欧-KH276"/>
    <x v="0"/>
    <s v="深圳市亚世欧实业有限公司"/>
    <s v="Tom"/>
    <m/>
    <x v="144"/>
    <x v="152"/>
    <m/>
    <x v="0"/>
    <s v="散热风扇"/>
    <m/>
    <s v="批量"/>
    <m/>
    <m/>
    <m/>
    <n v="0.13"/>
    <n v="624000"/>
    <m/>
    <n v="4800000"/>
    <n v="0"/>
    <n v="400000"/>
    <n v="800000"/>
    <n v="400000"/>
    <n v="800000"/>
    <n v="800000"/>
    <n v="800000"/>
    <n v="800000"/>
    <n v="800000"/>
    <n v="400000"/>
    <n v="400000"/>
    <n v="800000"/>
    <m/>
    <n v="0"/>
    <m/>
    <m/>
    <n v="0"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104000"/>
    <n v="104000"/>
    <n v="104000"/>
    <n v="104000"/>
    <n v="104000"/>
    <n v="52000"/>
    <n v="52000"/>
    <n v="104000"/>
  </r>
  <r>
    <n v="414"/>
    <s v="亚世欧-KH211"/>
    <x v="0"/>
    <s v="深圳市亚世欧实业有限公司"/>
    <s v="Tom"/>
    <m/>
    <x v="145"/>
    <x v="153"/>
    <m/>
    <x v="0"/>
    <s v="散热风扇"/>
    <m/>
    <s v="批量"/>
    <m/>
    <m/>
    <m/>
    <n v="0.14"/>
    <n v="392000"/>
    <m/>
    <n v="2800000"/>
    <n v="0"/>
    <n v="0"/>
    <n v="0"/>
    <n v="0"/>
    <n v="300000"/>
    <n v="600000"/>
    <n v="400000"/>
    <n v="400000"/>
    <n v="600000"/>
    <n v="200000"/>
    <n v="200000"/>
    <n v="400000"/>
    <m/>
    <n v="0"/>
    <n v="0"/>
    <n v="0"/>
    <n v="0"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42000"/>
    <n v="84000"/>
    <n v="56000"/>
    <n v="56000"/>
    <n v="84000"/>
    <n v="28000"/>
    <n v="28000"/>
    <n v="56000"/>
  </r>
  <r>
    <n v="415"/>
    <s v="温州嘉迪电器有限公司"/>
    <x v="0"/>
    <s v="上海养盈电子科技有限公司"/>
    <s v="Tom"/>
    <m/>
    <x v="148"/>
    <x v="154"/>
    <m/>
    <x v="0"/>
    <s v="断路器"/>
    <n v="200000"/>
    <s v="小批量"/>
    <m/>
    <s v="LW310B"/>
    <m/>
    <n v="0.35"/>
    <n v="238000"/>
    <m/>
    <n v="680000"/>
    <n v="0"/>
    <n v="0"/>
    <n v="50000"/>
    <n v="50000"/>
    <n v="50000"/>
    <n v="100000"/>
    <n v="50000"/>
    <n v="50000"/>
    <n v="80000"/>
    <n v="100000"/>
    <n v="100000"/>
    <n v="2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17500"/>
    <n v="35000"/>
    <n v="17500"/>
    <n v="17500"/>
    <n v="28000"/>
    <n v="35000"/>
    <n v="35000"/>
    <n v="70000"/>
  </r>
  <r>
    <n v="416"/>
    <s v="温州嘉迪电器有限公司"/>
    <x v="0"/>
    <s v="上海养盈电子科技有限公司"/>
    <s v="Tom"/>
    <m/>
    <x v="142"/>
    <x v="144"/>
    <m/>
    <x v="0"/>
    <s v="断路器"/>
    <n v="1000000"/>
    <s v="小批量"/>
    <m/>
    <s v="LW54123A"/>
    <m/>
    <n v="0.17"/>
    <n v="134300"/>
    <m/>
    <n v="790000"/>
    <n v="0"/>
    <n v="0"/>
    <n v="50000"/>
    <n v="100000"/>
    <n v="100000"/>
    <n v="50000"/>
    <n v="60000"/>
    <n v="80000"/>
    <n v="100000"/>
    <n v="200000"/>
    <n v="100000"/>
    <n v="2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17000"/>
    <n v="8500"/>
    <n v="10200"/>
    <n v="13600"/>
    <n v="17000"/>
    <n v="34000"/>
    <n v="17000"/>
    <n v="34000"/>
  </r>
  <r>
    <n v="417"/>
    <s v="温州诚富电器有限公司"/>
    <x v="0"/>
    <s v="上海养盈电子科技有限公司"/>
    <s v="Tom"/>
    <m/>
    <x v="142"/>
    <x v="144"/>
    <m/>
    <x v="0"/>
    <s v="漏保插头"/>
    <n v="3000000"/>
    <s v="批量"/>
    <m/>
    <s v="M54123"/>
    <m/>
    <n v="0.17"/>
    <n v="306000"/>
    <m/>
    <n v="1800000"/>
    <n v="0"/>
    <n v="0"/>
    <n v="200000"/>
    <n v="200000"/>
    <n v="300000"/>
    <n v="100000"/>
    <n v="100000"/>
    <n v="100000"/>
    <n v="200000"/>
    <n v="300000"/>
    <n v="400000"/>
    <n v="6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51000"/>
    <n v="17000"/>
    <n v="17000"/>
    <n v="17000"/>
    <n v="34000"/>
    <n v="51000"/>
    <n v="68000"/>
    <n v="102000"/>
  </r>
  <r>
    <n v="418"/>
    <s v="深圳鑫宝电器科技有限公司"/>
    <x v="0"/>
    <s v="上海养盈电子科技有限公司"/>
    <s v="Tom"/>
    <m/>
    <x v="144"/>
    <x v="146"/>
    <m/>
    <x v="0"/>
    <s v="散热风扇"/>
    <n v="5000000"/>
    <s v="批量"/>
    <m/>
    <s v="N/A"/>
    <m/>
    <n v="0.13"/>
    <n v="390000"/>
    <m/>
    <n v="3000000"/>
    <n v="0"/>
    <n v="200000"/>
    <n v="400000"/>
    <n v="600000"/>
    <n v="400000"/>
    <n v="400000"/>
    <n v="200000"/>
    <n v="400000"/>
    <n v="600000"/>
    <n v="200000"/>
    <n v="400000"/>
    <n v="800000"/>
    <n v="0"/>
    <n v="0"/>
    <n v="0"/>
    <n v="0"/>
    <n v="0"/>
    <n v="0"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52000"/>
    <n v="52000"/>
    <n v="26000"/>
    <n v="52000"/>
    <n v="78000"/>
    <n v="26000"/>
    <n v="52000"/>
    <n v="104000"/>
  </r>
  <r>
    <n v="419"/>
    <s v="深圳鑫宝电器科技有限公司"/>
    <x v="0"/>
    <s v="上海养盈电子科技有限公司"/>
    <s v="Tom"/>
    <m/>
    <x v="11"/>
    <x v="11"/>
    <m/>
    <x v="0"/>
    <s v="其他无刷电机"/>
    <n v="3500000"/>
    <s v="批量"/>
    <m/>
    <s v="N/A"/>
    <m/>
    <n v="0.13"/>
    <n v="358800"/>
    <m/>
    <n v="2760000"/>
    <n v="0"/>
    <n v="240000"/>
    <n v="480000"/>
    <n v="240000"/>
    <n v="240000"/>
    <n v="240000"/>
    <n v="480000"/>
    <n v="600000"/>
    <n v="480000"/>
    <n v="240000"/>
    <n v="240000"/>
    <n v="480000"/>
    <m/>
    <m/>
    <m/>
    <n v="0"/>
    <m/>
    <m/>
    <n v="0"/>
    <m/>
    <m/>
    <m/>
    <m/>
    <m/>
    <s v="Tom"/>
    <x v="2"/>
    <s v="磁性位置传感器"/>
    <s v="工业和机器人"/>
    <s v="电动工具"/>
    <s v="电动工具电机电控"/>
    <m/>
    <m/>
    <m/>
    <m/>
    <m/>
    <m/>
    <m/>
    <m/>
    <m/>
    <m/>
    <m/>
    <m/>
    <m/>
    <n v="31200"/>
    <n v="31200"/>
    <n v="62400"/>
    <n v="78000"/>
    <n v="62400"/>
    <n v="31200"/>
    <n v="31200"/>
    <n v="62400"/>
  </r>
  <r>
    <n v="420"/>
    <s v="深圳鑫宝电器科技有限公司"/>
    <x v="0"/>
    <s v="上海养盈电子科技有限公司"/>
    <s v="Tom"/>
    <m/>
    <x v="13"/>
    <x v="155"/>
    <n v="177"/>
    <x v="0"/>
    <s v="其他无刷电机"/>
    <n v="3200000"/>
    <s v="批量"/>
    <m/>
    <s v="N/A"/>
    <m/>
    <n v="0.13"/>
    <n v="234000"/>
    <m/>
    <n v="1800000"/>
    <n v="0"/>
    <n v="0"/>
    <n v="0"/>
    <n v="400000"/>
    <n v="0"/>
    <n v="400000"/>
    <n v="0"/>
    <n v="400000"/>
    <n v="0"/>
    <n v="600000"/>
    <n v="0"/>
    <n v="400000"/>
    <n v="0"/>
    <n v="0"/>
    <m/>
    <m/>
    <n v="0"/>
    <n v="0"/>
    <n v="0"/>
    <m/>
    <m/>
    <m/>
    <m/>
    <m/>
    <s v="Tom"/>
    <x v="2"/>
    <s v="磁性位置传感器"/>
    <s v="工业和机器人"/>
    <s v="电动工具"/>
    <s v="电动工具电机电控"/>
    <m/>
    <m/>
    <m/>
    <m/>
    <m/>
    <m/>
    <m/>
    <m/>
    <m/>
    <m/>
    <m/>
    <m/>
    <m/>
    <n v="0"/>
    <n v="52000"/>
    <n v="0"/>
    <n v="52000"/>
    <n v="0"/>
    <n v="78000"/>
    <n v="0"/>
    <n v="52000"/>
  </r>
  <r>
    <n v="421"/>
    <s v="深圳鑫宝电器科技有限公司"/>
    <x v="0"/>
    <s v="上海养盈电子科技有限公司"/>
    <s v="Tom"/>
    <m/>
    <x v="24"/>
    <x v="26"/>
    <m/>
    <x v="6"/>
    <s v="豆浆机/料理机电机"/>
    <n v="150000"/>
    <s v="批量"/>
    <m/>
    <s v="N/A"/>
    <m/>
    <n v="0.11"/>
    <n v="8910"/>
    <m/>
    <n v="81000"/>
    <n v="0"/>
    <n v="0"/>
    <n v="30000"/>
    <n v="30000"/>
    <n v="0"/>
    <n v="30000"/>
    <n v="0"/>
    <n v="12000"/>
    <n v="0"/>
    <n v="18000"/>
    <n v="0"/>
    <n v="21000"/>
    <n v="0"/>
    <n v="0"/>
    <n v="0"/>
    <n v="0"/>
    <n v="0"/>
    <n v="0"/>
    <n v="0"/>
    <m/>
    <m/>
    <m/>
    <m/>
    <m/>
    <s v="Tom"/>
    <x v="2"/>
    <s v="磁性位置传感器"/>
    <s v="智能家居"/>
    <s v="小型家电"/>
    <s v="豆浆机/咖啡机"/>
    <m/>
    <m/>
    <m/>
    <m/>
    <m/>
    <m/>
    <m/>
    <m/>
    <m/>
    <m/>
    <m/>
    <m/>
    <m/>
    <n v="0"/>
    <n v="3300"/>
    <n v="0"/>
    <n v="1320"/>
    <n v="0"/>
    <n v="1980"/>
    <n v="0"/>
    <n v="2310"/>
  </r>
  <r>
    <n v="422"/>
    <s v="深圳市粤科源兴科技有限公司"/>
    <x v="0"/>
    <s v="上海养盈电子科技有限公司"/>
    <s v="Tom"/>
    <m/>
    <x v="36"/>
    <x v="156"/>
    <s v="17CA"/>
    <x v="0"/>
    <s v="凸轮轴传感器"/>
    <n v="2000000"/>
    <s v="批量"/>
    <m/>
    <s v="N/A"/>
    <m/>
    <n v="0.8"/>
    <n v="1120000"/>
    <m/>
    <n v="1400000"/>
    <n v="0"/>
    <n v="0"/>
    <n v="100000"/>
    <n v="200000"/>
    <n v="200000"/>
    <n v="200000"/>
    <n v="200000"/>
    <n v="200000"/>
    <n v="200000"/>
    <n v="200000"/>
    <n v="200000"/>
    <n v="200000"/>
    <n v="0"/>
    <n v="0"/>
    <n v="0"/>
    <m/>
    <m/>
    <n v="0"/>
    <n v="0"/>
    <m/>
    <m/>
    <m/>
    <m/>
    <m/>
    <s v="Tom"/>
    <x v="2"/>
    <s v="速度传感器"/>
    <s v="汽车电子"/>
    <s v="动力总成"/>
    <s v="发动机"/>
    <m/>
    <m/>
    <m/>
    <m/>
    <m/>
    <m/>
    <m/>
    <m/>
    <m/>
    <m/>
    <m/>
    <m/>
    <m/>
    <n v="160000"/>
    <n v="160000"/>
    <n v="160000"/>
    <n v="160000"/>
    <n v="160000"/>
    <n v="160000"/>
    <n v="160000"/>
    <n v="160000"/>
  </r>
  <r>
    <n v="423"/>
    <s v="深圳市航嘉驰源电气股份有限公司"/>
    <x v="2"/>
    <s v="深圳市亚世欧实业有限公司"/>
    <s v="Tom"/>
    <m/>
    <x v="64"/>
    <x v="67"/>
    <m/>
    <x v="0"/>
    <s v="H项目"/>
    <m/>
    <s v="批量"/>
    <m/>
    <s v="N/A"/>
    <m/>
    <n v="0.33"/>
    <n v="1782000"/>
    <m/>
    <n v="5400000"/>
    <n v="400000"/>
    <n v="700000"/>
    <n v="700000"/>
    <n v="700000"/>
    <n v="700000"/>
    <n v="700000"/>
    <n v="600000"/>
    <n v="600000"/>
    <n v="600000"/>
    <n v="700000"/>
    <n v="1000000"/>
    <n v="1200000"/>
    <m/>
    <m/>
    <m/>
    <m/>
    <m/>
    <m/>
    <n v="0"/>
    <m/>
    <m/>
    <m/>
    <m/>
    <m/>
    <s v="Harry"/>
    <x v="2"/>
    <s v="磁性位置传感器"/>
    <s v="工业和机器人"/>
    <s v="工业电机"/>
    <s v="工业电机电控"/>
    <s v="散热风扇"/>
    <m/>
    <m/>
    <m/>
    <m/>
    <m/>
    <m/>
    <m/>
    <m/>
    <m/>
    <m/>
    <m/>
    <m/>
    <n v="231000"/>
    <n v="231000"/>
    <n v="198000"/>
    <n v="198000"/>
    <n v="198000"/>
    <n v="231000"/>
    <n v="330000"/>
    <n v="396000"/>
  </r>
  <r>
    <n v="424"/>
    <s v="鹏芯-SD276"/>
    <x v="0"/>
    <s v="绍兴鹏芯电子科技有限公司"/>
    <s v="Tom"/>
    <m/>
    <x v="149"/>
    <x v="157"/>
    <m/>
    <x v="0"/>
    <s v="散热风扇"/>
    <m/>
    <s v="批量"/>
    <m/>
    <m/>
    <m/>
    <n v="0.06"/>
    <n v="561600"/>
    <m/>
    <n v="9360000"/>
    <n v="1680000"/>
    <n v="840000"/>
    <n v="0"/>
    <n v="0"/>
    <n v="1680000"/>
    <n v="1680000"/>
    <n v="840000"/>
    <n v="840000"/>
    <n v="2400000"/>
    <n v="1680000"/>
    <n v="1680000"/>
    <n v="240000"/>
    <m/>
    <m/>
    <n v="0"/>
    <n v="0"/>
    <m/>
    <n v="0"/>
    <n v="48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100800"/>
    <n v="100800"/>
    <n v="50400"/>
    <n v="50400"/>
    <n v="144000"/>
    <n v="100800"/>
    <n v="100800"/>
    <n v="14400"/>
  </r>
  <r>
    <n v="425"/>
    <s v="鹏芯-SC2063"/>
    <x v="0"/>
    <s v="绍兴鹏芯电子科技有限公司"/>
    <s v="Tom"/>
    <m/>
    <x v="150"/>
    <x v="158"/>
    <m/>
    <x v="0"/>
    <s v="电源开关"/>
    <m/>
    <s v="批量"/>
    <m/>
    <m/>
    <m/>
    <n v="0.06"/>
    <n v="360000"/>
    <m/>
    <n v="6000000"/>
    <n v="0"/>
    <n v="0"/>
    <n v="2000000"/>
    <n v="2000000"/>
    <n v="2000000"/>
    <n v="2000000"/>
    <n v="0"/>
    <n v="0"/>
    <n v="2000000"/>
    <n v="0"/>
    <n v="0"/>
    <n v="2000000"/>
    <m/>
    <n v="0"/>
    <m/>
    <m/>
    <n v="0"/>
    <n v="0"/>
    <n v="0"/>
    <m/>
    <m/>
    <m/>
    <m/>
    <m/>
    <s v="Harry"/>
    <x v="2"/>
    <s v="磁性位置传感器"/>
    <s v="智能家居"/>
    <s v="小型家电"/>
    <s v="豆浆机/咖啡机"/>
    <s v="豆浆机/咖啡机"/>
    <m/>
    <m/>
    <m/>
    <m/>
    <m/>
    <m/>
    <m/>
    <m/>
    <m/>
    <m/>
    <m/>
    <m/>
    <n v="120000"/>
    <n v="120000"/>
    <n v="0"/>
    <n v="0"/>
    <n v="120000"/>
    <n v="0"/>
    <n v="0"/>
    <n v="120000"/>
  </r>
  <r>
    <n v="426"/>
    <s v="宁波市欣新电器科技有限公司"/>
    <x v="0"/>
    <s v="上海养盈电子科技有限公司"/>
    <s v="Tom"/>
    <m/>
    <x v="15"/>
    <x v="17"/>
    <m/>
    <x v="0"/>
    <s v="天窗电机"/>
    <n v="2000000"/>
    <s v="小批量"/>
    <m/>
    <m/>
    <m/>
    <n v="0.38"/>
    <n v="478800"/>
    <m/>
    <n v="1260000"/>
    <n v="200000"/>
    <n v="120000"/>
    <n v="240000"/>
    <n v="120000"/>
    <n v="120000"/>
    <n v="120000"/>
    <n v="120000"/>
    <n v="120000"/>
    <n v="180000"/>
    <n v="240000"/>
    <n v="240000"/>
    <n v="240000"/>
    <n v="0"/>
    <n v="0"/>
    <n v="0"/>
    <n v="0"/>
    <n v="0"/>
    <n v="0"/>
    <n v="0"/>
    <m/>
    <m/>
    <m/>
    <m/>
    <m/>
    <s v="Tom"/>
    <x v="2"/>
    <s v="磁性位置传感器"/>
    <s v="汽车电子"/>
    <s v="车身电子"/>
    <s v="天窗系统"/>
    <s v="天窗电机"/>
    <m/>
    <m/>
    <m/>
    <m/>
    <m/>
    <m/>
    <m/>
    <m/>
    <m/>
    <m/>
    <m/>
    <m/>
    <n v="45600"/>
    <n v="45600"/>
    <n v="45600"/>
    <n v="45600"/>
    <n v="68400"/>
    <n v="91200"/>
    <n v="91200"/>
    <n v="91200"/>
  </r>
  <r>
    <n v="427"/>
    <s v="宁波市北仑拓立模具技术有限公司"/>
    <x v="0"/>
    <s v="上海养盈电子科技有限公司"/>
    <s v="Tom"/>
    <m/>
    <x v="151"/>
    <x v="159"/>
    <m/>
    <x v="0"/>
    <m/>
    <m/>
    <s v="批量"/>
    <m/>
    <m/>
    <m/>
    <n v="5.3"/>
    <n v="424000"/>
    <m/>
    <n v="80000"/>
    <n v="10000"/>
    <n v="5000"/>
    <n v="10000"/>
    <n v="10000"/>
    <n v="10000"/>
    <n v="10000"/>
    <n v="20000"/>
    <n v="10000"/>
    <n v="10000"/>
    <n v="10000"/>
    <n v="10000"/>
    <n v="10000"/>
    <m/>
    <n v="0"/>
    <m/>
    <n v="0"/>
    <m/>
    <m/>
    <n v="0"/>
    <m/>
    <m/>
    <m/>
    <m/>
    <m/>
    <s v="Tom"/>
    <x v="2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8"/>
    <s v="宁波北仑拓立摸具技术有限公司"/>
    <x v="0"/>
    <s v="上海养盈电子科技有限公司"/>
    <s v="Tom"/>
    <m/>
    <x v="34"/>
    <x v="37"/>
    <m/>
    <x v="0"/>
    <m/>
    <m/>
    <s v="小批量"/>
    <m/>
    <m/>
    <m/>
    <n v="2"/>
    <n v="140000"/>
    <m/>
    <n v="70000"/>
    <n v="10000"/>
    <n v="5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2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29"/>
    <s v="宁波精成车业电机有限公司"/>
    <x v="0"/>
    <s v="上海养盈电子科技有限公司"/>
    <s v="Tom"/>
    <m/>
    <x v="152"/>
    <x v="31"/>
    <m/>
    <x v="0"/>
    <s v="车窗电机"/>
    <m/>
    <s v="评估"/>
    <s v="寻找跟进关键人"/>
    <s v="N/A"/>
    <m/>
    <n v="0.42"/>
    <n v="201600"/>
    <m/>
    <n v="480000"/>
    <n v="0"/>
    <n v="0"/>
    <n v="0"/>
    <m/>
    <n v="30000"/>
    <n v="30000"/>
    <n v="30000"/>
    <n v="60000"/>
    <n v="60000"/>
    <n v="60000"/>
    <n v="120000"/>
    <n v="120000"/>
    <m/>
    <m/>
    <m/>
    <m/>
    <m/>
    <m/>
    <m/>
    <m/>
    <m/>
    <m/>
    <m/>
    <m/>
    <s v="Tom"/>
    <x v="2"/>
    <s v="磁性位置传感器"/>
    <s v="汽车电子"/>
    <s v="车身电子"/>
    <s v="车窗系统"/>
    <s v="车窗电机"/>
    <m/>
    <m/>
    <m/>
    <m/>
    <m/>
    <m/>
    <m/>
    <m/>
    <m/>
    <m/>
    <m/>
    <m/>
    <n v="12600"/>
    <n v="12600"/>
    <n v="12600"/>
    <n v="25200"/>
    <n v="25200"/>
    <n v="25200"/>
    <n v="50400"/>
    <n v="50400"/>
  </r>
  <r>
    <n v="430"/>
    <s v="宁波恒特汽车零部件有限公司"/>
    <x v="2"/>
    <s v="上海养盈电子科技有限公司"/>
    <s v="Tom"/>
    <m/>
    <x v="15"/>
    <x v="17"/>
    <m/>
    <x v="0"/>
    <s v="天窗电机"/>
    <m/>
    <s v="批量"/>
    <s v="加强客情关系"/>
    <s v="N/A"/>
    <m/>
    <n v="0.38"/>
    <n v="1938000"/>
    <m/>
    <n v="5100000"/>
    <n v="459000"/>
    <n v="300000"/>
    <n v="600000"/>
    <n v="600000"/>
    <n v="600000"/>
    <n v="600000"/>
    <n v="600000"/>
    <n v="600000"/>
    <n v="600000"/>
    <n v="700000"/>
    <n v="1000000"/>
    <n v="1000000"/>
    <m/>
    <m/>
    <m/>
    <n v="0"/>
    <m/>
    <m/>
    <n v="0"/>
    <m/>
    <m/>
    <m/>
    <m/>
    <m/>
    <s v="Tom"/>
    <x v="2"/>
    <s v="磁性位置传感器"/>
    <s v="汽车电子"/>
    <s v="车身电子"/>
    <s v="天窗系统"/>
    <s v="天窗电机"/>
    <m/>
    <m/>
    <m/>
    <m/>
    <m/>
    <m/>
    <m/>
    <m/>
    <m/>
    <m/>
    <m/>
    <m/>
    <n v="228000"/>
    <n v="228000"/>
    <n v="228000"/>
    <n v="228000"/>
    <n v="228000"/>
    <n v="266000"/>
    <n v="380000"/>
    <n v="380000"/>
  </r>
  <r>
    <n v="431"/>
    <s v="宁波恒特汽车零部件有限公司"/>
    <x v="2"/>
    <s v="上海养盈电子科技有限公司"/>
    <s v="Tom"/>
    <m/>
    <x v="64"/>
    <x v="67"/>
    <m/>
    <x v="0"/>
    <s v="车窗电机"/>
    <m/>
    <s v="批量"/>
    <s v="加强客情关系"/>
    <s v="N/A"/>
    <m/>
    <n v="0.25"/>
    <n v="390000"/>
    <m/>
    <n v="1560000"/>
    <n v="0"/>
    <n v="200000"/>
    <n v="200000"/>
    <n v="200000"/>
    <n v="240000"/>
    <n v="240000"/>
    <n v="120000"/>
    <n v="240000"/>
    <n v="240000"/>
    <n v="240000"/>
    <n v="240000"/>
    <n v="240000"/>
    <n v="0"/>
    <n v="0"/>
    <m/>
    <m/>
    <m/>
    <n v="0"/>
    <n v="0"/>
    <m/>
    <m/>
    <m/>
    <m/>
    <m/>
    <s v="Tom"/>
    <x v="2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60000"/>
    <n v="30000"/>
    <n v="60000"/>
    <n v="60000"/>
    <n v="60000"/>
    <n v="60000"/>
    <n v="60000"/>
  </r>
  <r>
    <n v="432"/>
    <s v="宁波恒特汽车零部件有限公司"/>
    <x v="2"/>
    <s v="上海养盈电子科技有限公司"/>
    <s v="Tom"/>
    <m/>
    <x v="94"/>
    <x v="100"/>
    <m/>
    <x v="0"/>
    <s v="车窗电机"/>
    <m/>
    <s v="批量"/>
    <s v="加强客情关系"/>
    <s v="N/A"/>
    <m/>
    <n v="0.25"/>
    <n v="330000"/>
    <m/>
    <n v="1320000"/>
    <n v="6000"/>
    <n v="0"/>
    <n v="10000"/>
    <n v="0"/>
    <n v="240000"/>
    <n v="120000"/>
    <n v="120000"/>
    <n v="120000"/>
    <n v="240000"/>
    <n v="240000"/>
    <n v="240000"/>
    <n v="240000"/>
    <m/>
    <n v="0"/>
    <n v="0"/>
    <m/>
    <n v="0"/>
    <n v="0"/>
    <n v="0"/>
    <m/>
    <m/>
    <m/>
    <m/>
    <m/>
    <s v="Tom"/>
    <x v="2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30000"/>
    <n v="30000"/>
    <n v="30000"/>
    <n v="60000"/>
    <n v="60000"/>
    <n v="60000"/>
    <n v="60000"/>
  </r>
  <r>
    <n v="433"/>
    <s v="宁波恒帅股份有限公司"/>
    <x v="2"/>
    <s v="上海养盈电子科技有限公司"/>
    <s v="Tom"/>
    <m/>
    <x v="6"/>
    <x v="6"/>
    <m/>
    <x v="0"/>
    <s v="尾门电机"/>
    <m/>
    <s v="送样"/>
    <s v="跟进样品测试"/>
    <s v="A1220/1210"/>
    <m/>
    <n v="0.42"/>
    <n v="100800"/>
    <m/>
    <n v="240000"/>
    <n v="21000"/>
    <n v="0"/>
    <n v="21000"/>
    <n v="0"/>
    <n v="0"/>
    <n v="0"/>
    <n v="60000"/>
    <n v="0"/>
    <n v="60000"/>
    <n v="0"/>
    <n v="0"/>
    <n v="120000"/>
    <n v="0"/>
    <n v="0"/>
    <n v="0"/>
    <n v="0"/>
    <n v="0"/>
    <n v="0"/>
    <n v="0"/>
    <m/>
    <m/>
    <m/>
    <m/>
    <m/>
    <s v="Tom"/>
    <x v="2"/>
    <s v="磁性位置传感器"/>
    <s v="汽车电子"/>
    <s v="车身电子"/>
    <s v="尾门系统"/>
    <s v="尾门电机"/>
    <m/>
    <m/>
    <m/>
    <m/>
    <m/>
    <m/>
    <m/>
    <m/>
    <m/>
    <m/>
    <m/>
    <m/>
    <n v="0"/>
    <n v="0"/>
    <n v="25200"/>
    <n v="0"/>
    <n v="25200"/>
    <n v="0"/>
    <n v="0"/>
    <n v="50400"/>
  </r>
  <r>
    <n v="434"/>
    <s v="惠州市卓邦电子有限公司"/>
    <x v="0"/>
    <s v="深圳市亚世欧实业有限公司"/>
    <s v="Tom"/>
    <m/>
    <x v="145"/>
    <x v="153"/>
    <m/>
    <x v="0"/>
    <s v="散热风扇"/>
    <m/>
    <s v="批量"/>
    <m/>
    <s v="SDC211"/>
    <m/>
    <n v="0.14"/>
    <n v="322000"/>
    <m/>
    <n v="2300000"/>
    <n v="0"/>
    <n v="0"/>
    <n v="0"/>
    <n v="0"/>
    <n v="300000"/>
    <n v="400000"/>
    <n v="200000"/>
    <n v="200000"/>
    <n v="400000"/>
    <n v="300000"/>
    <n v="400000"/>
    <n v="400000"/>
    <m/>
    <n v="0"/>
    <m/>
    <n v="0"/>
    <n v="0"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42000"/>
    <n v="56000"/>
    <n v="28000"/>
    <n v="28000"/>
    <n v="56000"/>
    <n v="42000"/>
    <n v="56000"/>
    <n v="56000"/>
  </r>
  <r>
    <n v="435"/>
    <s v="杭州小飞电器科技有限公司"/>
    <x v="0"/>
    <s v="上海养盈电子科技有限公司"/>
    <s v="Tom"/>
    <m/>
    <x v="153"/>
    <x v="160"/>
    <s v="44E"/>
    <x v="0"/>
    <s v="其他无刷电机"/>
    <n v="2800000"/>
    <s v="批量"/>
    <m/>
    <s v="N/A"/>
    <m/>
    <n v="0.14"/>
    <n v="252000"/>
    <m/>
    <n v="1800000"/>
    <n v="0"/>
    <n v="600000"/>
    <n v="0"/>
    <n v="0"/>
    <n v="600000"/>
    <n v="0"/>
    <n v="600000"/>
    <n v="0"/>
    <n v="600000"/>
    <n v="0"/>
    <n v="0"/>
    <n v="600000"/>
    <n v="0"/>
    <m/>
    <m/>
    <n v="0"/>
    <n v="0"/>
    <m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84000"/>
    <n v="0"/>
    <n v="84000"/>
    <n v="0"/>
    <n v="84000"/>
    <n v="0"/>
    <n v="0"/>
    <n v="84000"/>
  </r>
  <r>
    <n v="436"/>
    <s v="无锡迪士科技"/>
    <x v="0"/>
    <s v="上海养盈电子科技有限公司"/>
    <s v="Tom"/>
    <m/>
    <x v="107"/>
    <x v="123"/>
    <m/>
    <x v="0"/>
    <s v="防爆开关"/>
    <m/>
    <s v="送样"/>
    <m/>
    <m/>
    <m/>
    <n v="0.16"/>
    <n v="268800"/>
    <m/>
    <n v="1680000"/>
    <n v="0"/>
    <n v="0"/>
    <n v="0"/>
    <n v="0"/>
    <n v="240000"/>
    <n v="240000"/>
    <n v="240000"/>
    <n v="240000"/>
    <n v="240000"/>
    <n v="240000"/>
    <n v="240000"/>
    <n v="240000"/>
    <n v="0"/>
    <n v="0"/>
    <n v="0"/>
    <n v="0"/>
    <n v="0"/>
    <n v="0"/>
    <n v="0"/>
    <m/>
    <m/>
    <m/>
    <m/>
    <m/>
    <s v="Harry"/>
    <x v="2"/>
    <s v="磁性位置传感器"/>
    <s v="工业和机器人"/>
    <s v="工业其他"/>
    <s v="其他"/>
    <s v="其他"/>
    <m/>
    <m/>
    <m/>
    <m/>
    <m/>
    <m/>
    <m/>
    <m/>
    <m/>
    <m/>
    <m/>
    <m/>
    <n v="38400"/>
    <n v="38400"/>
    <n v="38400"/>
    <n v="38400"/>
    <n v="38400"/>
    <n v="38400"/>
    <n v="38400"/>
    <n v="38400"/>
  </r>
  <r>
    <n v="437"/>
    <s v="东莞市巨搏悦科技有限公司"/>
    <x v="0"/>
    <s v="深圳市亚世欧实业有限公司"/>
    <s v="Tom"/>
    <m/>
    <x v="13"/>
    <x v="13"/>
    <m/>
    <x v="0"/>
    <s v="散热风扇"/>
    <m/>
    <s v="批量"/>
    <m/>
    <s v="N/A"/>
    <m/>
    <n v="0.15"/>
    <n v="420000"/>
    <m/>
    <n v="2800000"/>
    <n v="300000"/>
    <n v="400000"/>
    <n v="400000"/>
    <n v="400000"/>
    <n v="400000"/>
    <n v="400000"/>
    <n v="400000"/>
    <n v="400000"/>
    <n v="400000"/>
    <n v="400000"/>
    <n v="400000"/>
    <n v="400000"/>
    <m/>
    <n v="0"/>
    <n v="0"/>
    <n v="0"/>
    <n v="0"/>
    <n v="0"/>
    <n v="0"/>
    <m/>
    <m/>
    <m/>
    <m/>
    <m/>
    <s v="Tom"/>
    <x v="2"/>
    <s v="磁性位置传感器"/>
    <s v="工业和机器人"/>
    <s v="电动工具"/>
    <s v="电机电控"/>
    <s v="电机"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438"/>
    <s v="宁波明芯智能科技有限公司"/>
    <x v="0"/>
    <s v="上海养盈电子科技有限公司"/>
    <s v="Tom"/>
    <m/>
    <x v="8"/>
    <x v="8"/>
    <m/>
    <x v="0"/>
    <s v="其他电机电机控制板"/>
    <n v="1000000"/>
    <s v="送样"/>
    <m/>
    <m/>
    <m/>
    <n v="0.55"/>
    <n v="140800"/>
    <m/>
    <n v="256000"/>
    <m/>
    <n v="3000"/>
    <n v="3000"/>
    <n v="10000"/>
    <n v="10000"/>
    <n v="12000"/>
    <n v="12000"/>
    <n v="12000"/>
    <n v="20000"/>
    <n v="20000"/>
    <n v="60000"/>
    <n v="120000"/>
    <m/>
    <m/>
    <m/>
    <m/>
    <m/>
    <m/>
    <m/>
    <m/>
    <m/>
    <m/>
    <m/>
    <m/>
    <s v="Harry"/>
    <x v="2"/>
    <s v="电机驱动"/>
    <s v="新能源"/>
    <s v="太阳能"/>
    <s v="逆变器"/>
    <s v="逆变器电流传感器"/>
    <m/>
    <m/>
    <m/>
    <m/>
    <m/>
    <m/>
    <m/>
    <m/>
    <m/>
    <m/>
    <m/>
    <m/>
    <n v="5500"/>
    <n v="6600"/>
    <n v="6600"/>
    <n v="6600"/>
    <n v="11000"/>
    <n v="11000"/>
    <n v="33000"/>
    <n v="66000"/>
  </r>
  <r>
    <n v="439"/>
    <s v="宁波瀚朗智能驱动科技股份有限公司"/>
    <x v="0"/>
    <s v="上海养盈电子科技有限公司"/>
    <s v="Tom"/>
    <m/>
    <x v="8"/>
    <x v="8"/>
    <m/>
    <x v="0"/>
    <s v="其他无刷电机"/>
    <n v="1000000"/>
    <s v="评估"/>
    <m/>
    <m/>
    <m/>
    <n v="0.53"/>
    <n v="0"/>
    <m/>
    <n v="0"/>
    <m/>
    <m/>
    <m/>
    <m/>
    <m/>
    <m/>
    <m/>
    <m/>
    <m/>
    <m/>
    <m/>
    <m/>
    <m/>
    <m/>
    <m/>
    <m/>
    <m/>
    <m/>
    <m/>
    <m/>
    <m/>
    <m/>
    <m/>
    <m/>
    <s v="Harry"/>
    <x v="2"/>
    <s v="电机驱动"/>
    <s v="工业和机器人"/>
    <s v="工业电机"/>
    <s v="电机电控"/>
    <s v="电机"/>
    <m/>
    <m/>
    <m/>
    <m/>
    <m/>
    <m/>
    <m/>
    <m/>
    <m/>
    <m/>
    <m/>
    <m/>
    <n v="0"/>
    <n v="0"/>
    <n v="0"/>
    <n v="0"/>
    <n v="0"/>
    <n v="0"/>
    <n v="0"/>
    <n v="0"/>
  </r>
  <r>
    <n v="440"/>
    <s v="宁波晴控智能有限公司"/>
    <x v="0"/>
    <s v="上海养盈电子科技有限公司"/>
    <s v="Tom"/>
    <m/>
    <x v="32"/>
    <x v="35"/>
    <m/>
    <x v="0"/>
    <s v="其他无刷电机"/>
    <n v="150000"/>
    <s v="批量"/>
    <m/>
    <m/>
    <m/>
    <n v="2.55"/>
    <n v="204000"/>
    <m/>
    <n v="80000"/>
    <n v="5000"/>
    <n v="5000"/>
    <n v="10000"/>
    <n v="10000"/>
    <n v="10000"/>
    <n v="10000"/>
    <n v="10000"/>
    <n v="10000"/>
    <n v="10000"/>
    <n v="10000"/>
    <n v="10000"/>
    <n v="20000"/>
    <n v="0"/>
    <n v="0"/>
    <n v="0"/>
    <n v="0"/>
    <n v="0"/>
    <n v="0"/>
    <n v="0"/>
    <m/>
    <m/>
    <m/>
    <m/>
    <m/>
    <s v="Tom"/>
    <x v="2"/>
    <s v="角度传感器"/>
    <s v="消费电子"/>
    <s v="个人护理"/>
    <s v="筋膜枪"/>
    <s v="筋膜枪电机"/>
    <m/>
    <m/>
    <m/>
    <m/>
    <m/>
    <m/>
    <m/>
    <m/>
    <m/>
    <m/>
    <m/>
    <m/>
    <n v="25500"/>
    <n v="25500"/>
    <n v="25500"/>
    <n v="25500"/>
    <n v="25500"/>
    <n v="25500"/>
    <n v="25500"/>
    <n v="51000"/>
  </r>
  <r>
    <n v="441"/>
    <s v="宁波瑞利特电子科技有限公司"/>
    <x v="0"/>
    <s v="上海养盈电子科技有限公司"/>
    <s v="Tom"/>
    <m/>
    <x v="16"/>
    <x v="18"/>
    <m/>
    <x v="0"/>
    <s v="水位计"/>
    <m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2"/>
    <s v="磁性位置传感器"/>
    <s v="工业和机器人"/>
    <s v="三表"/>
    <s v="水流检测"/>
    <s v="水表"/>
    <m/>
    <m/>
    <m/>
    <m/>
    <m/>
    <m/>
    <m/>
    <m/>
    <m/>
    <m/>
    <m/>
    <m/>
    <n v="0"/>
    <n v="0"/>
    <n v="0"/>
    <n v="0"/>
    <n v="0"/>
    <n v="0"/>
    <n v="0"/>
    <n v="0"/>
  </r>
  <r>
    <n v="442"/>
    <s v="东莞市鸿飞科技有限公司"/>
    <x v="0"/>
    <s v="深圳市亚世欧实业有限公司"/>
    <s v="Tom"/>
    <m/>
    <x v="11"/>
    <x v="85"/>
    <m/>
    <x v="0"/>
    <s v="筋膜枪"/>
    <n v="1200000"/>
    <s v="批量"/>
    <m/>
    <s v="SDC177"/>
    <m/>
    <n v="0.15"/>
    <n v="126000"/>
    <m/>
    <n v="840000"/>
    <n v="120000"/>
    <n v="120000"/>
    <n v="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Harry"/>
    <x v="2"/>
    <s v="磁性位置传感器"/>
    <s v="消费电子"/>
    <s v="个人护理"/>
    <s v="筋膜枪"/>
    <s v="筋膜枪电机"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443"/>
    <s v="宁波恒特汽车零部件有限公司"/>
    <x v="2"/>
    <s v="上海养盈电子科技有限公司"/>
    <s v="Tom"/>
    <m/>
    <x v="6"/>
    <x v="6"/>
    <m/>
    <x v="0"/>
    <s v="天窗电机"/>
    <n v="50000"/>
    <s v="小批量"/>
    <m/>
    <m/>
    <m/>
    <n v="0.42"/>
    <n v="189000"/>
    <m/>
    <n v="450000"/>
    <m/>
    <n v="9000"/>
    <n v="12000"/>
    <m/>
    <n v="9000"/>
    <m/>
    <n v="30000"/>
    <n v="0"/>
    <n v="90000"/>
    <n v="90000"/>
    <n v="120000"/>
    <n v="120000"/>
    <n v="0"/>
    <n v="0"/>
    <n v="0"/>
    <n v="0"/>
    <n v="9000"/>
    <n v="0"/>
    <n v="0"/>
    <m/>
    <m/>
    <m/>
    <m/>
    <m/>
    <s v="Tom"/>
    <x v="2"/>
    <s v="磁性位置传感器"/>
    <s v="汽车电子"/>
    <s v="车身电子"/>
    <s v="天窗系统"/>
    <s v="天窗电机"/>
    <s v="长安"/>
    <m/>
    <m/>
    <m/>
    <m/>
    <m/>
    <m/>
    <m/>
    <m/>
    <m/>
    <m/>
    <m/>
    <n v="3780"/>
    <n v="0"/>
    <n v="12600"/>
    <n v="0"/>
    <n v="37800"/>
    <n v="37800"/>
    <n v="50400"/>
    <n v="50400"/>
  </r>
  <r>
    <n v="444"/>
    <s v="养盈-2462SO"/>
    <x v="0"/>
    <s v="上海养盈电子科技有限公司"/>
    <s v="Tom"/>
    <m/>
    <x v="17"/>
    <x v="19"/>
    <m/>
    <x v="0"/>
    <s v="其他电机控制板"/>
    <n v="2000000"/>
    <s v="批量"/>
    <m/>
    <m/>
    <m/>
    <n v="0.28"/>
    <n v="235200"/>
    <m/>
    <n v="840000"/>
    <n v="120000"/>
    <n v="120000"/>
    <n v="12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Tom"/>
    <x v="2"/>
    <s v="磁性位置传感器"/>
    <s v="工业和机器人"/>
    <s v="工业其他"/>
    <s v="其他"/>
    <s v="其他"/>
    <m/>
    <m/>
    <m/>
    <m/>
    <m/>
    <m/>
    <m/>
    <m/>
    <m/>
    <m/>
    <m/>
    <m/>
    <n v="33600"/>
    <n v="33600"/>
    <n v="33600"/>
    <n v="33600"/>
    <n v="33600"/>
    <n v="33600"/>
    <n v="33600"/>
    <n v="33600"/>
  </r>
  <r>
    <n v="445"/>
    <s v="宁波铭瑞传感器有限公司"/>
    <x v="0"/>
    <s v="上海养盈电子科技有限公司"/>
    <s v="Tom"/>
    <m/>
    <x v="17"/>
    <x v="19"/>
    <m/>
    <x v="0"/>
    <s v="其他电机控制板"/>
    <n v="900000"/>
    <s v="小批量"/>
    <m/>
    <m/>
    <m/>
    <n v="0.28"/>
    <n v="58800"/>
    <m/>
    <n v="210000"/>
    <n v="12000"/>
    <m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Tom"/>
    <x v="2"/>
    <s v="磁性位置传感器"/>
    <s v="工业和机器人"/>
    <s v="工业其他"/>
    <s v="工业接近开关"/>
    <s v="接近开关"/>
    <m/>
    <m/>
    <m/>
    <m/>
    <m/>
    <m/>
    <m/>
    <m/>
    <m/>
    <m/>
    <m/>
    <m/>
    <n v="8400"/>
    <n v="8400"/>
    <n v="8400"/>
    <n v="8400"/>
    <n v="8400"/>
    <n v="8400"/>
    <n v="8400"/>
    <n v="8400"/>
  </r>
  <r>
    <n v="446"/>
    <s v="养盈-2402UA-U18-BK"/>
    <x v="0"/>
    <s v="上海养盈电子科技有限公司"/>
    <s v="Tom"/>
    <m/>
    <x v="13"/>
    <x v="130"/>
    <s v="U18"/>
    <x v="0"/>
    <s v="手柄摇杆"/>
    <m/>
    <s v="评估"/>
    <m/>
    <m/>
    <m/>
    <n v="0.13"/>
    <n v="260000"/>
    <m/>
    <n v="2000000"/>
    <n v="1000000"/>
    <m/>
    <n v="1000000"/>
    <m/>
    <n v="1000000"/>
    <m/>
    <m/>
    <n v="1000000"/>
    <m/>
    <m/>
    <n v="1000000"/>
    <m/>
    <m/>
    <m/>
    <m/>
    <m/>
    <m/>
    <m/>
    <m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130000"/>
    <n v="0"/>
    <n v="0"/>
    <n v="130000"/>
    <n v="0"/>
    <n v="0"/>
    <n v="130000"/>
    <n v="0"/>
  </r>
  <r>
    <n v="447"/>
    <s v="玉环普天单向器科技有限公司"/>
    <x v="0"/>
    <s v="上海养盈电子科技有限公司"/>
    <s v="Tom"/>
    <m/>
    <x v="64"/>
    <x v="67"/>
    <m/>
    <x v="0"/>
    <s v="尾门电机"/>
    <m/>
    <s v="小批量"/>
    <s v="跟踪客户产线调试"/>
    <m/>
    <m/>
    <n v="0.25"/>
    <n v="57750"/>
    <m/>
    <n v="231000"/>
    <m/>
    <m/>
    <n v="51000"/>
    <m/>
    <n v="51000"/>
    <m/>
    <n v="51000"/>
    <m/>
    <m/>
    <n v="60000"/>
    <n v="60000"/>
    <n v="60000"/>
    <m/>
    <m/>
    <m/>
    <m/>
    <m/>
    <m/>
    <m/>
    <m/>
    <m/>
    <m/>
    <m/>
    <m/>
    <s v="Tom"/>
    <x v="2"/>
    <s v="磁性位置传感器"/>
    <s v="汽车电子"/>
    <s v="车身电子"/>
    <s v="尾门系统"/>
    <s v="尾门电机"/>
    <m/>
    <m/>
    <m/>
    <m/>
    <m/>
    <m/>
    <m/>
    <m/>
    <m/>
    <m/>
    <m/>
    <m/>
    <n v="12750"/>
    <n v="0"/>
    <n v="12750"/>
    <n v="0"/>
    <n v="0"/>
    <n v="15000"/>
    <n v="15000"/>
    <n v="15000"/>
  </r>
  <r>
    <n v="448"/>
    <s v="宁波纳福电子"/>
    <x v="0"/>
    <s v="上海养盈电子科技有限公司"/>
    <s v="Tom"/>
    <m/>
    <x v="6"/>
    <x v="6"/>
    <m/>
    <x v="0"/>
    <s v="尾门电机"/>
    <n v="300000"/>
    <s v="小批量"/>
    <m/>
    <m/>
    <m/>
    <n v="0.42"/>
    <n v="239400"/>
    <m/>
    <n v="570000"/>
    <n v="9000"/>
    <m/>
    <n v="12000"/>
    <n v="60000"/>
    <n v="60000"/>
    <n v="60000"/>
    <n v="60000"/>
    <n v="90000"/>
    <n v="90000"/>
    <n v="60000"/>
    <n v="90000"/>
    <n v="120000"/>
    <m/>
    <m/>
    <m/>
    <m/>
    <m/>
    <m/>
    <m/>
    <m/>
    <m/>
    <m/>
    <m/>
    <m/>
    <s v="Pedro"/>
    <x v="2"/>
    <s v="磁性位置传感器"/>
    <s v="工业和机器人"/>
    <s v="工业电机"/>
    <s v="工业电机电控"/>
    <s v="纺织电机"/>
    <m/>
    <m/>
    <m/>
    <m/>
    <m/>
    <m/>
    <m/>
    <m/>
    <m/>
    <m/>
    <m/>
    <m/>
    <n v="25200"/>
    <n v="25200"/>
    <n v="25200"/>
    <n v="37800"/>
    <n v="37800"/>
    <n v="25200"/>
    <n v="37800"/>
    <n v="50400"/>
  </r>
  <r>
    <n v="449"/>
    <s v="深圳霍芯电子科技有限公司"/>
    <x v="0"/>
    <s v="上海养盈电子科技有限公司"/>
    <s v="Tom"/>
    <m/>
    <x v="29"/>
    <x v="32"/>
    <m/>
    <x v="0"/>
    <m/>
    <m/>
    <m/>
    <m/>
    <m/>
    <m/>
    <n v="0.14"/>
    <n v="193200"/>
    <m/>
    <n v="1380000"/>
    <m/>
    <m/>
    <m/>
    <m/>
    <m/>
    <m/>
    <n v="690000"/>
    <m/>
    <m/>
    <n v="690000"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96600"/>
    <n v="0"/>
    <n v="0"/>
    <n v="96600"/>
    <n v="0"/>
    <n v="0"/>
  </r>
  <r>
    <n v="450"/>
    <s v="嘉兴礼海电气科技有限公司"/>
    <x v="0"/>
    <s v="上海养盈电子科技有限公司"/>
    <s v="Tom"/>
    <m/>
    <x v="154"/>
    <x v="31"/>
    <m/>
    <x v="0"/>
    <s v="其他无刷电机"/>
    <m/>
    <s v="评估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1"/>
    <s v="嘉兴礼海电气科技有限公司"/>
    <x v="0"/>
    <s v="上海养盈电子科技有限公司"/>
    <s v="Tom"/>
    <m/>
    <x v="154"/>
    <x v="31"/>
    <m/>
    <x v="0"/>
    <s v="其他电机电机控制板"/>
    <m/>
    <s v="评估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2"/>
    <s v="深圳旭意达"/>
    <x v="1"/>
    <s v="上海养盈电子科技有限公司"/>
    <s v="Tom"/>
    <m/>
    <x v="11"/>
    <x v="11"/>
    <m/>
    <x v="0"/>
    <m/>
    <m/>
    <m/>
    <m/>
    <m/>
    <m/>
    <n v="0.13"/>
    <n v="2730000"/>
    <m/>
    <n v="21000000"/>
    <m/>
    <m/>
    <m/>
    <m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390000"/>
    <n v="390000"/>
    <n v="390000"/>
    <n v="390000"/>
    <n v="390000"/>
    <n v="390000"/>
    <n v="390000"/>
    <n v="390000"/>
  </r>
  <r>
    <n v="453"/>
    <s v="宁波铭瑞传感器有限公司"/>
    <x v="0"/>
    <s v="上海养盈电子科技有限公司"/>
    <s v="Tom"/>
    <m/>
    <x v="117"/>
    <x v="115"/>
    <m/>
    <x v="0"/>
    <s v="水流量传感器"/>
    <m/>
    <s v="送样"/>
    <m/>
    <m/>
    <m/>
    <n v="0.38"/>
    <n v="57000"/>
    <m/>
    <n v="150000"/>
    <m/>
    <m/>
    <n v="10000"/>
    <m/>
    <n v="10000"/>
    <m/>
    <m/>
    <n v="30000"/>
    <m/>
    <m/>
    <n v="60000"/>
    <n v="60000"/>
    <m/>
    <m/>
    <m/>
    <m/>
    <m/>
    <m/>
    <m/>
    <m/>
    <m/>
    <m/>
    <m/>
    <m/>
    <s v="Tom"/>
    <x v="2"/>
    <s v="磁性位置传感器"/>
    <s v="智能家居"/>
    <s v="大型家电"/>
    <s v="大型家电其他"/>
    <s v="热水器"/>
    <m/>
    <m/>
    <m/>
    <m/>
    <m/>
    <m/>
    <m/>
    <m/>
    <m/>
    <m/>
    <m/>
    <m/>
    <n v="3800"/>
    <n v="0"/>
    <n v="0"/>
    <n v="11400"/>
    <n v="0"/>
    <n v="0"/>
    <n v="22800"/>
    <n v="22800"/>
  </r>
  <r>
    <n v="454"/>
    <s v="芜湖莫森泰克汽车科技股份有限公司"/>
    <x v="2"/>
    <s v="合肥贝森特电子科技有限公司"/>
    <s v="Pedro"/>
    <s v="徐彬"/>
    <x v="7"/>
    <x v="7"/>
    <m/>
    <x v="0"/>
    <s v="天窗"/>
    <n v="2400000"/>
    <s v="批量"/>
    <s v="250228：及时确认客户交货情况"/>
    <s v="MLX92212LSE-AAA-000-R"/>
    <m/>
    <n v="0.369"/>
    <n v="472689"/>
    <n v="0"/>
    <n v="1281000"/>
    <n v="200000"/>
    <n v="200000"/>
    <n v="200000"/>
    <n v="201000"/>
    <n v="201000"/>
    <n v="201000"/>
    <n v="180000"/>
    <n v="180000"/>
    <n v="180000"/>
    <n v="180000"/>
    <n v="180000"/>
    <n v="18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天窗总成"/>
    <s v="天窗电机控制器"/>
    <s v="奇瑞"/>
    <m/>
    <m/>
    <n v="3"/>
    <m/>
    <m/>
    <m/>
    <m/>
    <m/>
    <m/>
    <m/>
    <m/>
    <n v="74169"/>
    <n v="74169"/>
    <n v="66420"/>
    <n v="66420"/>
    <n v="66420"/>
    <n v="66420"/>
    <n v="66420"/>
    <n v="66420"/>
  </r>
  <r>
    <n v="455"/>
    <s v="芜湖莫森泰克汽车科技股份有限公司"/>
    <x v="2"/>
    <s v="合肥贝森特电子科技有限公司"/>
    <s v="Pedro"/>
    <s v="徐彬"/>
    <x v="136"/>
    <x v="31"/>
    <m/>
    <x v="0"/>
    <s v="天窗"/>
    <m/>
    <s v="送样"/>
    <s v="250228：送样"/>
    <s v="N/A"/>
    <m/>
    <n v="0.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电源管理"/>
    <s v="汽车电子"/>
    <s v="车身电子"/>
    <s v="天窗总成"/>
    <s v="天窗电机控制器"/>
    <s v="奇瑞"/>
    <m/>
    <m/>
    <n v="3"/>
    <m/>
    <m/>
    <m/>
    <m/>
    <m/>
    <m/>
    <m/>
    <m/>
    <n v="0"/>
    <n v="0"/>
    <n v="0"/>
    <n v="0"/>
    <n v="0"/>
    <n v="0"/>
    <n v="0"/>
    <n v="0"/>
  </r>
  <r>
    <n v="456"/>
    <s v="芜湖莫森泰克汽车科技股份有限公司"/>
    <x v="2"/>
    <s v="合肥贝森特电子科技有限公司"/>
    <s v="Pedro"/>
    <s v="徐彬"/>
    <x v="155"/>
    <x v="161"/>
    <m/>
    <x v="0"/>
    <s v="车窗"/>
    <n v="4000000"/>
    <s v="送样"/>
    <s v="250427：跳过小批，直接批量比亚迪汉项目，预计3周左右时间。_x000a_250422：已确认本月会上车3K_x000a_250228：待新项目上车，争取三月底完成"/>
    <s v="TLE4966-3G"/>
    <m/>
    <n v="0.66"/>
    <n v="330000"/>
    <n v="0"/>
    <n v="500000"/>
    <n v="0"/>
    <n v="0"/>
    <n v="0"/>
    <n v="0"/>
    <n v="30000"/>
    <n v="0"/>
    <n v="50000"/>
    <n v="0"/>
    <n v="50000"/>
    <n v="100000"/>
    <n v="100000"/>
    <n v="20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s v="奇瑞"/>
    <m/>
    <m/>
    <n v="1"/>
    <m/>
    <m/>
    <m/>
    <m/>
    <m/>
    <m/>
    <m/>
    <m/>
    <n v="19800"/>
    <n v="0"/>
    <n v="33000"/>
    <n v="0"/>
    <n v="33000"/>
    <n v="66000"/>
    <n v="66000"/>
    <n v="132000"/>
  </r>
  <r>
    <n v="457"/>
    <s v="芜湖莫森泰克汽车科技股份有限公司"/>
    <x v="2"/>
    <s v="合肥贝森特电子科技有限公司"/>
    <s v="Pedro"/>
    <s v="徐彬"/>
    <x v="156"/>
    <x v="31"/>
    <m/>
    <x v="0"/>
    <s v="东洋车窗"/>
    <m/>
    <s v="送样"/>
    <s v="250228：测试中"/>
    <s v="N/A"/>
    <m/>
    <n v="0.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天窗总成"/>
    <s v="天窗电机控制器"/>
    <s v="奇瑞"/>
    <m/>
    <m/>
    <n v="1"/>
    <m/>
    <m/>
    <m/>
    <m/>
    <m/>
    <m/>
    <m/>
    <m/>
    <n v="0"/>
    <n v="0"/>
    <n v="0"/>
    <n v="0"/>
    <n v="0"/>
    <n v="0"/>
    <n v="0"/>
    <n v="0"/>
  </r>
  <r>
    <n v="458"/>
    <s v="上海依工塑料五金有限公司"/>
    <x v="2"/>
    <s v="苏州台信达电子有限公司"/>
    <s v="Pedro"/>
    <s v="杨帆"/>
    <x v="27"/>
    <x v="29"/>
    <m/>
    <x v="0"/>
    <s v="隐藏式门把手"/>
    <n v="6000000"/>
    <s v="批量"/>
    <s v="250506：信和达交付一个最小包装_x000a_2504009：本月确定商流_x000a_250328：依工在德昌指定赛卓物料，需要做供应链保护_x000a_250228：持续增量中"/>
    <s v="MLX92211"/>
    <m/>
    <n v="0.4"/>
    <n v="416000"/>
    <n v="0"/>
    <n v="1040000"/>
    <n v="140000"/>
    <n v="140000"/>
    <n v="150000"/>
    <n v="160000"/>
    <n v="120000"/>
    <n v="120000"/>
    <n v="120000"/>
    <n v="120000"/>
    <n v="160000"/>
    <n v="160000"/>
    <n v="180000"/>
    <n v="18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门系统"/>
    <s v="隐藏式门把手"/>
    <s v="理想，比亚迪，奇瑞"/>
    <m/>
    <m/>
    <n v="1"/>
    <m/>
    <m/>
    <m/>
    <m/>
    <m/>
    <m/>
    <m/>
    <m/>
    <n v="48000"/>
    <n v="48000"/>
    <n v="48000"/>
    <n v="48000"/>
    <n v="64000"/>
    <n v="64000"/>
    <n v="72000"/>
    <n v="72000"/>
  </r>
  <r>
    <n v="459"/>
    <s v="上海依工塑料五金有限公司"/>
    <x v="2"/>
    <s v="苏州台信达电子有限公司"/>
    <s v="Pedro"/>
    <s v="杨帆"/>
    <x v="157"/>
    <x v="162"/>
    <m/>
    <x v="0"/>
    <s v="充电口盖板开关"/>
    <n v="400000"/>
    <s v="批量"/>
    <s v="250228：配合客户改进编程器，当前每天有10多例需要多次标定的。"/>
    <s v="N/A"/>
    <m/>
    <n v="0.4"/>
    <n v="88000"/>
    <n v="0"/>
    <n v="220000"/>
    <n v="40000"/>
    <n v="40000"/>
    <n v="40000"/>
    <n v="40000"/>
    <n v="40000"/>
    <n v="20000"/>
    <n v="20000"/>
    <n v="20000"/>
    <n v="40000"/>
    <n v="40000"/>
    <n v="40000"/>
    <n v="4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充电口"/>
    <s v="充电口盖板"/>
    <s v="理想"/>
    <m/>
    <s v="L9/8/7"/>
    <n v="1"/>
    <m/>
    <m/>
    <m/>
    <m/>
    <m/>
    <m/>
    <m/>
    <m/>
    <n v="16000"/>
    <n v="8000"/>
    <n v="8000"/>
    <n v="8000"/>
    <n v="16000"/>
    <n v="16000"/>
    <n v="16000"/>
    <n v="16000"/>
  </r>
  <r>
    <n v="460"/>
    <s v="上海依工塑料五金有限公司"/>
    <x v="2"/>
    <s v="苏州台信达电子有限公司"/>
    <s v="Pedro"/>
    <s v="杨帆"/>
    <x v="72"/>
    <x v="94"/>
    <m/>
    <x v="0"/>
    <s v="充电口执行器"/>
    <n v="1000000"/>
    <s v="批量"/>
    <s v="250409：引导客户切换SC2493_x000a_250228：平台产品，需要我司内部完成车规"/>
    <s v="N/A"/>
    <m/>
    <n v="0.4"/>
    <n v="120000"/>
    <n v="0"/>
    <n v="300000"/>
    <n v="0"/>
    <n v="0"/>
    <n v="0"/>
    <n v="0"/>
    <n v="54000"/>
    <n v="0"/>
    <n v="0"/>
    <n v="6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充电口"/>
    <s v="充电口执行器"/>
    <s v="阿维塔，理想，比亚迪，奇瑞"/>
    <m/>
    <s v="E12，L9/8/7, ES3,A19,D609,740D"/>
    <n v="3"/>
    <m/>
    <m/>
    <m/>
    <m/>
    <m/>
    <m/>
    <m/>
    <m/>
    <n v="21600"/>
    <n v="0"/>
    <n v="0"/>
    <n v="24000"/>
    <n v="24000"/>
    <n v="24000"/>
    <n v="24000"/>
    <n v="24000"/>
  </r>
  <r>
    <n v="461"/>
    <s v="苏州烨炜上品电气有限公司"/>
    <x v="0"/>
    <s v="苏州台信达电子有限公司"/>
    <s v="Pedro"/>
    <s v="杨帆"/>
    <x v="158"/>
    <x v="31"/>
    <m/>
    <x v="0"/>
    <s v="电梯电源和控制板电流传感器"/>
    <n v="20000"/>
    <s v="送样"/>
    <s v="250512：送样"/>
    <m/>
    <m/>
    <n v="5"/>
    <n v="0"/>
    <m/>
    <n v="0"/>
    <m/>
    <m/>
    <m/>
    <m/>
    <m/>
    <m/>
    <m/>
    <m/>
    <m/>
    <m/>
    <m/>
    <m/>
    <m/>
    <m/>
    <m/>
    <m/>
    <m/>
    <m/>
    <m/>
    <m/>
    <m/>
    <m/>
    <m/>
    <m/>
    <s v="Wenjie"/>
    <x v="1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62"/>
    <s v="浙江天成航空科技有限公司"/>
    <x v="1"/>
    <s v="苏州柏达电子有限公司"/>
    <s v="Pedro"/>
    <s v="王俊佳"/>
    <x v="6"/>
    <x v="6"/>
    <m/>
    <x v="0"/>
    <s v="座椅水平电机1*1"/>
    <n v="2000000"/>
    <s v="批量"/>
    <s v="250228：推动上量"/>
    <s v="N/A"/>
    <m/>
    <n v="0.58"/>
    <n v="278400"/>
    <n v="0"/>
    <n v="480000"/>
    <n v="60000"/>
    <n v="0"/>
    <n v="0"/>
    <n v="0"/>
    <n v="0"/>
    <n v="60000"/>
    <n v="0"/>
    <n v="60000"/>
    <n v="60000"/>
    <n v="100000"/>
    <n v="100000"/>
    <n v="10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智能座舱"/>
    <s v="座椅总成"/>
    <s v="座椅水平电机"/>
    <s v="比亚迪，广汽，东风，上汽"/>
    <m/>
    <m/>
    <n v="1"/>
    <m/>
    <m/>
    <m/>
    <m/>
    <m/>
    <m/>
    <m/>
    <m/>
    <n v="0"/>
    <n v="34800"/>
    <n v="0"/>
    <n v="34800"/>
    <n v="34800"/>
    <n v="58000"/>
    <n v="58000"/>
    <n v="58000"/>
  </r>
  <r>
    <n v="463"/>
    <s v="浙江天成航空科技有限公司"/>
    <x v="1"/>
    <s v="苏州柏达电子有限公司"/>
    <s v="Pedro"/>
    <s v="王俊佳"/>
    <x v="6"/>
    <x v="6"/>
    <m/>
    <x v="0"/>
    <s v="调角电机1*1"/>
    <n v="0"/>
    <s v="小批量"/>
    <s v="250228：跟进客户产线建设情况"/>
    <s v="N/A"/>
    <m/>
    <n v="0.58"/>
    <n v="58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智能座舱"/>
    <s v="座椅总成"/>
    <s v="座椅调角电机"/>
    <s v="比亚迪，广汽，东风，上汽"/>
    <m/>
    <m/>
    <n v="1"/>
    <m/>
    <m/>
    <m/>
    <m/>
    <m/>
    <m/>
    <m/>
    <m/>
    <n v="0"/>
    <n v="0"/>
    <n v="0"/>
    <n v="0"/>
    <n v="0"/>
    <n v="0"/>
    <n v="0"/>
    <n v="5800"/>
  </r>
  <r>
    <n v="464"/>
    <s v="山东凯欧电机科技有限公司"/>
    <x v="0"/>
    <s v="山东凯欧电机科技有限公司"/>
    <s v="Pedro"/>
    <s v="杨小鸿"/>
    <x v="104"/>
    <x v="108"/>
    <m/>
    <x v="0"/>
    <s v="农机位置传感器"/>
    <n v="6000000"/>
    <s v="批量"/>
    <s v="25410：464t批次再PWM供电下异常，准备换货_x000a_拓尔微报价0.2， 凯欧小老板在主持测试工作"/>
    <s v="N/A"/>
    <m/>
    <n v="0.26"/>
    <n v="491400"/>
    <n v="0"/>
    <n v="1890000"/>
    <n v="0"/>
    <n v="0"/>
    <n v="390000"/>
    <n v="0"/>
    <n v="300000"/>
    <n v="690000"/>
    <n v="0"/>
    <n v="300000"/>
    <n v="0"/>
    <n v="300000"/>
    <n v="300000"/>
    <n v="300000"/>
    <n v="0"/>
    <n v="0"/>
    <n v="0"/>
    <n v="0"/>
    <n v="0"/>
    <n v="0"/>
    <n v="0"/>
    <n v="0"/>
    <n v="0"/>
    <n v="0"/>
    <n v="0"/>
    <n v="0"/>
    <s v="Harry"/>
    <x v="1"/>
    <s v="磁性位置传感器"/>
    <s v="工业和机器人"/>
    <s v="工业其他"/>
    <s v="工业接近开关"/>
    <s v="接近开关"/>
    <m/>
    <m/>
    <m/>
    <n v="64"/>
    <m/>
    <m/>
    <m/>
    <m/>
    <m/>
    <m/>
    <m/>
    <m/>
    <n v="78000"/>
    <n v="179400"/>
    <n v="0"/>
    <n v="78000"/>
    <n v="0"/>
    <n v="78000"/>
    <n v="78000"/>
    <n v="78000"/>
  </r>
  <r>
    <n v="465"/>
    <s v="湖北金镶银科技有限公司"/>
    <x v="0"/>
    <s v="合肥贝森特电子科技有限公司"/>
    <s v="Pedro"/>
    <s v="徐彬"/>
    <x v="159"/>
    <x v="31"/>
    <m/>
    <x v="0"/>
    <s v="奇瑞凸轮轴， 刚开始做，芜湖力诺工程师"/>
    <m/>
    <s v="小批量"/>
    <s v="250513：已经可以批产状态，终端还没有订单过来"/>
    <s v="ATS675"/>
    <m/>
    <n v="7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6"/>
    <s v="湖北金镶银科技有限公司"/>
    <x v="0"/>
    <s v="合肥贝森特电子科技有限公司"/>
    <s v="Pedro"/>
    <s v="徐彬"/>
    <x v="32"/>
    <x v="35"/>
    <m/>
    <x v="0"/>
    <s v="液位传感器"/>
    <m/>
    <s v="评估"/>
    <s v="250228：推广在线编程凸轮轴和ABS摩托车传感器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角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7"/>
    <s v="湖北金镶银科技有限公司"/>
    <x v="0"/>
    <s v="合肥贝森特电子科技有限公司"/>
    <s v="Pedro"/>
    <s v="徐彬"/>
    <x v="62"/>
    <x v="66"/>
    <m/>
    <x v="0"/>
    <s v="摩托车ABS传感器"/>
    <m/>
    <s v="评估"/>
    <s v="250513：需要确认ABS摩托车传感器状态，客户还开发？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8"/>
    <s v="上海六盛电机有限公司"/>
    <x v="1"/>
    <s v="上海创滦电子科技有限公司"/>
    <s v="Pedro"/>
    <s v="闵洁"/>
    <x v="11"/>
    <x v="11"/>
    <m/>
    <x v="0"/>
    <s v="直流无刷冰箱电机风扇1*1"/>
    <n v="2500000"/>
    <s v="批量"/>
    <s v="250228：待PM与客户的驱动拜访结果"/>
    <s v="N/A"/>
    <m/>
    <n v="0.237"/>
    <n v="341280"/>
    <n v="0"/>
    <n v="1440000"/>
    <n v="900000"/>
    <n v="0"/>
    <n v="0"/>
    <n v="0"/>
    <n v="0"/>
    <n v="0"/>
    <n v="0"/>
    <n v="0"/>
    <n v="480000"/>
    <n v="0"/>
    <n v="480000"/>
    <n v="480000"/>
    <n v="0"/>
    <n v="0"/>
    <n v="0"/>
    <n v="0"/>
    <n v="0"/>
    <n v="0"/>
    <n v="0"/>
    <n v="0"/>
    <n v="0"/>
    <n v="0"/>
    <n v="0"/>
    <n v="0"/>
    <s v="Harry"/>
    <x v="1"/>
    <s v="磁性位置传感器"/>
    <s v="智能家居"/>
    <s v="大家电"/>
    <s v="冰箱"/>
    <s v="冰箱电机风扇"/>
    <m/>
    <m/>
    <m/>
    <m/>
    <m/>
    <m/>
    <m/>
    <m/>
    <m/>
    <m/>
    <m/>
    <m/>
    <n v="0"/>
    <n v="0"/>
    <n v="0"/>
    <n v="0"/>
    <n v="113760"/>
    <n v="0"/>
    <n v="113760"/>
    <n v="113760"/>
  </r>
  <r>
    <n v="469"/>
    <s v="卧龙电气驱动集团股份有限公司"/>
    <x v="1"/>
    <s v="上海创滦电子科技有限公司"/>
    <s v="Pedro"/>
    <s v="闵洁"/>
    <x v="80"/>
    <x v="84"/>
    <m/>
    <x v="0"/>
    <s v="空调压缩机电机1*3"/>
    <n v="1500000"/>
    <s v="批量"/>
    <s v="250228：挖掘更多业务机会点"/>
    <s v="N/A"/>
    <m/>
    <n v="0.48"/>
    <n v="153600"/>
    <n v="0"/>
    <n v="320000"/>
    <n v="0"/>
    <n v="0"/>
    <n v="120000"/>
    <n v="0"/>
    <n v="120000"/>
    <n v="0"/>
    <n v="0"/>
    <n v="0"/>
    <n v="0"/>
    <n v="120000"/>
    <n v="100000"/>
    <n v="100000"/>
    <n v="0"/>
    <n v="0"/>
    <n v="0"/>
    <n v="0"/>
    <n v="0"/>
    <n v="0"/>
    <n v="0"/>
    <n v="0"/>
    <n v="0"/>
    <n v="0"/>
    <n v="0"/>
    <n v="0"/>
    <s v="Harry"/>
    <x v="1"/>
    <s v="磁性位置传感器"/>
    <s v="智能家居"/>
    <s v="大家电"/>
    <s v="空调"/>
    <s v="空调压缩机电机"/>
    <m/>
    <m/>
    <m/>
    <m/>
    <m/>
    <m/>
    <m/>
    <m/>
    <m/>
    <m/>
    <m/>
    <m/>
    <n v="57600"/>
    <n v="0"/>
    <n v="0"/>
    <n v="0"/>
    <n v="0"/>
    <n v="57600"/>
    <n v="48000"/>
    <n v="48000"/>
  </r>
  <r>
    <n v="470"/>
    <s v="上海嘉辀电子科技有限公司"/>
    <x v="0"/>
    <s v="苏州柏达电子有限公司"/>
    <s v="Pedro"/>
    <s v="王俊佳"/>
    <x v="27"/>
    <x v="29"/>
    <m/>
    <x v="0"/>
    <s v="奇瑞门把手"/>
    <n v="500000"/>
    <s v="小批量"/>
    <s v="约拓绅拜访"/>
    <m/>
    <m/>
    <n v="0.52"/>
    <n v="15600"/>
    <n v="0"/>
    <n v="30000"/>
    <n v="0"/>
    <n v="0"/>
    <n v="0"/>
    <n v="0"/>
    <n v="0"/>
    <n v="0"/>
    <n v="0"/>
    <n v="0"/>
    <n v="0"/>
    <n v="0"/>
    <n v="10000"/>
    <n v="2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0"/>
    <n v="0"/>
    <n v="0"/>
    <n v="0"/>
    <n v="5200"/>
    <n v="10400"/>
  </r>
  <r>
    <n v="471"/>
    <s v="江苏一东航空机械有限公司"/>
    <x v="1"/>
    <s v="苏州柏达电子有限公司"/>
    <s v="Pedro"/>
    <s v="王俊佳"/>
    <x v="5"/>
    <x v="5"/>
    <m/>
    <x v="0"/>
    <s v="小米昆仑，车窗电机1*2，平行感应方式"/>
    <n v="2500000"/>
    <s v="送样"/>
    <s v="250228: 测试中， 跟进测试结果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2"/>
    <s v="江苏一东航空机械有限公司"/>
    <x v="1"/>
    <s v="苏州柏达电子有限公司"/>
    <s v="Pedro"/>
    <s v="王俊佳"/>
    <x v="5"/>
    <x v="5"/>
    <m/>
    <x v="0"/>
    <s v="华为尚界汽车，一东供电机给上实，车窗电机1*2，平行感应方式，预计月3万车，25年9月批量。"/>
    <n v="2500000"/>
    <s v="送样"/>
    <s v="250228: 测试中， 跟进测试结果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3"/>
    <s v="江苏一东航空机械有限公司"/>
    <x v="1"/>
    <s v="苏州柏达电子有限公司"/>
    <s v="Pedro"/>
    <s v="王俊佳"/>
    <x v="160"/>
    <x v="163"/>
    <m/>
    <x v="0"/>
    <s v="平台件"/>
    <m/>
    <s v="评估"/>
    <s v="250512: 磁环位置评估中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4"/>
    <s v="芜湖联诺电器有限公司"/>
    <x v="0"/>
    <s v="合肥贝森特电子科技有限公司"/>
    <s v="Pedro"/>
    <s v="汪送华"/>
    <x v="161"/>
    <x v="31"/>
    <m/>
    <x v="0"/>
    <s v="车用环境亮度传感器"/>
    <m/>
    <s v="送样"/>
    <s v="250314：角度传感器需要确认断线检测是否满足功能_x000a_250228：3月中前确认批量时间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x v="1"/>
    <s v="电源管理"/>
    <s v="汽车电子"/>
    <s v="车身电子"/>
    <s v="车身其他"/>
    <m/>
    <m/>
    <m/>
    <m/>
    <m/>
    <m/>
    <m/>
    <m/>
    <m/>
    <m/>
    <m/>
    <m/>
    <m/>
    <n v="0"/>
    <n v="0"/>
    <n v="0"/>
    <n v="0"/>
    <n v="0"/>
    <n v="0"/>
    <n v="0"/>
    <n v="0"/>
  </r>
  <r>
    <n v="475"/>
    <s v="芜湖联诺电器有限公司"/>
    <x v="0"/>
    <s v="合肥贝森特电子科技有限公司"/>
    <s v="Pedro"/>
    <s v="汪送华"/>
    <x v="162"/>
    <x v="31"/>
    <m/>
    <x v="0"/>
    <s v="车用环境亮度传感器"/>
    <m/>
    <s v="评估"/>
    <s v="250512：PCB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x v="1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6"/>
    <s v="芜湖联诺电器有限公司"/>
    <x v="0"/>
    <s v="合肥贝森特电子科技有限公司"/>
    <s v="Pedro"/>
    <s v="汪送华"/>
    <x v="36"/>
    <x v="31"/>
    <m/>
    <x v="0"/>
    <s v="凸轮轴传感器"/>
    <m/>
    <s v="评估"/>
    <s v="250512：选型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7"/>
    <s v="芜湖联诺电器有限公司"/>
    <x v="0"/>
    <s v="合肥贝森特电子科技有限公司"/>
    <s v="Pedro"/>
    <s v="汪送华"/>
    <x v="163"/>
    <x v="31"/>
    <m/>
    <x v="0"/>
    <s v="制动灯开关接近开关"/>
    <m/>
    <s v="送样"/>
    <s v="250513：样件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底盘电子"/>
    <s v="制动系统"/>
    <s v="制动灯传感器"/>
    <m/>
    <m/>
    <m/>
    <m/>
    <m/>
    <m/>
    <m/>
    <m/>
    <m/>
    <m/>
    <m/>
    <m/>
    <n v="0"/>
    <n v="0"/>
    <n v="0"/>
    <n v="0"/>
    <n v="0"/>
    <n v="0"/>
    <n v="0"/>
    <n v="0"/>
  </r>
  <r>
    <n v="478"/>
    <s v="长春富晟汽车电子有限公司"/>
    <x v="0"/>
    <s v="苏州柏达电子有限公司"/>
    <s v="Pedro"/>
    <s v="王俊佳"/>
    <x v="27"/>
    <x v="29"/>
    <m/>
    <x v="0"/>
    <s v="P301项目，SC2443SO 红旗HS5天窗项目，25年量产，到2030年，年100K， 单机1*1"/>
    <n v="100000"/>
    <s v="小批量"/>
    <s v="250228：争取更多业务机会"/>
    <m/>
    <m/>
    <n v="0.52"/>
    <n v="22880"/>
    <n v="0"/>
    <n v="44000"/>
    <n v="0"/>
    <n v="0"/>
    <n v="0"/>
    <n v="0"/>
    <n v="4000"/>
    <n v="4000"/>
    <n v="4000"/>
    <n v="4000"/>
    <n v="8000"/>
    <n v="8000"/>
    <n v="8000"/>
    <n v="8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天窗系统"/>
    <s v="天窗电机"/>
    <m/>
    <m/>
    <m/>
    <m/>
    <m/>
    <m/>
    <m/>
    <m/>
    <m/>
    <m/>
    <m/>
    <m/>
    <n v="2080"/>
    <n v="2080"/>
    <n v="2080"/>
    <n v="2080"/>
    <n v="4160"/>
    <n v="4160"/>
    <n v="4160"/>
    <n v="4160"/>
  </r>
  <r>
    <n v="479"/>
    <s v="青岛蚂蚁机器人有限责任公司"/>
    <x v="0"/>
    <s v="苏州柏达电子有限公司"/>
    <s v="Pedro"/>
    <s v="王俊佳"/>
    <x v="164"/>
    <x v="164"/>
    <m/>
    <x v="0"/>
    <s v="机器人导航，同立镖，单板64颗粒"/>
    <n v="320000"/>
    <s v="批量"/>
    <s v="250214：客户批量28K_x000a_250228：3月落实订单"/>
    <m/>
    <m/>
    <n v="0.749"/>
    <n v="74900"/>
    <n v="0"/>
    <n v="100000"/>
    <n v="4000"/>
    <n v="0"/>
    <n v="20000"/>
    <n v="0"/>
    <n v="0"/>
    <n v="20000"/>
    <n v="0"/>
    <n v="20000"/>
    <n v="0"/>
    <n v="20000"/>
    <n v="20000"/>
    <n v="20000"/>
    <n v="0"/>
    <n v="0"/>
    <n v="0"/>
    <n v="0"/>
    <n v="0"/>
    <n v="0"/>
    <n v="0"/>
    <n v="0"/>
    <n v="0"/>
    <n v="0"/>
    <n v="0"/>
    <n v="0"/>
    <s v="Bill"/>
    <x v="1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14980"/>
    <n v="0"/>
    <n v="14980"/>
    <n v="0"/>
    <n v="14980"/>
    <n v="14980"/>
    <n v="14980"/>
  </r>
  <r>
    <n v="480"/>
    <s v="追觅科技（苏州）有限公司"/>
    <x v="1"/>
    <s v="苏州柏达电子有限公司"/>
    <s v="Pedro"/>
    <s v="王俊佳"/>
    <x v="164"/>
    <x v="164"/>
    <m/>
    <x v="0"/>
    <s v="磁导航机器人，单机64，3月开始DV， 预计6月开始批量上升使用，25年预计4000-6000套，送样测试， 隔离电压模块， 电机外购，代工带采的形式。"/>
    <m/>
    <s v="小批量"/>
    <s v="250422：小批3K_x000a_25410：测试OK，近期会有小批订单。_x000a_250228：加深客情关系"/>
    <m/>
    <m/>
    <n v="0.75"/>
    <n v="87375"/>
    <n v="0"/>
    <n v="116500"/>
    <n v="0"/>
    <n v="0"/>
    <n v="0"/>
    <n v="500"/>
    <n v="0"/>
    <n v="500"/>
    <n v="6000"/>
    <n v="10000"/>
    <n v="0"/>
    <n v="50000"/>
    <n v="0"/>
    <n v="50000"/>
    <n v="0"/>
    <n v="0"/>
    <n v="0"/>
    <n v="0"/>
    <n v="0"/>
    <n v="0"/>
    <n v="0"/>
    <n v="0"/>
    <n v="0"/>
    <n v="0"/>
    <n v="0"/>
    <n v="0"/>
    <s v="Bill"/>
    <x v="1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375"/>
    <n v="4500"/>
    <n v="7500"/>
    <n v="0"/>
    <n v="37500"/>
    <n v="0"/>
    <n v="37500"/>
  </r>
  <r>
    <n v="481"/>
    <s v="重庆讯华实业（集团）有限公司"/>
    <x v="0"/>
    <s v="苏州柏达电子有限公司"/>
    <s v="Pedro"/>
    <s v="王俊佳"/>
    <x v="41"/>
    <x v="43"/>
    <m/>
    <x v="0"/>
    <s v="遮阳板开关1*1"/>
    <n v="100000"/>
    <s v="送样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2"/>
    <s v="苏州承逸电子有限公司"/>
    <x v="0"/>
    <s v="苏州柏达电子有限公司"/>
    <s v="Pedro"/>
    <s v="谢国平"/>
    <x v="55"/>
    <x v="57"/>
    <m/>
    <x v="0"/>
    <s v="后装凸轮轴传感器"/>
    <n v="200000"/>
    <s v="小批量"/>
    <s v="250427：订单需要PM安排人员做编程交付。_x000a_250228：落实3月订单DW"/>
    <s v="TLE4986"/>
    <m/>
    <n v="4.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3"/>
    <s v="浙江奥正机电有限公司 "/>
    <x v="0"/>
    <s v="苏州柏达电子有限公司"/>
    <s v="Pedro"/>
    <s v="王俊佳"/>
    <x v="118"/>
    <x v="116"/>
    <m/>
    <x v="0"/>
    <s v="电机控制板"/>
    <m/>
    <s v="送样"/>
    <s v="250512：样品设计中"/>
    <m/>
    <m/>
    <n v="0.35"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4"/>
    <s v="浙江华诺康科技有限公司"/>
    <x v="0"/>
    <s v="苏州柏达电子有限公司"/>
    <s v="Pedro"/>
    <s v="王俊佳"/>
    <x v="9"/>
    <x v="9"/>
    <m/>
    <x v="0"/>
    <s v="电子医疗内窥镜，接近开关"/>
    <m/>
    <s v="送样"/>
    <s v="250512：验证OK， 客户系统物料号建号。"/>
    <m/>
    <m/>
    <n v="0.55"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5"/>
    <s v="浙江中力机械股份有限公司"/>
    <x v="0"/>
    <s v="星瀚微（上海）电子科技有限公司"/>
    <s v="Pedro"/>
    <s v="葛庆庆"/>
    <x v="4"/>
    <x v="4"/>
    <m/>
    <x v="0"/>
    <s v="应用在 中力 牌 叉车的角度上"/>
    <n v="200000"/>
    <s v="批量"/>
    <s v="250409：MLX90315库存消耗中，月需求大概4K"/>
    <s v="MLX90365"/>
    <m/>
    <n v="3.8"/>
    <n v="45600"/>
    <n v="0"/>
    <n v="12000"/>
    <n v="0"/>
    <n v="0"/>
    <n v="4000"/>
    <n v="0"/>
    <n v="4000"/>
    <n v="0"/>
    <n v="0"/>
    <n v="0"/>
    <n v="4000"/>
    <n v="0"/>
    <n v="4000"/>
    <n v="4000"/>
    <n v="0"/>
    <n v="0"/>
    <n v="0"/>
    <n v="0"/>
    <n v="0"/>
    <n v="0"/>
    <n v="0"/>
    <n v="0"/>
    <n v="0"/>
    <n v="0"/>
    <n v="0"/>
    <n v="0"/>
    <s v="Serge"/>
    <x v="1"/>
    <s v="角度传感器"/>
    <s v="工业与机器人"/>
    <s v="工程机械"/>
    <s v="叉车"/>
    <s v="电子油门踏板"/>
    <s v="中力"/>
    <m/>
    <m/>
    <n v="1"/>
    <m/>
    <m/>
    <m/>
    <m/>
    <m/>
    <m/>
    <m/>
    <m/>
    <n v="15200"/>
    <n v="0"/>
    <n v="0"/>
    <n v="0"/>
    <n v="15200"/>
    <n v="0"/>
    <n v="15200"/>
    <n v="15200"/>
  </r>
  <r>
    <n v="486"/>
    <s v="浙江中力机械股份有限公司"/>
    <x v="0"/>
    <s v="星瀚微（上海）电子科技有限公司"/>
    <s v="Pedro"/>
    <s v="葛庆庆"/>
    <x v="32"/>
    <x v="35"/>
    <m/>
    <x v="0"/>
    <s v="叉车油门踏板"/>
    <n v="150000"/>
    <s v="批量"/>
    <s v="250416：需要紧急供货16K，月12K的需求"/>
    <s v="HAL888"/>
    <m/>
    <n v="2.73"/>
    <n v="207480"/>
    <n v="0"/>
    <n v="76000"/>
    <n v="0"/>
    <n v="0"/>
    <n v="2950"/>
    <n v="16000"/>
    <n v="28000"/>
    <n v="20000"/>
    <n v="0"/>
    <n v="8000"/>
    <n v="12000"/>
    <n v="12000"/>
    <n v="12000"/>
    <n v="12000"/>
    <n v="0"/>
    <n v="0"/>
    <n v="0"/>
    <n v="0"/>
    <n v="0"/>
    <n v="0"/>
    <n v="0"/>
    <n v="0"/>
    <n v="0"/>
    <n v="0"/>
    <n v="0"/>
    <n v="0"/>
    <s v="Alex"/>
    <x v="1"/>
    <s v="角度传感器"/>
    <s v="工业与机器人"/>
    <s v="工程机械"/>
    <s v="叉车"/>
    <s v="电子油门踏板"/>
    <s v="中力"/>
    <m/>
    <m/>
    <n v="1"/>
    <m/>
    <m/>
    <m/>
    <m/>
    <m/>
    <m/>
    <m/>
    <m/>
    <n v="76440"/>
    <n v="54600"/>
    <n v="0"/>
    <n v="21840"/>
    <n v="32760"/>
    <n v="32760"/>
    <n v="32760"/>
    <n v="32760"/>
  </r>
  <r>
    <n v="487"/>
    <s v="浙江中力机械股份有限公司"/>
    <x v="0"/>
    <s v="星瀚微（上海）电子科技有限公司"/>
    <s v="Pedro"/>
    <s v="葛庆庆"/>
    <x v="160"/>
    <x v="163"/>
    <m/>
    <x v="0"/>
    <s v="叉车转向电机编码器"/>
    <n v="150000"/>
    <s v="送样"/>
    <s v="250416：送样，做好客户Din支持"/>
    <s v="A123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工业与机器人"/>
    <s v="工程机械"/>
    <s v="叉车"/>
    <s v="转把"/>
    <s v="中力"/>
    <m/>
    <m/>
    <n v="1"/>
    <m/>
    <m/>
    <m/>
    <m/>
    <m/>
    <m/>
    <m/>
    <m/>
    <n v="0"/>
    <n v="0"/>
    <n v="0"/>
    <n v="0"/>
    <n v="0"/>
    <n v="0"/>
    <n v="0"/>
    <n v="0"/>
  </r>
  <r>
    <n v="488"/>
    <s v="浙江立镖机器人有限公司"/>
    <x v="0"/>
    <s v="星瀚微（上海）电子科技有限公司"/>
    <s v="Pedro"/>
    <s v="葛庆庆"/>
    <x v="164"/>
    <x v="164"/>
    <m/>
    <x v="0"/>
    <s v="用在 立镖 柔性分拣机器人上 用于导航功能使用"/>
    <n v="800000"/>
    <s v="批量"/>
    <s v="250416：客户预计5月会提货150K， 后续需求在5月才能更新。"/>
    <s v="N/A"/>
    <m/>
    <n v="0.695"/>
    <n v="255760"/>
    <n v="0"/>
    <n v="368000"/>
    <n v="0"/>
    <n v="128000"/>
    <n v="0"/>
    <n v="80000"/>
    <n v="100000"/>
    <n v="80000"/>
    <n v="80000"/>
    <n v="80000"/>
    <n v="0"/>
    <n v="0"/>
    <n v="0"/>
    <n v="128000"/>
    <n v="0"/>
    <n v="0"/>
    <n v="0"/>
    <n v="0"/>
    <n v="0"/>
    <n v="0"/>
    <n v="0"/>
    <n v="0"/>
    <n v="0"/>
    <n v="0"/>
    <n v="0"/>
    <n v="0"/>
    <s v="Bill"/>
    <x v="1"/>
    <s v="磁性位置传感器"/>
    <s v="工业与机器人"/>
    <s v="工业自动化"/>
    <s v="筛选机器人"/>
    <s v="磁导航条"/>
    <m/>
    <m/>
    <m/>
    <n v="1"/>
    <m/>
    <m/>
    <m/>
    <m/>
    <m/>
    <m/>
    <m/>
    <m/>
    <n v="69500"/>
    <n v="55600"/>
    <n v="55600"/>
    <n v="55600"/>
    <n v="0"/>
    <n v="0"/>
    <n v="0"/>
    <n v="88960"/>
  </r>
  <r>
    <n v="489"/>
    <s v="宁波高悦电机技术有限公司"/>
    <x v="1"/>
    <s v="星瀚微（上海）电子科技有限公司"/>
    <s v="Pedro"/>
    <s v="葛庆庆"/>
    <x v="94"/>
    <x v="100"/>
    <m/>
    <x v="0"/>
    <s v="吉利的EDS 电机和康明斯第一版尿素泵上"/>
    <n v="800000"/>
    <s v="批量"/>
    <s v="250416：SC2442UA变更封装尺寸， 急需提供样品给客户验证"/>
    <s v="MLX92211"/>
    <m/>
    <n v="0.45"/>
    <n v="162000"/>
    <n v="0"/>
    <n v="360000"/>
    <n v="0"/>
    <n v="0"/>
    <n v="40000"/>
    <n v="40000"/>
    <n v="40000"/>
    <n v="40000"/>
    <n v="40000"/>
    <n v="4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动力总成"/>
    <s v="燃油箱"/>
    <s v="尿素泵"/>
    <m/>
    <m/>
    <m/>
    <n v="1"/>
    <m/>
    <m/>
    <m/>
    <m/>
    <m/>
    <m/>
    <m/>
    <m/>
    <n v="18000"/>
    <n v="18000"/>
    <n v="18000"/>
    <n v="18000"/>
    <n v="27000"/>
    <n v="27000"/>
    <n v="27000"/>
    <n v="27000"/>
  </r>
  <r>
    <n v="490"/>
    <s v="宁波高悦电机技术有限公司"/>
    <x v="1"/>
    <s v="星瀚微（上海）电子科技有限公司"/>
    <s v="Pedro"/>
    <s v="葛庆庆"/>
    <x v="7"/>
    <x v="7"/>
    <m/>
    <x v="0"/>
    <s v="康明斯第二版尿素泵上"/>
    <n v="2000000"/>
    <s v="批量"/>
    <s v="250416：正常批量"/>
    <s v="MLX92211"/>
    <m/>
    <n v="0.45"/>
    <n v="261000"/>
    <n v="0"/>
    <n v="580000"/>
    <n v="0"/>
    <n v="0"/>
    <n v="60000"/>
    <n v="60000"/>
    <n v="40000"/>
    <n v="40000"/>
    <n v="40000"/>
    <n v="100000"/>
    <n v="100000"/>
    <n v="100000"/>
    <n v="100000"/>
    <n v="10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动力总成"/>
    <s v="燃油箱"/>
    <s v="尿素泵"/>
    <s v="东风汽车"/>
    <m/>
    <s v="S73"/>
    <n v="1"/>
    <m/>
    <m/>
    <m/>
    <m/>
    <m/>
    <m/>
    <m/>
    <m/>
    <n v="18000"/>
    <n v="18000"/>
    <n v="18000"/>
    <n v="45000"/>
    <n v="45000"/>
    <n v="45000"/>
    <n v="45000"/>
    <n v="45000"/>
  </r>
  <r>
    <n v="491"/>
    <s v="宁波高悦电机技术有限公司"/>
    <x v="1"/>
    <s v="星瀚微（上海）电子科技有限公司"/>
    <s v="Pedro"/>
    <s v="葛庆庆"/>
    <x v="7"/>
    <x v="7"/>
    <m/>
    <x v="0"/>
    <s v="美国Rivian的电子油泵项目上"/>
    <n v="700000"/>
    <s v="批量"/>
    <s v="250408：正常批量"/>
    <s v="MT6511"/>
    <m/>
    <n v="0.695"/>
    <n v="43785"/>
    <n v="0"/>
    <n v="63000"/>
    <n v="0"/>
    <n v="0"/>
    <n v="0"/>
    <n v="9000"/>
    <n v="9000"/>
    <n v="9000"/>
    <n v="9000"/>
    <n v="9000"/>
    <n v="9000"/>
    <n v="9000"/>
    <n v="9000"/>
    <n v="9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热管理"/>
    <s v="电子油泵"/>
    <s v="电子油泵"/>
    <m/>
    <m/>
    <m/>
    <n v="1"/>
    <m/>
    <m/>
    <m/>
    <m/>
    <m/>
    <m/>
    <m/>
    <m/>
    <n v="6255"/>
    <n v="6255"/>
    <n v="6255"/>
    <n v="6255"/>
    <n v="6255"/>
    <n v="6255"/>
    <n v="6255"/>
    <n v="6255"/>
  </r>
  <r>
    <n v="492"/>
    <s v="宁波高悦电机技术有限公司"/>
    <x v="1"/>
    <s v="星瀚微（上海）电子科技有限公司"/>
    <s v="Pedro"/>
    <s v="葛庆庆"/>
    <x v="165"/>
    <x v="31"/>
    <m/>
    <x v="0"/>
    <s v="侧滑门电机无刷控制器"/>
    <n v="400000"/>
    <s v="送样"/>
    <s v="250408：送样，做好客户Din支持"/>
    <m/>
    <m/>
    <n v="0.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3"/>
    <s v="宁波拓普电器有限公司"/>
    <x v="1"/>
    <s v="星瀚微（上海）电子科技有限公司"/>
    <s v="Pedro"/>
    <s v="葛庆庆"/>
    <x v="56"/>
    <x v="31"/>
    <m/>
    <x v="0"/>
    <s v="轮速传感器国产化项目"/>
    <n v="400000"/>
    <s v="送样"/>
    <s v="250416: EC测试已OK，五菱试点，需要做客户拜访。_x000a_250408：了解客户项目时间节点"/>
    <s v="TLE4942"/>
    <m/>
    <n v="2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4"/>
    <s v="杭州智源电子有限公司"/>
    <x v="0"/>
    <s v="星瀚微（上海）电子科技有限公司"/>
    <s v="Pedro"/>
    <s v="葛庆庆"/>
    <x v="26"/>
    <x v="82"/>
    <m/>
    <x v="0"/>
    <s v="用于宁波新思创的电磁阀项目上"/>
    <n v="700000"/>
    <s v="小批量"/>
    <s v="250416：客户在争取项目中"/>
    <s v="N/A"/>
    <m/>
    <n v="0.45"/>
    <n v="22500"/>
    <n v="0"/>
    <n v="50000"/>
    <n v="0"/>
    <n v="0"/>
    <n v="0"/>
    <n v="0"/>
    <n v="0"/>
    <n v="0"/>
    <n v="0"/>
    <n v="10000"/>
    <n v="10000"/>
    <n v="10000"/>
    <n v="1000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热管理"/>
    <s v="电磁阀"/>
    <s v="电磁阀"/>
    <s v="理想"/>
    <m/>
    <s v="L9/8/7"/>
    <n v="1"/>
    <m/>
    <m/>
    <m/>
    <m/>
    <m/>
    <m/>
    <m/>
    <m/>
    <n v="0"/>
    <n v="0"/>
    <n v="0"/>
    <n v="4500"/>
    <n v="4500"/>
    <n v="4500"/>
    <n v="4500"/>
    <n v="4500"/>
  </r>
  <r>
    <n v="495"/>
    <s v="北京经纬恒润科技股份有限公司"/>
    <x v="0"/>
    <s v="赛卓电子科技（上海）股份有限公司"/>
    <s v="Pedro"/>
    <m/>
    <x v="49"/>
    <x v="51"/>
    <m/>
    <x v="0"/>
    <s v="麦格纳Xin1-奇瑞项目，三相电采样，多合一。"/>
    <n v="50000"/>
    <s v="送样"/>
    <s v="250506：设计中"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6"/>
    <s v="北京经纬恒润科技股份有限公司"/>
    <x v="0"/>
    <s v="赛卓电子科技（上海）股份有限公司"/>
    <s v="Pedro"/>
    <m/>
    <x v="49"/>
    <x v="51"/>
    <m/>
    <x v="0"/>
    <s v="吉利星驱E22H海外版电流传感器；±100A内精度误差不超过2A，±100A以外，精度误差不超过±2%。OEM：吉利；SOP时间：2026年6月30；配套年限：4年；配套量：共41W"/>
    <n v="100000"/>
    <s v="评估"/>
    <s v="250506：定期跟进客户项目进度"/>
    <m/>
    <m/>
    <m/>
    <n v="0"/>
    <m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s v="Wenjie"/>
    <x v="1"/>
    <s v="电流传感器"/>
    <s v="汽车电子"/>
    <s v="三电系统"/>
    <s v="电机控制器"/>
    <s v="电流传感器"/>
    <s v="吉利"/>
    <m/>
    <m/>
    <m/>
    <m/>
    <m/>
    <m/>
    <m/>
    <m/>
    <m/>
    <m/>
    <n v="4"/>
    <n v="0"/>
    <n v="0"/>
    <n v="0"/>
    <n v="0"/>
    <n v="0"/>
    <n v="0"/>
    <n v="0"/>
    <n v="0"/>
  </r>
  <r>
    <n v="497"/>
    <s v="珠海英搏尔电气股份有限公司"/>
    <x v="0"/>
    <s v="赛卓电子科技（上海）股份有限公司"/>
    <s v="Pedro"/>
    <m/>
    <x v="49"/>
    <x v="51"/>
    <m/>
    <x v="0"/>
    <m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8"/>
    <s v="二轮车电机"/>
    <x v="0"/>
    <s v="上海养盈电子科技有限公司"/>
    <s v="Tom"/>
    <m/>
    <x v="122"/>
    <x v="165"/>
    <m/>
    <x v="0"/>
    <m/>
    <m/>
    <m/>
    <m/>
    <m/>
    <m/>
    <n v="0.21"/>
    <n v="315000"/>
    <m/>
    <n v="1500000"/>
    <m/>
    <m/>
    <m/>
    <m/>
    <m/>
    <m/>
    <n v="500000"/>
    <m/>
    <n v="500000"/>
    <m/>
    <n v="500000"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105000"/>
    <n v="0"/>
    <n v="105000"/>
    <n v="0"/>
    <n v="105000"/>
    <n v="0"/>
  </r>
  <r>
    <n v="499"/>
    <s v="二轮车电机"/>
    <x v="0"/>
    <s v="上海养盈电子科技有限公司"/>
    <s v="Tom"/>
    <m/>
    <x v="122"/>
    <x v="166"/>
    <m/>
    <x v="0"/>
    <m/>
    <m/>
    <m/>
    <m/>
    <m/>
    <m/>
    <n v="0.21"/>
    <n v="1470000"/>
    <m/>
    <n v="7000000"/>
    <m/>
    <m/>
    <m/>
    <m/>
    <m/>
    <n v="1000000"/>
    <n v="1000000"/>
    <n v="1000000"/>
    <n v="1000000"/>
    <n v="1000000"/>
    <n v="1000000"/>
    <n v="1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210000"/>
    <n v="210000"/>
    <n v="210000"/>
    <n v="210000"/>
    <n v="210000"/>
    <n v="210000"/>
    <n v="210000"/>
  </r>
  <r>
    <n v="500"/>
    <s v="二轮车电机"/>
    <x v="0"/>
    <s v="上海养盈电子科技有限公司"/>
    <s v="Tom"/>
    <m/>
    <x v="123"/>
    <x v="167"/>
    <m/>
    <x v="0"/>
    <m/>
    <m/>
    <m/>
    <m/>
    <m/>
    <m/>
    <n v="0.21"/>
    <n v="367500"/>
    <m/>
    <n v="1750000"/>
    <m/>
    <m/>
    <m/>
    <m/>
    <m/>
    <n v="250000"/>
    <n v="250000"/>
    <n v="250000"/>
    <n v="250000"/>
    <n v="250000"/>
    <n v="250000"/>
    <n v="2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52500"/>
    <n v="52500"/>
    <n v="52500"/>
    <n v="52500"/>
    <n v="52500"/>
    <n v="52500"/>
    <n v="52500"/>
  </r>
  <r>
    <n v="501"/>
    <s v="二轮车电机"/>
    <x v="0"/>
    <s v="上海养盈电子科技有限公司"/>
    <s v="Tom"/>
    <m/>
    <x v="166"/>
    <x v="168"/>
    <m/>
    <x v="0"/>
    <m/>
    <m/>
    <m/>
    <m/>
    <m/>
    <m/>
    <n v="0.21"/>
    <n v="367500"/>
    <m/>
    <n v="1750000"/>
    <m/>
    <m/>
    <m/>
    <m/>
    <m/>
    <n v="250000"/>
    <n v="250000"/>
    <n v="250000"/>
    <n v="250000"/>
    <n v="250000"/>
    <n v="250000"/>
    <n v="2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52500"/>
    <n v="52500"/>
    <n v="52500"/>
    <n v="52500"/>
    <n v="52500"/>
    <n v="52500"/>
    <n v="52500"/>
  </r>
  <r>
    <n v="502"/>
    <s v="苏州扬信德汽车零部件有限公司"/>
    <x v="0"/>
    <s v="上海亚特联科技有限公司"/>
    <s v="Elon"/>
    <s v="朱晓贤"/>
    <x v="24"/>
    <x v="26"/>
    <m/>
    <x v="0"/>
    <s v="电子怀档"/>
    <n v="60000"/>
    <s v="小批量"/>
    <m/>
    <s v="NA"/>
    <m/>
    <n v="0.52"/>
    <n v="14040"/>
    <n v="0"/>
    <n v="27000"/>
    <m/>
    <m/>
    <m/>
    <m/>
    <n v="3000"/>
    <n v="3000"/>
    <n v="3000"/>
    <n v="3000"/>
    <n v="3000"/>
    <n v="5000"/>
    <n v="5000"/>
    <n v="5000"/>
    <m/>
    <m/>
    <m/>
    <m/>
    <m/>
    <m/>
    <m/>
    <m/>
    <m/>
    <m/>
    <m/>
    <m/>
    <s v="Harry"/>
    <x v="1"/>
    <s v="磁性位置传感器"/>
    <s v="汽车电子"/>
    <s v="底盘电子"/>
    <s v="换挡系统"/>
    <s v="换挡传感器"/>
    <s v="重汽"/>
    <s v="T7"/>
    <m/>
    <n v="3"/>
    <n v="45736"/>
    <d v="2024-05-20T00:00:00"/>
    <d v="2024-06-20T00:00:00"/>
    <d v="2024-07-20T00:00:00"/>
    <d v="2024-10-20T00:00:00"/>
    <d v="2024-12-20T00:00:00"/>
    <n v="1"/>
    <n v="5"/>
    <n v="1560"/>
    <n v="1560"/>
    <n v="1560"/>
    <n v="1560"/>
    <n v="1560"/>
    <n v="2600"/>
    <n v="2600"/>
    <n v="2600"/>
  </r>
  <r>
    <n v="503"/>
    <s v="苏州扬信德汽车零部件有限公司"/>
    <x v="0"/>
    <s v="上海亚特联科技有限公司"/>
    <s v="Elon"/>
    <s v="朱晓贤"/>
    <x v="43"/>
    <x v="45"/>
    <m/>
    <x v="0"/>
    <s v="电子怀档"/>
    <n v="200000"/>
    <s v="送样"/>
    <m/>
    <s v="NA"/>
    <m/>
    <n v="0.52"/>
    <n v="6760"/>
    <n v="0"/>
    <n v="13000"/>
    <m/>
    <m/>
    <m/>
    <m/>
    <m/>
    <m/>
    <m/>
    <m/>
    <m/>
    <m/>
    <n v="5000"/>
    <n v="8000"/>
    <m/>
    <m/>
    <m/>
    <m/>
    <m/>
    <m/>
    <m/>
    <m/>
    <m/>
    <m/>
    <m/>
    <m/>
    <s v="Harry"/>
    <x v="1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0"/>
    <n v="2600"/>
    <n v="4160"/>
  </r>
  <r>
    <n v="504"/>
    <s v="苏州扬信德汽车零部件有限公司"/>
    <x v="0"/>
    <s v="上海亚特联科技有限公司"/>
    <s v="Elon"/>
    <s v="朱晓贤"/>
    <x v="45"/>
    <x v="47"/>
    <m/>
    <x v="0"/>
    <s v="仪表开关组合"/>
    <n v="200000"/>
    <s v="送样"/>
    <m/>
    <s v="NA"/>
    <m/>
    <n v="3.7"/>
    <n v="111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Serge"/>
    <x v="1"/>
    <s v="角度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5"/>
    <s v="浙江万超电器有限公司"/>
    <x v="0"/>
    <s v="上海亚特联科技有限公司"/>
    <s v="Elon"/>
    <s v="朱晓贤"/>
    <x v="43"/>
    <x v="45"/>
    <m/>
    <x v="0"/>
    <s v="电子怀档"/>
    <n v="120000"/>
    <s v="送样"/>
    <m/>
    <s v="NA"/>
    <m/>
    <n v="3.7"/>
    <n v="111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6"/>
    <s v="浙江长江汽车电子有限公司"/>
    <x v="2"/>
    <s v="上海亚特联科技有限公司"/>
    <s v="Elon"/>
    <s v="朱晓贤"/>
    <x v="4"/>
    <x v="4"/>
    <m/>
    <x v="0"/>
    <s v="组合开关"/>
    <n v="500000"/>
    <s v="送样"/>
    <m/>
    <s v="MT6511CT"/>
    <m/>
    <n v="3.6"/>
    <n v="0"/>
    <n v="0"/>
    <n v="0"/>
    <m/>
    <m/>
    <m/>
    <m/>
    <m/>
    <m/>
    <m/>
    <m/>
    <m/>
    <m/>
    <m/>
    <m/>
    <m/>
    <m/>
    <m/>
    <m/>
    <m/>
    <m/>
    <m/>
    <m/>
    <m/>
    <m/>
    <m/>
    <m/>
    <s v="Serge"/>
    <x v="1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7"/>
    <s v="浙江长江汽车电子有限公司"/>
    <x v="2"/>
    <s v="上海亚特联科技有限公司"/>
    <s v="Elon"/>
    <s v="朱晓贤"/>
    <x v="77"/>
    <x v="80"/>
    <m/>
    <x v="0"/>
    <s v="组合开关"/>
    <n v="500000"/>
    <s v="送样"/>
    <m/>
    <s v="MT6501GT"/>
    <m/>
    <n v="5.1"/>
    <n v="0"/>
    <n v="0"/>
    <n v="0"/>
    <m/>
    <m/>
    <m/>
    <m/>
    <m/>
    <m/>
    <m/>
    <m/>
    <m/>
    <m/>
    <m/>
    <m/>
    <m/>
    <m/>
    <m/>
    <m/>
    <m/>
    <m/>
    <m/>
    <m/>
    <m/>
    <m/>
    <m/>
    <m/>
    <s v="Serge"/>
    <x v="1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8"/>
    <s v="宁波精华电子科技股份有限公司"/>
    <x v="0"/>
    <s v="上海亚特联科技有限公司"/>
    <s v="Elon"/>
    <s v="周鑫"/>
    <x v="7"/>
    <x v="7"/>
    <m/>
    <x v="0"/>
    <s v="尾门电机"/>
    <n v="500000"/>
    <s v="小批量"/>
    <m/>
    <s v="MLX922llSE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2600"/>
    <n v="2600"/>
  </r>
  <r>
    <n v="509"/>
    <s v="宁波精华电子科技股份有限公司"/>
    <x v="0"/>
    <s v="上海亚特联科技有限公司"/>
    <s v="Elon"/>
    <s v="周鑫"/>
    <x v="41"/>
    <x v="43"/>
    <m/>
    <x v="0"/>
    <s v="扶手箱位置检测"/>
    <n v="500000"/>
    <s v="小批量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2600"/>
    <n v="2600"/>
  </r>
  <r>
    <n v="510"/>
    <s v="宁波精华电子科技股份有限公司"/>
    <x v="0"/>
    <s v="上海亚特联科技有限公司"/>
    <s v="Elon"/>
    <m/>
    <x v="167"/>
    <x v="169"/>
    <m/>
    <x v="0"/>
    <m/>
    <m/>
    <m/>
    <m/>
    <m/>
    <m/>
    <n v="0.5"/>
    <n v="7500"/>
    <m/>
    <n v="15000"/>
    <m/>
    <m/>
    <m/>
    <m/>
    <m/>
    <m/>
    <m/>
    <m/>
    <m/>
    <n v="5000"/>
    <n v="5000"/>
    <n v="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0"/>
    <n v="0"/>
    <n v="0"/>
    <n v="0"/>
    <n v="2500"/>
    <n v="2500"/>
    <n v="2500"/>
  </r>
  <r>
    <n v="511"/>
    <s v="嘉兴市尚瑞电子科技有限公司"/>
    <x v="0"/>
    <s v="上海亚特联科技有限公司"/>
    <s v="Elon"/>
    <s v="朱晓贤"/>
    <x v="42"/>
    <x v="44"/>
    <m/>
    <x v="0"/>
    <s v="扶手箱开合"/>
    <n v="100000"/>
    <s v="小批量"/>
    <m/>
    <s v="NA"/>
    <m/>
    <n v="0.52"/>
    <n v="30160"/>
    <n v="0"/>
    <n v="58000"/>
    <m/>
    <m/>
    <m/>
    <m/>
    <m/>
    <n v="5000"/>
    <n v="5000"/>
    <n v="8000"/>
    <n v="8000"/>
    <n v="10000"/>
    <n v="10000"/>
    <n v="12000"/>
    <m/>
    <m/>
    <m/>
    <m/>
    <m/>
    <m/>
    <m/>
    <m/>
    <m/>
    <m/>
    <m/>
    <m/>
    <s v="1部"/>
    <x v="1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2600"/>
    <n v="2600"/>
    <n v="4160"/>
    <n v="4160"/>
    <n v="5200"/>
    <n v="5200"/>
    <n v="6240"/>
  </r>
  <r>
    <n v="512"/>
    <s v="嘉兴市尚瑞电子科技有限公司"/>
    <x v="0"/>
    <s v="上海亚特联科技有限公司"/>
    <s v="Elon"/>
    <s v="朱晓贤"/>
    <x v="41"/>
    <x v="43"/>
    <m/>
    <x v="0"/>
    <s v="车载冰箱抽屉"/>
    <n v="100000"/>
    <s v="评估"/>
    <m/>
    <s v="NA"/>
    <m/>
    <n v="0.52"/>
    <n v="7800"/>
    <n v="0"/>
    <n v="15000"/>
    <m/>
    <m/>
    <m/>
    <m/>
    <m/>
    <m/>
    <m/>
    <m/>
    <m/>
    <m/>
    <n v="5000"/>
    <n v="10000"/>
    <m/>
    <m/>
    <m/>
    <m/>
    <m/>
    <m/>
    <m/>
    <m/>
    <m/>
    <m/>
    <m/>
    <m/>
    <s v="1部"/>
    <x v="1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0"/>
    <n v="0"/>
    <n v="0"/>
    <n v="0"/>
    <n v="0"/>
    <n v="2600"/>
    <n v="5200"/>
  </r>
  <r>
    <n v="513"/>
    <s v="浙江泰康电子有限公司"/>
    <x v="1"/>
    <s v="上海亚特联科技有限公司"/>
    <s v="Elon"/>
    <s v="周鑫"/>
    <x v="168"/>
    <x v="170"/>
    <m/>
    <x v="0"/>
    <s v="安全带卡扣"/>
    <n v="300000"/>
    <s v="评估"/>
    <m/>
    <s v="MLX92241CUA"/>
    <m/>
    <n v="0.81"/>
    <n v="810"/>
    <n v="0"/>
    <n v="1000"/>
    <m/>
    <m/>
    <m/>
    <m/>
    <m/>
    <m/>
    <m/>
    <m/>
    <m/>
    <m/>
    <m/>
    <n v="1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插锁"/>
    <m/>
    <m/>
    <m/>
    <n v="1"/>
    <n v="46162"/>
    <d v="2024-03-20T00:00:00"/>
    <d v="2024-05-20T00:00:00"/>
    <d v="2024-10-20T00:00:00"/>
    <d v="2025-09-30T00:00:00"/>
    <d v="2026-02-20T00:00:00"/>
    <n v="1"/>
    <n v="5"/>
    <n v="0"/>
    <n v="0"/>
    <n v="0"/>
    <n v="0"/>
    <n v="0"/>
    <n v="0"/>
    <n v="0"/>
    <n v="810"/>
  </r>
  <r>
    <n v="514"/>
    <s v="浙江泰康电子有限公司"/>
    <x v="1"/>
    <s v="上海亚特联科技有限公司"/>
    <s v="Elon"/>
    <s v="周鑫"/>
    <x v="169"/>
    <x v="171"/>
    <m/>
    <x v="0"/>
    <s v="中控PAD支架"/>
    <n v="200000"/>
    <s v="批量"/>
    <m/>
    <s v="NA"/>
    <m/>
    <n v="0.52"/>
    <n v="88400"/>
    <n v="0"/>
    <n v="170000"/>
    <n v="3000"/>
    <n v="30000"/>
    <m/>
    <n v="5000"/>
    <n v="20000"/>
    <n v="20000"/>
    <n v="20000"/>
    <n v="20000"/>
    <n v="20000"/>
    <n v="30000"/>
    <n v="30000"/>
    <n v="30000"/>
    <m/>
    <m/>
    <m/>
    <m/>
    <m/>
    <m/>
    <m/>
    <m/>
    <m/>
    <m/>
    <m/>
    <m/>
    <s v="Harry"/>
    <x v="1"/>
    <s v="磁性位置传感器"/>
    <s v="汽车电子"/>
    <s v="车身电子"/>
    <s v="PAD伸缩支架"/>
    <s v="PAD伸缩支架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10400"/>
    <n v="10400"/>
    <n v="10400"/>
    <n v="10400"/>
    <n v="10400"/>
    <n v="15600"/>
    <n v="15600"/>
    <n v="15600"/>
  </r>
  <r>
    <n v="515"/>
    <s v="浙江泰康电子有限公司"/>
    <x v="1"/>
    <s v="上海亚特联科技有限公司"/>
    <s v="Elon"/>
    <s v="周鑫"/>
    <x v="170"/>
    <x v="31"/>
    <m/>
    <x v="0"/>
    <s v="扶手箱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Harry"/>
    <x v="1"/>
    <m/>
    <s v="汽车电子"/>
    <s v="车身电子"/>
    <s v="中控系统"/>
    <s v="扶手箱开合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0"/>
    <n v="0"/>
    <n v="0"/>
    <n v="0"/>
    <n v="0"/>
    <n v="2600"/>
    <n v="2600"/>
    <n v="2600"/>
  </r>
  <r>
    <n v="516"/>
    <s v="浙江泰康电子有限公司"/>
    <x v="1"/>
    <s v="上海亚特联科技有限公司"/>
    <s v="Elon"/>
    <s v="周鑫"/>
    <x v="169"/>
    <x v="171"/>
    <m/>
    <x v="0"/>
    <m/>
    <m/>
    <m/>
    <m/>
    <m/>
    <m/>
    <n v="0.5198"/>
    <n v="7797"/>
    <m/>
    <n v="15000"/>
    <m/>
    <m/>
    <m/>
    <m/>
    <m/>
    <m/>
    <m/>
    <m/>
    <m/>
    <n v="5000"/>
    <n v="5000"/>
    <n v="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0"/>
    <n v="0"/>
    <n v="0"/>
    <n v="0"/>
    <n v="2599"/>
    <n v="2599"/>
    <n v="2599"/>
  </r>
  <r>
    <n v="517"/>
    <s v="浙江泰康电子有限公司"/>
    <x v="1"/>
    <s v="上海亚特联科技有限公司"/>
    <s v="Elon"/>
    <s v="周鑫"/>
    <x v="42"/>
    <x v="44"/>
    <m/>
    <x v="0"/>
    <s v="小桌板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Harry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18"/>
    <s v="浙江泰康电子有限公司"/>
    <x v="1"/>
    <s v="上海亚特联科技有限公司"/>
    <s v="Elon"/>
    <s v="周鑫"/>
    <x v="42"/>
    <x v="44"/>
    <m/>
    <x v="0"/>
    <s v="充电口盖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Harry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19"/>
    <s v="浙江泰康电子有限公司"/>
    <x v="1"/>
    <s v="上海亚特联科技有限公司"/>
    <s v="Elon"/>
    <s v="周鑫"/>
    <x v="171"/>
    <x v="172"/>
    <m/>
    <x v="0"/>
    <s v="方向盘开关板子"/>
    <n v="500000"/>
    <s v="送样"/>
    <m/>
    <s v="NA"/>
    <m/>
    <n v="0.58"/>
    <n v="14500"/>
    <n v="0"/>
    <n v="25000"/>
    <m/>
    <m/>
    <m/>
    <m/>
    <m/>
    <m/>
    <m/>
    <m/>
    <m/>
    <n v="5000"/>
    <n v="10000"/>
    <n v="10000"/>
    <m/>
    <m/>
    <m/>
    <m/>
    <m/>
    <m/>
    <m/>
    <m/>
    <m/>
    <m/>
    <m/>
    <m/>
    <s v="Harry"/>
    <x v="1"/>
    <s v="电源管理"/>
    <s v="汽车电子"/>
    <s v="智能座舱"/>
    <s v="中控系统"/>
    <s v="组合开关方向盘滚轮"/>
    <m/>
    <m/>
    <m/>
    <m/>
    <m/>
    <m/>
    <m/>
    <m/>
    <m/>
    <m/>
    <m/>
    <m/>
    <n v="0"/>
    <n v="0"/>
    <n v="0"/>
    <n v="0"/>
    <n v="0"/>
    <n v="2900"/>
    <n v="5800"/>
    <n v="5800"/>
  </r>
  <r>
    <n v="520"/>
    <s v="浙江卡巴尔电气有限公司"/>
    <x v="0"/>
    <s v="上海亚特联科技有限公司"/>
    <s v="Elon"/>
    <s v="周鑫"/>
    <x v="172"/>
    <x v="31"/>
    <m/>
    <x v="0"/>
    <s v="工程机械遥控设备"/>
    <n v="50000"/>
    <s v="小批量"/>
    <m/>
    <s v="NA"/>
    <m/>
    <n v="2.4"/>
    <n v="79200"/>
    <n v="0"/>
    <n v="33000"/>
    <n v="500"/>
    <m/>
    <m/>
    <m/>
    <n v="3000"/>
    <n v="3000"/>
    <n v="5000"/>
    <n v="5000"/>
    <n v="5000"/>
    <n v="5000"/>
    <n v="5000"/>
    <n v="5000"/>
    <m/>
    <m/>
    <m/>
    <m/>
    <m/>
    <m/>
    <m/>
    <m/>
    <m/>
    <m/>
    <m/>
    <m/>
    <s v="1部"/>
    <x v="1"/>
    <s v="电流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7200"/>
    <n v="7200"/>
    <n v="12000"/>
    <n v="12000"/>
    <n v="12000"/>
    <n v="12000"/>
    <n v="12000"/>
    <n v="12000"/>
  </r>
  <r>
    <n v="521"/>
    <s v="上海奥众汽车部件制造有限公司"/>
    <x v="1"/>
    <s v="上海亚特联科技有限公司"/>
    <s v="Elon"/>
    <s v="周鑫"/>
    <x v="4"/>
    <x v="4"/>
    <m/>
    <x v="0"/>
    <s v="节气门"/>
    <n v="200000"/>
    <s v="送样"/>
    <m/>
    <s v="MT6511"/>
    <m/>
    <n v="3.6"/>
    <n v="90000"/>
    <n v="0"/>
    <n v="25000"/>
    <m/>
    <m/>
    <m/>
    <m/>
    <m/>
    <m/>
    <m/>
    <m/>
    <m/>
    <n v="5000"/>
    <n v="10000"/>
    <n v="10000"/>
    <m/>
    <m/>
    <m/>
    <m/>
    <m/>
    <m/>
    <m/>
    <m/>
    <m/>
    <m/>
    <m/>
    <m/>
    <s v="Serge"/>
    <x v="1"/>
    <s v="角度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0"/>
    <n v="0"/>
    <n v="0"/>
    <n v="0"/>
    <n v="0"/>
    <n v="18000"/>
    <n v="36000"/>
    <n v="36000"/>
  </r>
  <r>
    <n v="522"/>
    <s v="上海奥众汽车部件制造有限公司"/>
    <x v="1"/>
    <s v="上海亚特联科技有限公司"/>
    <s v="Elon"/>
    <s v="周鑫"/>
    <x v="45"/>
    <x v="47"/>
    <m/>
    <x v="0"/>
    <s v="节气门"/>
    <n v="200000"/>
    <s v="送样"/>
    <m/>
    <s v="·"/>
    <m/>
    <n v="3.6"/>
    <n v="90000"/>
    <n v="0"/>
    <n v="25000"/>
    <m/>
    <m/>
    <m/>
    <m/>
    <m/>
    <m/>
    <m/>
    <m/>
    <m/>
    <n v="5000"/>
    <n v="10000"/>
    <n v="10000"/>
    <m/>
    <m/>
    <m/>
    <m/>
    <m/>
    <m/>
    <m/>
    <m/>
    <m/>
    <m/>
    <m/>
    <m/>
    <s v="Serge"/>
    <x v="1"/>
    <s v="角度传感器"/>
    <s v="工业和机器人"/>
    <s v="工业其他"/>
    <s v="工业接近开关"/>
    <s v="工程机械遥控设备"/>
    <m/>
    <m/>
    <m/>
    <m/>
    <m/>
    <m/>
    <m/>
    <m/>
    <m/>
    <m/>
    <m/>
    <m/>
    <n v="0"/>
    <n v="0"/>
    <n v="0"/>
    <n v="0"/>
    <n v="0"/>
    <n v="18000"/>
    <n v="36000"/>
    <n v="36000"/>
  </r>
  <r>
    <n v="523"/>
    <s v="芜湖美达科技有限公司"/>
    <x v="0"/>
    <s v="上海亚特联科技有限公司"/>
    <s v="Elon"/>
    <s v="朱晓贤"/>
    <x v="173"/>
    <x v="173"/>
    <m/>
    <x v="0"/>
    <s v="方向盘滚轮"/>
    <n v="500000"/>
    <s v="评估"/>
    <m/>
    <s v="NA"/>
    <m/>
    <n v="3.8"/>
    <n v="570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0"/>
    <n v="0"/>
    <n v="0"/>
    <n v="0"/>
    <n v="19000"/>
    <n v="19000"/>
    <n v="19000"/>
  </r>
  <r>
    <n v="524"/>
    <s v="江苏启达机电有限公司"/>
    <x v="0"/>
    <s v="上海亿韧电子有限公司"/>
    <s v="Elon"/>
    <s v="穆博伟"/>
    <x v="94"/>
    <x v="100"/>
    <m/>
    <x v="0"/>
    <s v="天窗电机"/>
    <n v="100000"/>
    <s v="批量"/>
    <m/>
    <s v="NA"/>
    <m/>
    <n v="0.55"/>
    <n v="19250"/>
    <n v="0"/>
    <n v="35000"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s v="1部"/>
    <x v="1"/>
    <s v="磁性位置传感器"/>
    <s v="工业和机器人"/>
    <s v="工业其他"/>
    <m/>
    <m/>
    <m/>
    <m/>
    <m/>
    <n v="2"/>
    <n v="45555"/>
    <d v="2024-04-20T00:00:00"/>
    <d v="2024-05-20T00:00:00"/>
    <d v="2024-06-20T00:00:00"/>
    <d v="2024-07-20T00:00:00"/>
    <d v="2024-08-20T00:00:00"/>
    <n v="1"/>
    <n v="5"/>
    <n v="2750"/>
    <n v="2750"/>
    <n v="2750"/>
    <n v="2750"/>
    <n v="2750"/>
    <n v="2750"/>
    <n v="2750"/>
    <n v="2750"/>
  </r>
  <r>
    <n v="525"/>
    <s v="湖北开特汽车电子有限公司"/>
    <x v="0"/>
    <s v="上海亿韧电子有限公司"/>
    <s v="Elon"/>
    <s v="穆博伟"/>
    <x v="45"/>
    <x v="47"/>
    <m/>
    <x v="0"/>
    <s v="电子水阀"/>
    <n v="96000"/>
    <s v="小批量"/>
    <m/>
    <s v="MT6511"/>
    <m/>
    <n v="3.8"/>
    <n v="0"/>
    <n v="0"/>
    <n v="0"/>
    <m/>
    <m/>
    <m/>
    <m/>
    <m/>
    <m/>
    <m/>
    <m/>
    <m/>
    <m/>
    <m/>
    <m/>
    <m/>
    <m/>
    <m/>
    <m/>
    <m/>
    <m/>
    <m/>
    <m/>
    <m/>
    <m/>
    <m/>
    <m/>
    <s v="Serge"/>
    <x v="1"/>
    <s v="角度传感器"/>
    <s v="汽车电子"/>
    <s v="热管理系统"/>
    <s v="泵"/>
    <s v="电子水泵"/>
    <s v="斯丹德，松枝"/>
    <m/>
    <m/>
    <n v="1"/>
    <n v="45708"/>
    <d v="2024-09-20T00:00:00"/>
    <d v="2024-10-30T00:00:00"/>
    <d v="2024-11-20T00:00:00"/>
    <d v="2024-12-20T00:00:00"/>
    <d v="2025-01-20T00:00:00"/>
    <n v="1"/>
    <n v="5"/>
    <n v="0"/>
    <n v="0"/>
    <n v="0"/>
    <n v="0"/>
    <n v="0"/>
    <n v="0"/>
    <n v="0"/>
    <n v="0"/>
  </r>
  <r>
    <n v="526"/>
    <s v="湖北开特汽车电子有限公司"/>
    <x v="0"/>
    <s v="上海亿韧电子有限公司"/>
    <s v="Elon"/>
    <s v="穆博伟"/>
    <x v="40"/>
    <x v="42"/>
    <m/>
    <x v="0"/>
    <s v="凸轮轴传感器"/>
    <n v="180000"/>
    <s v="送样"/>
    <m/>
    <s v="ATS675"/>
    <m/>
    <n v="7.35"/>
    <n v="0"/>
    <n v="0"/>
    <n v="0"/>
    <m/>
    <m/>
    <m/>
    <m/>
    <m/>
    <m/>
    <m/>
    <m/>
    <m/>
    <m/>
    <m/>
    <m/>
    <m/>
    <m/>
    <m/>
    <m/>
    <m/>
    <m/>
    <m/>
    <m/>
    <m/>
    <m/>
    <m/>
    <m/>
    <s v="Josh"/>
    <x v="1"/>
    <s v="速度传感器"/>
    <s v="汽车电子"/>
    <s v="动力总成"/>
    <s v="发动机"/>
    <s v="凸轮轴传感器"/>
    <s v="福田"/>
    <m/>
    <m/>
    <n v="1"/>
    <n v="45797"/>
    <d v="2024-09-20T00:00:00"/>
    <d v="2024-10-30T00:00:00"/>
    <d v="2024-11-04T00:00:00"/>
    <d v="2024-12-20T00:00:00"/>
    <d v="2025-02-20T00:00:00"/>
    <n v="1"/>
    <n v="5"/>
    <n v="0"/>
    <n v="0"/>
    <n v="0"/>
    <n v="0"/>
    <n v="0"/>
    <n v="0"/>
    <n v="0"/>
    <n v="0"/>
  </r>
  <r>
    <n v="527"/>
    <s v="湖北开特汽车电子有限公司"/>
    <x v="0"/>
    <s v="上海亿韧电子有限公司"/>
    <s v="Elon"/>
    <s v="穆博伟"/>
    <x v="56"/>
    <x v="58"/>
    <m/>
    <x v="0"/>
    <s v="ABS轮速传感器"/>
    <n v="120000"/>
    <s v="送样"/>
    <m/>
    <s v="TLE4942"/>
    <m/>
    <n v="2.42"/>
    <n v="67760"/>
    <n v="0"/>
    <n v="28000"/>
    <m/>
    <m/>
    <m/>
    <m/>
    <n v="2000"/>
    <n v="2000"/>
    <n v="3000"/>
    <n v="3000"/>
    <n v="5000"/>
    <n v="5000"/>
    <n v="5000"/>
    <n v="5000"/>
    <m/>
    <m/>
    <m/>
    <m/>
    <m/>
    <m/>
    <m/>
    <m/>
    <m/>
    <m/>
    <m/>
    <m/>
    <s v="Josh"/>
    <x v="1"/>
    <s v="速度传感器"/>
    <s v="汽车电子"/>
    <s v="底盘电子"/>
    <s v="刹车系统"/>
    <s v="ABS传感器"/>
    <s v="福特"/>
    <m/>
    <m/>
    <n v="1"/>
    <n v="45828"/>
    <d v="2024-09-20T00:00:00"/>
    <d v="2024-10-30T00:00:00"/>
    <d v="2024-11-04T00:00:00"/>
    <d v="2025-01-20T00:00:00"/>
    <d v="2025-02-20T00:00:00"/>
    <n v="1"/>
    <n v="5"/>
    <n v="4840"/>
    <n v="4840"/>
    <n v="7260"/>
    <n v="7260"/>
    <n v="12100"/>
    <n v="12100"/>
    <n v="12100"/>
    <n v="12100"/>
  </r>
  <r>
    <n v="528"/>
    <s v="湖北开特汽车电子有限公司"/>
    <x v="0"/>
    <s v="上海亿韧电子有限公司"/>
    <s v="Elon"/>
    <s v="穆博伟"/>
    <x v="27"/>
    <x v="29"/>
    <m/>
    <x v="0"/>
    <s v="隐藏式门把手"/>
    <n v="400000"/>
    <s v="送样"/>
    <m/>
    <s v="MLX92211LSE"/>
    <m/>
    <n v="0.52"/>
    <n v="9360"/>
    <n v="0"/>
    <n v="18000"/>
    <m/>
    <m/>
    <m/>
    <m/>
    <m/>
    <m/>
    <m/>
    <m/>
    <n v="3000"/>
    <n v="5000"/>
    <n v="5000"/>
    <n v="5000"/>
    <m/>
    <m/>
    <m/>
    <m/>
    <m/>
    <m/>
    <m/>
    <m/>
    <m/>
    <m/>
    <m/>
    <m/>
    <s v="Harry"/>
    <x v="1"/>
    <s v="磁性位置传感器"/>
    <s v="汽车电子"/>
    <s v="车身电子"/>
    <s v="车门系统"/>
    <s v="隐藏式门把手"/>
    <s v="BYD"/>
    <m/>
    <m/>
    <m/>
    <n v="45950"/>
    <d v="2024-10-20T00:00:00"/>
    <d v="2024-10-20T00:00:00"/>
    <d v="2024-11-20T00:00:00"/>
    <m/>
    <m/>
    <n v="1"/>
    <n v="5"/>
    <n v="0"/>
    <n v="0"/>
    <n v="0"/>
    <n v="0"/>
    <n v="1560"/>
    <n v="2600"/>
    <n v="2600"/>
    <n v="2600"/>
  </r>
  <r>
    <n v="529"/>
    <s v="上海沃巴弗电子科技有限公司"/>
    <x v="0"/>
    <s v="上海亿韧电子有限公司"/>
    <s v="Elon"/>
    <s v="穆博伟"/>
    <x v="4"/>
    <x v="4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0"/>
    <s v="上海沃巴弗电子科技有限公司"/>
    <x v="0"/>
    <s v="上海亿韧电子有限公司"/>
    <s v="Elon"/>
    <s v="穆博伟"/>
    <x v="77"/>
    <x v="80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1"/>
    <s v="江苏安智欣电子科技有限公司"/>
    <x v="0"/>
    <s v="上海亿韧电子有限公司"/>
    <s v="Elon"/>
    <s v="穆博伟"/>
    <x v="161"/>
    <x v="174"/>
    <m/>
    <x v="0"/>
    <s v="蓝牙控制器"/>
    <n v="150000"/>
    <s v="送样"/>
    <m/>
    <s v="NA"/>
    <m/>
    <n v="0.58"/>
    <n v="174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电源管理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5800"/>
    <n v="5800"/>
    <n v="5800"/>
  </r>
  <r>
    <n v="532"/>
    <s v="广东麦格纳汽车镜像有限公司"/>
    <x v="1"/>
    <s v="杭州港德电子有限公司"/>
    <s v="Elon"/>
    <s v="闫总"/>
    <x v="27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3"/>
    <s v="伟速达（中国）汽车安全系统有限公司"/>
    <x v="0"/>
    <s v="杭州港德电子有限公司"/>
    <s v="Elon"/>
    <s v="闫总"/>
    <x v="27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4"/>
    <s v="英纳法汽车天窗系统（上海）有限公司"/>
    <x v="2"/>
    <s v="_x0009_孚津利（上海）电子科技有限公司"/>
    <s v="Elon"/>
    <s v="王伟"/>
    <x v="27"/>
    <x v="29"/>
    <m/>
    <x v="0"/>
    <s v="天窗控制器"/>
    <n v="1000000"/>
    <s v="批量"/>
    <m/>
    <s v="MLX92211LSE"/>
    <m/>
    <n v="0.52"/>
    <n v="322400"/>
    <n v="0"/>
    <n v="620000"/>
    <n v="102000"/>
    <n v="66000"/>
    <n v="80000"/>
    <n v="80000"/>
    <n v="80000"/>
    <n v="80000"/>
    <n v="80000"/>
    <n v="80000"/>
    <n v="80000"/>
    <n v="100000"/>
    <n v="100000"/>
    <n v="100000"/>
    <m/>
    <m/>
    <m/>
    <m/>
    <m/>
    <m/>
    <m/>
    <m/>
    <m/>
    <m/>
    <m/>
    <m/>
    <s v="Harry"/>
    <x v="1"/>
    <s v="磁性位置传感器"/>
    <s v="汽车电子"/>
    <s v="车身电子"/>
    <s v="天窗系统"/>
    <s v="天窗控制器"/>
    <s v="平台"/>
    <m/>
    <m/>
    <n v="2"/>
    <n v="45646"/>
    <d v="2024-01-20T00:00:00"/>
    <d v="2024-02-20T00:00:00"/>
    <d v="2024-03-20T00:00:00"/>
    <d v="2024-08-20T00:00:00"/>
    <d v="2024-11-20T00:00:00"/>
    <n v="1"/>
    <n v="5"/>
    <n v="41600"/>
    <n v="41600"/>
    <n v="41600"/>
    <n v="41600"/>
    <n v="41600"/>
    <n v="52000"/>
    <n v="52000"/>
    <n v="52000"/>
  </r>
  <r>
    <n v="535"/>
    <s v="英纳法汽车天窗系统（上海）有限公司"/>
    <x v="2"/>
    <s v="_x0009_孚津利（上海）电子科技有限公司"/>
    <s v="Elon"/>
    <s v="王伟"/>
    <x v="174"/>
    <x v="175"/>
    <m/>
    <x v="0"/>
    <s v="尾门控制器"/>
    <n v="200000"/>
    <s v="送样"/>
    <m/>
    <s v="NA"/>
    <m/>
    <n v="0.85"/>
    <n v="29750"/>
    <n v="0"/>
    <n v="35000"/>
    <m/>
    <m/>
    <m/>
    <m/>
    <m/>
    <m/>
    <m/>
    <m/>
    <m/>
    <n v="10000"/>
    <n v="10000"/>
    <n v="15000"/>
    <m/>
    <m/>
    <m/>
    <m/>
    <m/>
    <m/>
    <m/>
    <m/>
    <m/>
    <m/>
    <m/>
    <m/>
    <s v="Torres"/>
    <x v="1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8500"/>
    <n v="8500"/>
    <n v="12750"/>
  </r>
  <r>
    <n v="536"/>
    <s v="英纳法智联科技（北京）有限公司"/>
    <x v="2"/>
    <s v="_x0009_孚津利（上海）电子科技有限公司"/>
    <s v="Elon"/>
    <s v="王伟"/>
    <x v="27"/>
    <x v="29"/>
    <m/>
    <x v="0"/>
    <s v="天窗控制器"/>
    <n v="1000000"/>
    <s v="送样"/>
    <m/>
    <m/>
    <m/>
    <n v="0.52"/>
    <n v="57200"/>
    <m/>
    <n v="110000"/>
    <m/>
    <m/>
    <m/>
    <m/>
    <m/>
    <m/>
    <m/>
    <m/>
    <n v="10000"/>
    <n v="30000"/>
    <n v="30000"/>
    <n v="40000"/>
    <m/>
    <m/>
    <m/>
    <m/>
    <m/>
    <m/>
    <m/>
    <m/>
    <m/>
    <m/>
    <m/>
    <m/>
    <s v="Harry"/>
    <x v="1"/>
    <s v="磁性位置传感器"/>
    <s v="汽车电子"/>
    <s v="车身电子"/>
    <s v="天窗系统"/>
    <s v="天窗控制器"/>
    <m/>
    <m/>
    <m/>
    <m/>
    <m/>
    <m/>
    <m/>
    <m/>
    <m/>
    <m/>
    <m/>
    <m/>
    <n v="0"/>
    <n v="0"/>
    <n v="0"/>
    <n v="0"/>
    <n v="5200"/>
    <n v="15600"/>
    <n v="15600"/>
    <n v="20800"/>
  </r>
  <r>
    <n v="537"/>
    <s v="英纳法汽车天窗系统（上海）有限公司"/>
    <x v="2"/>
    <s v="_x0009_孚津利（上海）电子科技有限公司"/>
    <s v="Elon"/>
    <s v="王伟"/>
    <x v="174"/>
    <x v="175"/>
    <m/>
    <x v="0"/>
    <s v="天窗氛围灯"/>
    <n v="200000"/>
    <s v="评估"/>
    <m/>
    <s v="NA"/>
    <m/>
    <n v="0.85"/>
    <n v="1275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Torres"/>
    <x v="1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4250"/>
    <n v="4250"/>
    <n v="4250"/>
  </r>
  <r>
    <n v="538"/>
    <s v="_x0009_宁波恒佑电机有限公司"/>
    <x v="0"/>
    <s v="_x0009_孚津利（上海）电子科技有限公司"/>
    <s v="Elon"/>
    <s v="王伟"/>
    <x v="102"/>
    <x v="106"/>
    <m/>
    <x v="0"/>
    <s v="跑步机电机位置检测"/>
    <n v="120000"/>
    <s v="批量"/>
    <m/>
    <s v="NA"/>
    <m/>
    <n v="0.33"/>
    <n v="34650"/>
    <n v="0"/>
    <n v="105000"/>
    <n v="17000"/>
    <n v="11000"/>
    <n v="15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s v="1部"/>
    <x v="1"/>
    <s v="磁性位置传感器"/>
    <s v="工业和机器人"/>
    <s v="工业电机"/>
    <s v="工业电机电控"/>
    <s v="工业伺服电机"/>
    <s v="平台"/>
    <m/>
    <m/>
    <n v="1"/>
    <n v="45656"/>
    <d v="2024-11-20T00:00:00"/>
    <d v="2024-12-10T00:00:00"/>
    <d v="2025-12-15T00:00:00"/>
    <d v="2025-12-20T00:00:00"/>
    <d v="2025-12-25T00:00:00"/>
    <n v="1"/>
    <n v="5"/>
    <n v="4950"/>
    <n v="4950"/>
    <n v="4950"/>
    <n v="4950"/>
    <n v="4950"/>
    <n v="4950"/>
    <n v="4950"/>
    <n v="4950"/>
  </r>
  <r>
    <n v="539"/>
    <s v="_x0009_上海拓殷电子科技技术有限公司"/>
    <x v="1"/>
    <s v="_x0009_孚津利（上海）电子科技有限公司"/>
    <s v="Elon"/>
    <s v="王伟"/>
    <x v="155"/>
    <x v="161"/>
    <m/>
    <x v="0"/>
    <s v="天窗控制器"/>
    <n v="1000000"/>
    <s v="送样"/>
    <m/>
    <s v="NA"/>
    <m/>
    <n v="0.81"/>
    <n v="53460"/>
    <n v="0"/>
    <n v="66000"/>
    <m/>
    <m/>
    <m/>
    <m/>
    <n v="500"/>
    <n v="3000"/>
    <n v="3000"/>
    <n v="5000"/>
    <n v="5000"/>
    <n v="10000"/>
    <n v="20000"/>
    <n v="20000"/>
    <m/>
    <m/>
    <m/>
    <m/>
    <m/>
    <m/>
    <m/>
    <m/>
    <m/>
    <m/>
    <m/>
    <m/>
    <s v="Harry"/>
    <x v="1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405"/>
    <n v="2430"/>
    <n v="2430"/>
    <n v="4050"/>
    <n v="4050"/>
    <n v="8100"/>
    <n v="16200"/>
    <n v="16200"/>
  </r>
  <r>
    <n v="540"/>
    <s v="常州普芝机电有限公司"/>
    <x v="0"/>
    <s v="_x0009_孚津利（上海）电子科技有限公司"/>
    <s v="Elon"/>
    <s v="王伟"/>
    <x v="102"/>
    <x v="106"/>
    <m/>
    <x v="0"/>
    <s v="工业电机"/>
    <n v="200000"/>
    <s v="批量"/>
    <m/>
    <s v="NA"/>
    <m/>
    <n v="0.34"/>
    <n v="7140"/>
    <n v="0"/>
    <n v="21000"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1部"/>
    <x v="1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1020"/>
    <n v="1020"/>
    <n v="1020"/>
    <n v="1020"/>
    <n v="1020"/>
    <n v="1020"/>
    <n v="1020"/>
    <n v="1020"/>
  </r>
  <r>
    <n v="541"/>
    <s v="上海继峰座椅有限公司"/>
    <x v="0"/>
    <s v="_x0009_孚津利（上海）电子科技有限公司"/>
    <s v="Elon"/>
    <s v="王伟"/>
    <x v="4"/>
    <x v="4"/>
    <m/>
    <x v="0"/>
    <s v="隐藏式扶手"/>
    <n v="120000"/>
    <s v="送样"/>
    <m/>
    <s v="NA"/>
    <m/>
    <n v="3.8"/>
    <n v="570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1部"/>
    <x v="1"/>
    <s v="角度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0"/>
    <n v="0"/>
    <n v="0"/>
    <n v="0"/>
    <n v="0"/>
    <n v="19000"/>
    <n v="19000"/>
    <n v="19000"/>
  </r>
  <r>
    <n v="542"/>
    <s v="苏州锐璟科技有限公司"/>
    <x v="0"/>
    <s v="_x0009_孚津利（上海）电子科技有限公司"/>
    <s v="Elon"/>
    <s v="王伟"/>
    <x v="41"/>
    <x v="43"/>
    <m/>
    <x v="0"/>
    <s v="扶手箱移动"/>
    <n v="120000"/>
    <s v="批量"/>
    <m/>
    <s v="NA"/>
    <m/>
    <n v="0.52"/>
    <n v="54600"/>
    <n v="0"/>
    <n v="105000"/>
    <m/>
    <n v="12000"/>
    <m/>
    <n v="12000"/>
    <n v="15000"/>
    <n v="15000"/>
    <n v="15000"/>
    <n v="15000"/>
    <n v="15000"/>
    <n v="15000"/>
    <n v="15000"/>
    <n v="15000"/>
    <m/>
    <m/>
    <m/>
    <m/>
    <m/>
    <m/>
    <m/>
    <m/>
    <m/>
    <m/>
    <m/>
    <m/>
    <s v="3部"/>
    <x v="1"/>
    <s v="磁性位置传感器"/>
    <s v="汽车电子"/>
    <s v="智能座舱"/>
    <s v="智能座椅"/>
    <s v="座椅扶手位置"/>
    <m/>
    <m/>
    <m/>
    <m/>
    <n v="45432"/>
    <d v="2024-01-20T00:00:00"/>
    <d v="2024-02-20T00:00:00"/>
    <d v="2024-03-20T00:00:00"/>
    <d v="2024-04-20T00:00:00"/>
    <d v="2024-04-20T00:00:00"/>
    <n v="1"/>
    <n v="5"/>
    <n v="7800"/>
    <n v="7800"/>
    <n v="7800"/>
    <n v="7800"/>
    <n v="7800"/>
    <n v="7800"/>
    <n v="7800"/>
    <n v="7800"/>
  </r>
  <r>
    <n v="543"/>
    <s v="广州爱者科技有限公司"/>
    <x v="0"/>
    <s v="深圳诺信微科技有限公司"/>
    <s v="Elon"/>
    <s v="黎海峰"/>
    <x v="64"/>
    <x v="67"/>
    <m/>
    <x v="0"/>
    <s v="车窗电机"/>
    <n v="200000"/>
    <s v="小批量"/>
    <m/>
    <s v="NA"/>
    <m/>
    <n v="0.52"/>
    <n v="38480"/>
    <n v="0"/>
    <n v="74000"/>
    <m/>
    <m/>
    <m/>
    <n v="8000"/>
    <n v="8000"/>
    <n v="8000"/>
    <n v="10000"/>
    <n v="10000"/>
    <n v="10000"/>
    <n v="12000"/>
    <n v="12000"/>
    <n v="12000"/>
    <m/>
    <m/>
    <m/>
    <m/>
    <m/>
    <m/>
    <m/>
    <m/>
    <m/>
    <m/>
    <m/>
    <m/>
    <s v="1部"/>
    <x v="1"/>
    <s v="磁性位置传感器"/>
    <s v="汽车电子"/>
    <s v="车身电子"/>
    <s v="车门系统"/>
    <s v="车门电机"/>
    <s v="吉利"/>
    <m/>
    <m/>
    <m/>
    <n v="45493"/>
    <d v="2024-03-20T00:00:00"/>
    <d v="2024-04-20T00:00:00"/>
    <d v="2024-05-20T00:00:00"/>
    <d v="2024-06-20T00:00:00"/>
    <d v="2024-06-20T00:00:00"/>
    <n v="1"/>
    <n v="5"/>
    <n v="4160"/>
    <n v="4160"/>
    <n v="5200"/>
    <n v="5200"/>
    <n v="5200"/>
    <n v="6240"/>
    <n v="6240"/>
    <n v="6240"/>
  </r>
  <r>
    <n v="544"/>
    <s v="柳州五达汽车部件有限公司"/>
    <x v="1"/>
    <s v="深圳诺信微科技有限公司"/>
    <s v="Elon"/>
    <s v="黎海峰"/>
    <x v="43"/>
    <x v="45"/>
    <m/>
    <x v="1"/>
    <s v="电子换挡器"/>
    <n v="300000"/>
    <s v="小批量"/>
    <m/>
    <s v="NA"/>
    <m/>
    <n v="0.42"/>
    <n v="50400"/>
    <n v="0"/>
    <n v="120000"/>
    <m/>
    <m/>
    <m/>
    <m/>
    <m/>
    <n v="5000"/>
    <n v="5000"/>
    <n v="10000"/>
    <n v="20000"/>
    <n v="20000"/>
    <n v="30000"/>
    <n v="30000"/>
    <m/>
    <m/>
    <m/>
    <m/>
    <m/>
    <m/>
    <m/>
    <m/>
    <m/>
    <m/>
    <m/>
    <m/>
    <s v="1部"/>
    <x v="1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100"/>
    <n v="2100"/>
    <n v="4200"/>
    <n v="8400"/>
    <n v="8400"/>
    <n v="12600"/>
    <n v="12600"/>
  </r>
  <r>
    <n v="545"/>
    <s v="柳州五达汽车部件有限公司"/>
    <x v="1"/>
    <s v="深圳诺信微科技有限公司"/>
    <s v="Elon"/>
    <s v="黎海峰"/>
    <x v="46"/>
    <x v="48"/>
    <m/>
    <x v="0"/>
    <s v="电子换挡器"/>
    <n v="300000"/>
    <s v="小批量"/>
    <m/>
    <s v="NA"/>
    <m/>
    <n v="0.52"/>
    <n v="62400"/>
    <n v="0"/>
    <n v="120000"/>
    <m/>
    <m/>
    <m/>
    <m/>
    <m/>
    <n v="5000"/>
    <n v="5000"/>
    <n v="10000"/>
    <n v="20000"/>
    <n v="20000"/>
    <n v="30000"/>
    <n v="30000"/>
    <m/>
    <m/>
    <m/>
    <m/>
    <m/>
    <m/>
    <m/>
    <m/>
    <m/>
    <m/>
    <m/>
    <m/>
    <s v="1部"/>
    <x v="1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600"/>
    <n v="2600"/>
    <n v="5200"/>
    <n v="10400"/>
    <n v="10400"/>
    <n v="15600"/>
    <n v="15600"/>
  </r>
  <r>
    <n v="546"/>
    <s v="_x0009_天津英创汇智汽车技术有限公司"/>
    <x v="1"/>
    <s v="深圳诺信微科技有限公司"/>
    <s v="Elon"/>
    <s v="王帅"/>
    <x v="68"/>
    <x v="71"/>
    <m/>
    <x v="0"/>
    <s v="ABS轮速传感器"/>
    <n v="400000"/>
    <s v="小批量"/>
    <m/>
    <s v="NA"/>
    <m/>
    <n v="2.5"/>
    <n v="525000"/>
    <n v="0"/>
    <n v="210000"/>
    <m/>
    <m/>
    <m/>
    <n v="10000"/>
    <n v="20000"/>
    <n v="30000"/>
    <n v="30000"/>
    <n v="30000"/>
    <n v="30000"/>
    <n v="30000"/>
    <n v="30000"/>
    <n v="30000"/>
    <m/>
    <m/>
    <m/>
    <m/>
    <m/>
    <m/>
    <m/>
    <m/>
    <m/>
    <m/>
    <m/>
    <m/>
    <s v="Josh"/>
    <x v="1"/>
    <s v="速度传感器"/>
    <s v="汽车电子"/>
    <s v="底盘电子"/>
    <s v="刹车系统"/>
    <s v="ABS传感器"/>
    <m/>
    <m/>
    <m/>
    <m/>
    <n v="45585"/>
    <d v="2023-09-20T00:00:00"/>
    <d v="2023-10-20T00:00:00"/>
    <d v="2023-12-20T00:00:00"/>
    <d v="2024-05-20T00:00:00"/>
    <d v="2024-07-20T00:00:00"/>
    <n v="1"/>
    <n v="5"/>
    <n v="50000"/>
    <n v="75000"/>
    <n v="75000"/>
    <n v="75000"/>
    <n v="75000"/>
    <n v="75000"/>
    <n v="75000"/>
    <n v="75000"/>
  </r>
  <r>
    <n v="547"/>
    <s v="_x0009_天津英创汇智汽车技术有限公司"/>
    <x v="1"/>
    <s v="深圳诺信微科技有限公司"/>
    <s v="Elon"/>
    <s v="王帅"/>
    <x v="56"/>
    <x v="58"/>
    <m/>
    <x v="0"/>
    <s v="ABS轮速传感器"/>
    <n v="400000"/>
    <s v="批量"/>
    <m/>
    <s v="NA"/>
    <m/>
    <n v="2.5"/>
    <n v="325000"/>
    <n v="0"/>
    <n v="130000"/>
    <m/>
    <m/>
    <m/>
    <n v="10000"/>
    <n v="15000"/>
    <n v="20000"/>
    <n v="20000"/>
    <n v="20000"/>
    <n v="20000"/>
    <n v="20000"/>
    <n v="15000"/>
    <n v="15000"/>
    <m/>
    <m/>
    <m/>
    <m/>
    <m/>
    <m/>
    <m/>
    <m/>
    <m/>
    <m/>
    <m/>
    <m/>
    <s v="Josh"/>
    <x v="1"/>
    <s v="速度传感器"/>
    <s v="汽车电子"/>
    <s v="底盘电子"/>
    <s v="刹车系统"/>
    <s v="ABS传感器"/>
    <m/>
    <m/>
    <m/>
    <m/>
    <n v="45646"/>
    <d v="2023-09-20T00:00:00"/>
    <d v="2023-10-20T00:00:00"/>
    <d v="2023-12-20T00:00:00"/>
    <d v="2024-05-20T00:00:00"/>
    <d v="2024-07-20T00:00:00"/>
    <n v="1"/>
    <n v="5"/>
    <n v="37500"/>
    <n v="50000"/>
    <n v="50000"/>
    <n v="50000"/>
    <n v="50000"/>
    <n v="50000"/>
    <n v="37500"/>
    <n v="37500"/>
  </r>
  <r>
    <n v="548"/>
    <s v="上海泰崇电气有限公司"/>
    <x v="0"/>
    <s v="深圳诺信微科技有限公司"/>
    <s v="Elon"/>
    <s v="赵凯"/>
    <x v="11"/>
    <x v="85"/>
    <m/>
    <x v="0"/>
    <s v="家居电机"/>
    <n v="800000"/>
    <s v="送样"/>
    <m/>
    <s v="NA"/>
    <m/>
    <n v="0.32"/>
    <n v="15040"/>
    <n v="0"/>
    <n v="47000"/>
    <m/>
    <m/>
    <m/>
    <n v="2000"/>
    <n v="2000"/>
    <n v="2000"/>
    <n v="5000"/>
    <n v="5000"/>
    <n v="5000"/>
    <n v="10000"/>
    <n v="10000"/>
    <n v="10000"/>
    <m/>
    <m/>
    <m/>
    <m/>
    <m/>
    <m/>
    <m/>
    <m/>
    <m/>
    <m/>
    <m/>
    <m/>
    <s v="3部"/>
    <x v="1"/>
    <s v="磁性位置传感器"/>
    <s v="智能家居"/>
    <s v="电动家具"/>
    <s v="电动桌椅"/>
    <s v="升降桌电机"/>
    <m/>
    <m/>
    <m/>
    <m/>
    <n v="45767"/>
    <d v="2024-09-20T00:00:00"/>
    <d v="2024-10-20T00:00:00"/>
    <d v="2024-11-20T00:00:00"/>
    <d v="2024-12-20T00:00:00"/>
    <d v="2025-01-20T00:00:00"/>
    <n v="1"/>
    <n v="5"/>
    <n v="640"/>
    <n v="640"/>
    <n v="1600"/>
    <n v="1600"/>
    <n v="1600"/>
    <n v="3200"/>
    <n v="3200"/>
    <n v="3200"/>
  </r>
  <r>
    <n v="549"/>
    <s v="上海泰崇电气有限公司"/>
    <x v="0"/>
    <s v="深圳诺信微科技有限公司"/>
    <s v="Elon"/>
    <s v="赵凯"/>
    <x v="28"/>
    <x v="30"/>
    <m/>
    <x v="0"/>
    <s v="家居电机"/>
    <n v="600000"/>
    <s v="批量"/>
    <m/>
    <s v="NA"/>
    <m/>
    <n v="0.32"/>
    <n v="112000"/>
    <n v="0"/>
    <n v="350000"/>
    <n v="6000"/>
    <m/>
    <m/>
    <n v="12000"/>
    <n v="50000"/>
    <n v="50000"/>
    <n v="50000"/>
    <n v="50000"/>
    <n v="50000"/>
    <n v="50000"/>
    <n v="50000"/>
    <n v="50000"/>
    <m/>
    <m/>
    <m/>
    <m/>
    <m/>
    <m/>
    <m/>
    <m/>
    <m/>
    <m/>
    <m/>
    <m/>
    <s v="3部"/>
    <x v="1"/>
    <s v="磁性位置传感器"/>
    <s v="智能家居"/>
    <s v="电动家具"/>
    <s v="电动桌椅"/>
    <s v="升降桌电机"/>
    <m/>
    <m/>
    <m/>
    <m/>
    <n v="45524"/>
    <d v="2024-03-20T00:00:00"/>
    <d v="2024-04-20T00:00:00"/>
    <d v="2024-05-20T00:00:00"/>
    <d v="2024-06-20T00:00:00"/>
    <d v="2024-07-20T00:00:00"/>
    <n v="1"/>
    <n v="5"/>
    <n v="16000"/>
    <n v="16000"/>
    <n v="16000"/>
    <n v="16000"/>
    <n v="16000"/>
    <n v="16000"/>
    <n v="16000"/>
    <n v="16000"/>
  </r>
  <r>
    <n v="550"/>
    <s v="上海泰崇电气有限公司"/>
    <x v="0"/>
    <s v="深圳诺信微科技有限公司"/>
    <s v="Elon"/>
    <s v="赵凯"/>
    <x v="175"/>
    <x v="176"/>
    <m/>
    <x v="0"/>
    <s v="侧移门检测"/>
    <n v="100000"/>
    <s v="送样"/>
    <m/>
    <s v="NA"/>
    <m/>
    <n v="0.52"/>
    <n v="10920"/>
    <n v="0"/>
    <n v="21000"/>
    <m/>
    <m/>
    <m/>
    <m/>
    <m/>
    <m/>
    <m/>
    <m/>
    <m/>
    <n v="5000"/>
    <n v="8000"/>
    <n v="8000"/>
    <m/>
    <m/>
    <m/>
    <m/>
    <m/>
    <m/>
    <m/>
    <m/>
    <m/>
    <m/>
    <m/>
    <m/>
    <s v="3部"/>
    <x v="1"/>
    <s v="磁性位置传感器"/>
    <s v="汽车电子"/>
    <s v="车身电子"/>
    <s v="车门系统"/>
    <s v="车门电机"/>
    <m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4160"/>
    <n v="4160"/>
  </r>
  <r>
    <n v="551"/>
    <s v="上海英汇科技发展有限公司"/>
    <x v="0"/>
    <s v="深圳诺信微科技有限公司"/>
    <s v="Elon"/>
    <s v="赵凯"/>
    <x v="71"/>
    <x v="74"/>
    <m/>
    <x v="0"/>
    <s v="车门踏板"/>
    <n v="100000"/>
    <s v="小批量"/>
    <m/>
    <s v="NA"/>
    <m/>
    <n v="0.52"/>
    <n v="29120"/>
    <n v="0"/>
    <n v="56000"/>
    <m/>
    <m/>
    <m/>
    <n v="5000"/>
    <n v="5000"/>
    <n v="5000"/>
    <n v="5000"/>
    <n v="8000"/>
    <n v="8000"/>
    <n v="10000"/>
    <n v="10000"/>
    <n v="10000"/>
    <m/>
    <m/>
    <m/>
    <m/>
    <m/>
    <m/>
    <m/>
    <m/>
    <m/>
    <m/>
    <m/>
    <m/>
    <s v="1部"/>
    <x v="1"/>
    <s v="磁性位置传感器"/>
    <s v="汽车电子"/>
    <s v="车身电子"/>
    <s v="车身其他"/>
    <s v="车门踏板电机"/>
    <m/>
    <m/>
    <m/>
    <m/>
    <n v="45585"/>
    <d v="2024-02-20T00:00:00"/>
    <d v="2024-03-20T00:00:00"/>
    <d v="2024-04-20T00:00:00"/>
    <d v="2024-05-20T00:00:00"/>
    <d v="2024-07-20T00:00:00"/>
    <n v="1"/>
    <n v="5"/>
    <n v="2600"/>
    <n v="2600"/>
    <n v="2600"/>
    <n v="4160"/>
    <n v="4160"/>
    <n v="5200"/>
    <n v="5200"/>
    <n v="5200"/>
  </r>
  <r>
    <n v="552"/>
    <s v="浙江宏发精密科技有限公司"/>
    <x v="1"/>
    <s v="深圳市首显电子设计有限公司"/>
    <s v="Elon"/>
    <s v="Vivi"/>
    <x v="176"/>
    <x v="177"/>
    <m/>
    <x v="0"/>
    <s v="光伏电流传感器"/>
    <n v="300000"/>
    <s v="小批量"/>
    <m/>
    <s v="NA"/>
    <m/>
    <n v="2.8"/>
    <n v="350000"/>
    <n v="0"/>
    <n v="125000"/>
    <m/>
    <m/>
    <m/>
    <m/>
    <n v="5000"/>
    <n v="5000"/>
    <n v="10000"/>
    <n v="10000"/>
    <n v="20000"/>
    <n v="20000"/>
    <n v="30000"/>
    <n v="3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56000"/>
    <n v="56000"/>
    <n v="84000"/>
    <n v="84000"/>
  </r>
  <r>
    <n v="553"/>
    <s v="浙江宏发精密科技有限公司"/>
    <x v="1"/>
    <s v="深圳市首显电子设计有限公司"/>
    <s v="Elon"/>
    <s v="Vivi"/>
    <x v="0"/>
    <x v="0"/>
    <m/>
    <x v="0"/>
    <s v="储能电流传感器"/>
    <n v="300000"/>
    <s v="小批量"/>
    <m/>
    <s v="NA"/>
    <m/>
    <n v="2.8"/>
    <n v="350000"/>
    <n v="0"/>
    <n v="125000"/>
    <m/>
    <m/>
    <m/>
    <m/>
    <n v="5000"/>
    <n v="5000"/>
    <n v="10000"/>
    <n v="10000"/>
    <n v="20000"/>
    <n v="20000"/>
    <n v="30000"/>
    <n v="3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56000"/>
    <n v="56000"/>
    <n v="84000"/>
    <n v="84000"/>
  </r>
  <r>
    <n v="554"/>
    <s v="浙江宏发精密科技有限公司"/>
    <x v="1"/>
    <s v="深圳市首显电子设计有限公司"/>
    <s v="Elon"/>
    <s v="Vivi"/>
    <x v="0"/>
    <x v="0"/>
    <m/>
    <x v="0"/>
    <s v="电摩电流传感器"/>
    <n v="300000"/>
    <s v="小批量"/>
    <m/>
    <s v="NA"/>
    <m/>
    <n v="2.8"/>
    <n v="420000"/>
    <n v="0"/>
    <n v="150000"/>
    <m/>
    <m/>
    <m/>
    <m/>
    <m/>
    <n v="10000"/>
    <n v="10000"/>
    <n v="20000"/>
    <n v="20000"/>
    <n v="30000"/>
    <n v="30000"/>
    <n v="3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28000"/>
    <n v="28000"/>
    <n v="56000"/>
    <n v="56000"/>
    <n v="84000"/>
    <n v="84000"/>
    <n v="84000"/>
  </r>
  <r>
    <n v="555"/>
    <s v="浙江宏发精密科技有限公司"/>
    <x v="1"/>
    <s v="深圳市首显电子设计有限公司"/>
    <s v="Elon"/>
    <s v="Vivi"/>
    <x v="65"/>
    <x v="178"/>
    <m/>
    <x v="0"/>
    <s v="电摩电流传感器"/>
    <n v="200000"/>
    <s v="送样"/>
    <m/>
    <s v="NA"/>
    <m/>
    <n v="2.8"/>
    <n v="224000"/>
    <n v="0"/>
    <n v="80000"/>
    <m/>
    <m/>
    <m/>
    <m/>
    <m/>
    <m/>
    <m/>
    <n v="10000"/>
    <n v="10000"/>
    <n v="20000"/>
    <n v="20000"/>
    <n v="2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28000"/>
    <n v="28000"/>
    <n v="56000"/>
    <n v="56000"/>
    <n v="56000"/>
  </r>
  <r>
    <n v="556"/>
    <s v="厦门宏发电力电器有限公司"/>
    <x v="1"/>
    <s v="深圳市首显电子设计有限公司"/>
    <s v="Elon"/>
    <s v="Vivi"/>
    <x v="177"/>
    <x v="179"/>
    <m/>
    <x v="0"/>
    <s v="高压直流继电器"/>
    <n v="500000"/>
    <s v="送样"/>
    <m/>
    <s v="NA"/>
    <m/>
    <n v="2.8"/>
    <n v="14000"/>
    <n v="0"/>
    <n v="5000"/>
    <m/>
    <m/>
    <m/>
    <m/>
    <m/>
    <m/>
    <m/>
    <m/>
    <m/>
    <m/>
    <m/>
    <n v="5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0"/>
    <n v="0"/>
    <n v="0"/>
    <n v="0"/>
    <n v="14000"/>
  </r>
  <r>
    <n v="557"/>
    <s v="奥托立夫（上海）汽车安全系统研发有限公司"/>
    <x v="2"/>
    <s v="武汉艾捷芯汽车科技有限公司"/>
    <s v="Elon"/>
    <s v="陈颖"/>
    <x v="178"/>
    <x v="180"/>
    <m/>
    <x v="0"/>
    <s v="安全带插锁"/>
    <n v="2000000"/>
    <s v="小批量"/>
    <m/>
    <s v="MLX92241LSE"/>
    <m/>
    <n v="0.55"/>
    <n v="88000"/>
    <n v="0"/>
    <n v="160000"/>
    <m/>
    <m/>
    <m/>
    <m/>
    <n v="20000"/>
    <n v="10000"/>
    <n v="20000"/>
    <n v="20000"/>
    <n v="30000"/>
    <n v="30000"/>
    <n v="30000"/>
    <n v="20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插锁"/>
    <m/>
    <m/>
    <m/>
    <n v="1"/>
    <n v="45828"/>
    <d v="2023-01-20T00:00:00"/>
    <d v="2024-01-20T00:00:00"/>
    <d v="2024-03-20T00:00:00"/>
    <d v="2024-06-20T00:00:00"/>
    <d v="2024-07-20T00:00:00"/>
    <n v="1"/>
    <n v="5"/>
    <n v="11000"/>
    <n v="5500"/>
    <n v="11000"/>
    <n v="11000"/>
    <n v="16500"/>
    <n v="16500"/>
    <n v="16500"/>
    <n v="11000"/>
  </r>
  <r>
    <n v="558"/>
    <s v="奥托立夫（上海）汽车安全系统研发有限公司"/>
    <x v="2"/>
    <s v="武汉艾捷芯汽车科技有限公司"/>
    <s v="Elon"/>
    <s v="陈颖"/>
    <x v="179"/>
    <x v="181"/>
    <m/>
    <x v="0"/>
    <s v="安全带插锁"/>
    <n v="500000"/>
    <s v="送样"/>
    <m/>
    <s v="MLX92242LUA"/>
    <m/>
    <n v="0.75"/>
    <n v="3750"/>
    <n v="0"/>
    <n v="5000"/>
    <m/>
    <m/>
    <m/>
    <m/>
    <m/>
    <m/>
    <m/>
    <m/>
    <m/>
    <m/>
    <m/>
    <n v="5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插锁"/>
    <m/>
    <m/>
    <m/>
    <m/>
    <n v="45828"/>
    <d v="2024-01-20T00:00:00"/>
    <d v="2024-06-20T00:00:00"/>
    <d v="2024-08-20T00:00:00"/>
    <d v="2024-11-20T00:00:00"/>
    <d v="2024-12-20T00:00:00"/>
    <n v="0.2"/>
    <n v="5"/>
    <n v="0"/>
    <n v="0"/>
    <n v="0"/>
    <n v="0"/>
    <n v="0"/>
    <n v="0"/>
    <n v="0"/>
    <n v="3750"/>
  </r>
  <r>
    <n v="559"/>
    <s v="奥托立夫（上海）汽车安全系统研发有限公司"/>
    <x v="2"/>
    <s v="武汉艾捷芯汽车科技有限公司"/>
    <s v="Elon"/>
    <s v="陈颖"/>
    <x v="7"/>
    <x v="7"/>
    <m/>
    <x v="0"/>
    <s v="安全带卷收器"/>
    <n v="200000"/>
    <s v="小批量"/>
    <m/>
    <s v="TLE4963-1M"/>
    <m/>
    <n v="0.45"/>
    <n v="10800"/>
    <n v="0"/>
    <n v="24000"/>
    <m/>
    <m/>
    <m/>
    <m/>
    <m/>
    <m/>
    <m/>
    <m/>
    <m/>
    <n v="8000"/>
    <n v="8000"/>
    <n v="8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卷收器"/>
    <s v="大众"/>
    <m/>
    <m/>
    <n v="2"/>
    <n v="45736"/>
    <d v="2024-01-20T00:00:00"/>
    <d v="2024-02-20T00:00:00"/>
    <d v="2024-03-20T00:00:00"/>
    <d v="2024-05-20T00:00:00"/>
    <d v="2024-07-20T00:00:00"/>
    <n v="1"/>
    <n v="5"/>
    <n v="0"/>
    <n v="0"/>
    <n v="0"/>
    <n v="0"/>
    <n v="0"/>
    <n v="3600"/>
    <n v="3600"/>
    <n v="3600"/>
  </r>
  <r>
    <n v="560"/>
    <s v="奥托立夫（上海）汽车安全系统研发有限公司"/>
    <x v="2"/>
    <s v="武汉艾捷芯汽车科技有限公司"/>
    <s v="Elon"/>
    <s v="陈颖"/>
    <x v="32"/>
    <x v="35"/>
    <m/>
    <x v="0"/>
    <s v="安全带支架"/>
    <n v="200000"/>
    <s v="送样"/>
    <m/>
    <s v="HAL835A"/>
    <m/>
    <n v="2.8"/>
    <n v="420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Axel"/>
    <x v="1"/>
    <s v="角度传感器"/>
    <s v="汽车电子"/>
    <s v="车身电子"/>
    <s v="安全带系统"/>
    <s v="安全带BTS"/>
    <m/>
    <m/>
    <m/>
    <m/>
    <n v="45736"/>
    <d v="2023-01-20T00:00:00"/>
    <d v="2024-01-20T00:00:00"/>
    <d v="2024-03-20T00:00:00"/>
    <d v="2024-06-20T00:00:00"/>
    <d v="2024-07-20T00:00:00"/>
    <n v="1"/>
    <n v="5"/>
    <n v="0"/>
    <n v="0"/>
    <n v="0"/>
    <n v="0"/>
    <n v="0"/>
    <n v="14000"/>
    <n v="14000"/>
    <n v="14000"/>
  </r>
  <r>
    <n v="561"/>
    <s v="卡奥斯创智物联科技有限公司"/>
    <x v="0"/>
    <s v="帕太国际贸易（上海）有限公司"/>
    <s v="Elon"/>
    <s v="王金"/>
    <x v="29"/>
    <x v="32"/>
    <m/>
    <x v="0"/>
    <s v="洗衣机排水泵"/>
    <n v="700000"/>
    <s v="批量"/>
    <m/>
    <s v="NA"/>
    <m/>
    <n v="0.235"/>
    <n v="32900"/>
    <n v="0"/>
    <n v="140000"/>
    <m/>
    <m/>
    <m/>
    <n v="18000"/>
    <n v="20000"/>
    <n v="20000"/>
    <n v="20000"/>
    <n v="20000"/>
    <n v="20000"/>
    <n v="20000"/>
    <n v="20000"/>
    <n v="20000"/>
    <m/>
    <m/>
    <m/>
    <m/>
    <m/>
    <m/>
    <m/>
    <m/>
    <m/>
    <m/>
    <m/>
    <m/>
    <s v="3部"/>
    <x v="1"/>
    <s v="磁性位置传感器"/>
    <s v="智能家居"/>
    <s v="大型家电"/>
    <s v="洗衣机"/>
    <m/>
    <s v="海尔"/>
    <m/>
    <m/>
    <n v="2"/>
    <n v="45646"/>
    <d v="2024-04-20T00:00:00"/>
    <d v="2024-05-20T00:00:00"/>
    <d v="2024-06-20T00:00:00"/>
    <d v="2024-07-20T00:00:00"/>
    <d v="2024-08-20T00:00:00"/>
    <n v="1"/>
    <n v="5"/>
    <n v="4700"/>
    <n v="4700"/>
    <n v="4700"/>
    <n v="4700"/>
    <n v="4700"/>
    <n v="4700"/>
    <n v="4700"/>
    <n v="4700"/>
  </r>
  <r>
    <n v="562"/>
    <s v="卡奥斯创智物联科技有限公司"/>
    <x v="0"/>
    <s v="帕太国际贸易（上海）有限公司"/>
    <s v="Elon"/>
    <s v="王金"/>
    <x v="172"/>
    <x v="31"/>
    <m/>
    <x v="0"/>
    <s v="工业风机"/>
    <n v="120000"/>
    <s v="批量"/>
    <m/>
    <s v="CC6904"/>
    <m/>
    <n v="2.3"/>
    <n v="8050"/>
    <n v="0"/>
    <n v="3500"/>
    <m/>
    <m/>
    <m/>
    <m/>
    <m/>
    <n v="500"/>
    <n v="500"/>
    <n v="500"/>
    <n v="500"/>
    <n v="500"/>
    <n v="500"/>
    <n v="500"/>
    <m/>
    <m/>
    <m/>
    <m/>
    <m/>
    <m/>
    <m/>
    <m/>
    <m/>
    <m/>
    <m/>
    <m/>
    <s v="2部"/>
    <x v="1"/>
    <s v="电流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1150"/>
    <n v="1150"/>
    <n v="1150"/>
    <n v="1150"/>
    <n v="1150"/>
    <n v="1150"/>
    <n v="1150"/>
  </r>
  <r>
    <n v="563"/>
    <s v="卡奥斯创智物联科技有限公司"/>
    <x v="0"/>
    <s v="帕太国际贸易（上海）有限公司"/>
    <s v="Elon"/>
    <s v="王金"/>
    <x v="180"/>
    <x v="31"/>
    <m/>
    <x v="0"/>
    <s v="冰箱门检测"/>
    <n v="10000000"/>
    <s v="评估"/>
    <m/>
    <s v="BD7411G"/>
    <m/>
    <n v="0.68"/>
    <n v="102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2部"/>
    <x v="1"/>
    <s v="磁性位置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0"/>
    <n v="0"/>
    <n v="0"/>
    <n v="0"/>
    <n v="3400"/>
    <n v="3400"/>
    <n v="3400"/>
  </r>
  <r>
    <n v="564"/>
    <s v="深圳华美和控制系统有限公司"/>
    <x v="1"/>
    <s v="上海致馨电子科技有限公司"/>
    <s v="Elon"/>
    <s v="童建东"/>
    <x v="68"/>
    <x v="71"/>
    <m/>
    <x v="0"/>
    <s v="摩托车ABS轮速传感器"/>
    <n v="300000"/>
    <s v="批量"/>
    <m/>
    <s v="TLE4941"/>
    <m/>
    <n v="2.2"/>
    <n v="682000"/>
    <n v="0"/>
    <n v="310000"/>
    <m/>
    <m/>
    <n v="47000"/>
    <n v="20000"/>
    <n v="30000"/>
    <n v="30000"/>
    <n v="40000"/>
    <n v="40000"/>
    <n v="50000"/>
    <n v="50000"/>
    <n v="50000"/>
    <n v="50000"/>
    <m/>
    <m/>
    <m/>
    <m/>
    <m/>
    <m/>
    <m/>
    <m/>
    <m/>
    <m/>
    <m/>
    <m/>
    <s v="1部"/>
    <x v="1"/>
    <s v="速度传感器"/>
    <s v="替代交通"/>
    <s v="电动二轮/三轮"/>
    <m/>
    <m/>
    <m/>
    <m/>
    <m/>
    <m/>
    <n v="45493"/>
    <d v="2024-03-20T00:00:00"/>
    <d v="2024-04-20T00:00:00"/>
    <d v="2024-05-20T00:00:00"/>
    <d v="2024-06-20T00:00:00"/>
    <d v="2024-06-20T00:00:00"/>
    <n v="1"/>
    <n v="5"/>
    <n v="66000"/>
    <n v="66000"/>
    <n v="88000"/>
    <n v="88000"/>
    <n v="110000"/>
    <n v="110000"/>
    <n v="110000"/>
    <n v="110000"/>
  </r>
  <r>
    <n v="565"/>
    <s v="八方电气（苏州）股份有限公司"/>
    <x v="1"/>
    <s v="无锡友创电子有限公司"/>
    <s v="Elon"/>
    <s v="曹友生"/>
    <x v="59"/>
    <x v="61"/>
    <m/>
    <x v="0"/>
    <s v="Ebike中置电机速度检测"/>
    <n v="300000"/>
    <s v="送样"/>
    <m/>
    <s v="NA"/>
    <m/>
    <n v="2.52"/>
    <n v="80640"/>
    <n v="0"/>
    <n v="32000"/>
    <m/>
    <m/>
    <m/>
    <m/>
    <n v="1000"/>
    <n v="3000"/>
    <n v="3000"/>
    <n v="3000"/>
    <n v="5000"/>
    <n v="5000"/>
    <n v="5000"/>
    <n v="8000"/>
    <m/>
    <m/>
    <m/>
    <m/>
    <m/>
    <m/>
    <m/>
    <m/>
    <m/>
    <m/>
    <m/>
    <m/>
    <s v="1部"/>
    <x v="1"/>
    <s v="速度传感器"/>
    <s v="替代交通"/>
    <s v="电动二轮/三轮"/>
    <m/>
    <m/>
    <m/>
    <m/>
    <m/>
    <m/>
    <n v="45828"/>
    <d v="2025-08-20T00:00:00"/>
    <d v="2025-08-20T00:00:00"/>
    <d v="2024-10-20T00:00:00"/>
    <d v="2024-12-20T00:00:00"/>
    <d v="2025-02-20T00:00:00"/>
    <n v="1"/>
    <n v="5"/>
    <n v="2520"/>
    <n v="7560"/>
    <n v="7560"/>
    <n v="7560"/>
    <n v="12600"/>
    <n v="12600"/>
    <n v="12600"/>
    <n v="20160"/>
  </r>
  <r>
    <n v="566"/>
    <s v="逸航汽车零部件（嘉善）有限公司"/>
    <x v="1"/>
    <s v="_x0009_孚津利（上海）电子科技有限公司"/>
    <s v="Elon"/>
    <s v="待定"/>
    <x v="27"/>
    <x v="29"/>
    <m/>
    <x v="0"/>
    <s v="尾门电撑杆"/>
    <n v="4000000"/>
    <s v="送样"/>
    <m/>
    <s v="MLX92211LSE"/>
    <m/>
    <n v="0.452"/>
    <n v="31640"/>
    <n v="0"/>
    <n v="70000"/>
    <m/>
    <m/>
    <m/>
    <m/>
    <m/>
    <m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260"/>
    <n v="2260"/>
    <n v="4520"/>
    <n v="4520"/>
    <n v="9040"/>
    <n v="9040"/>
  </r>
  <r>
    <n v="567"/>
    <s v="逸航汽车零部件（嘉善）有限公司"/>
    <x v="1"/>
    <s v="_x0009_孚津利（上海）电子科技有限公司"/>
    <s v="Elon"/>
    <s v="待定"/>
    <x v="43"/>
    <x v="45"/>
    <m/>
    <x v="0"/>
    <s v="座椅位置检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68"/>
    <s v="逸航汽车零部件（嘉善）有限公司"/>
    <x v="1"/>
    <s v="_x0009_孚津利（上海）电子科技有限公司"/>
    <s v="Elon"/>
    <s v="待定"/>
    <x v="181"/>
    <x v="31"/>
    <m/>
    <x v="0"/>
    <s v="转向角度检测"/>
    <n v="500000"/>
    <s v="评估"/>
    <m/>
    <s v="TLE4906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69"/>
    <s v="重庆伟时光电科技有限公司"/>
    <x v="1"/>
    <s v="_x0009_孚津利（上海）电子科技有限公司"/>
    <s v="Elon"/>
    <s v="待定"/>
    <x v="27"/>
    <x v="29"/>
    <m/>
    <x v="0"/>
    <s v="尾门电撑杆"/>
    <n v="1000000"/>
    <s v="评估"/>
    <m/>
    <s v="MLX92211LSE"/>
    <m/>
    <n v="0.52"/>
    <n v="36400"/>
    <n v="0"/>
    <n v="70000"/>
    <m/>
    <m/>
    <m/>
    <m/>
    <m/>
    <m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600"/>
    <n v="2600"/>
    <n v="5200"/>
    <n v="5200"/>
    <n v="10400"/>
    <n v="10400"/>
  </r>
  <r>
    <n v="570"/>
    <s v="东芝家用电器制造（南海）有限公司"/>
    <x v="1"/>
    <s v="鉴微信息科技（上海）有限公司"/>
    <s v="Elon"/>
    <s v="王军"/>
    <x v="182"/>
    <x v="182"/>
    <m/>
    <x v="0"/>
    <s v="冰箱门开合检测"/>
    <n v="4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1"/>
    <s v="东芝家用电器制造（南海）有限公司"/>
    <x v="1"/>
    <s v="鉴微信息科技（上海）有限公司"/>
    <s v="Elon"/>
    <s v="王军"/>
    <x v="173"/>
    <x v="173"/>
    <m/>
    <x v="0"/>
    <s v="制冰机开合检测"/>
    <n v="2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2"/>
    <s v="合肥美的电冰箱有限公司"/>
    <x v="1"/>
    <s v="鉴微信息科技（上海）有限公司"/>
    <s v="Elon"/>
    <s v="王军"/>
    <x v="107"/>
    <x v="123"/>
    <m/>
    <x v="0"/>
    <s v="冰箱门角度检测"/>
    <n v="2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3"/>
    <s v="合肥美的电冰箱有限公司"/>
    <x v="1"/>
    <s v="鉴微信息科技（上海）有限公司"/>
    <s v="Elon"/>
    <s v="王军"/>
    <x v="173"/>
    <x v="173"/>
    <m/>
    <x v="0"/>
    <s v="冰箱升降搁架"/>
    <n v="2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4"/>
    <s v="合肥美的电冰箱有限公司"/>
    <x v="1"/>
    <s v="鉴微信息科技（上海）有限公司"/>
    <s v="Elon"/>
    <s v="王军"/>
    <x v="182"/>
    <x v="182"/>
    <m/>
    <x v="0"/>
    <s v="冰箱门开合检测"/>
    <n v="300000"/>
    <s v="小批量"/>
    <m/>
    <s v="NA"/>
    <m/>
    <n v="0.52"/>
    <n v="39000"/>
    <n v="0"/>
    <n v="75000"/>
    <m/>
    <n v="3000"/>
    <m/>
    <m/>
    <n v="3000"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m/>
    <m/>
    <m/>
    <m/>
    <m/>
    <m/>
    <m/>
    <m/>
    <n v="1560"/>
    <n v="2600"/>
    <n v="2600"/>
    <n v="2600"/>
    <n v="5200"/>
    <n v="5200"/>
    <n v="10400"/>
    <n v="10400"/>
  </r>
  <r>
    <n v="575"/>
    <s v="宁波华德汽车零部件有限公司"/>
    <x v="1"/>
    <s v="南京富聚科技有限公司"/>
    <s v="Elon"/>
    <s v="陆建明"/>
    <x v="42"/>
    <x v="44"/>
    <m/>
    <x v="0"/>
    <s v="隐藏式门锁"/>
    <n v="1000000"/>
    <s v="送样"/>
    <m/>
    <s v="MT8315ET"/>
    <m/>
    <n v="0.52"/>
    <n v="936000"/>
    <n v="0"/>
    <n v="1800000"/>
    <m/>
    <m/>
    <m/>
    <m/>
    <m/>
    <m/>
    <n v="300000"/>
    <n v="300000"/>
    <n v="300000"/>
    <n v="300000"/>
    <n v="300000"/>
    <n v="300000"/>
    <m/>
    <m/>
    <m/>
    <m/>
    <m/>
    <m/>
    <m/>
    <m/>
    <m/>
    <m/>
    <m/>
    <m/>
    <s v="1部"/>
    <x v="1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156000"/>
    <n v="156000"/>
    <n v="156000"/>
    <n v="156000"/>
    <n v="156000"/>
    <n v="156000"/>
  </r>
  <r>
    <n v="576"/>
    <s v="宁波华德汽车零部件有限公司"/>
    <x v="1"/>
    <s v="南京富聚科技有限公司"/>
    <s v="Elon"/>
    <s v="陆建明"/>
    <x v="43"/>
    <x v="45"/>
    <m/>
    <x v="0"/>
    <m/>
    <m/>
    <m/>
    <m/>
    <m/>
    <m/>
    <n v="0.4"/>
    <n v="120000"/>
    <m/>
    <n v="300000"/>
    <m/>
    <m/>
    <m/>
    <m/>
    <m/>
    <m/>
    <n v="50000"/>
    <n v="50000"/>
    <n v="50000"/>
    <n v="50000"/>
    <n v="50000"/>
    <n v="50000"/>
    <m/>
    <m/>
    <m/>
    <m/>
    <m/>
    <m/>
    <m/>
    <m/>
    <m/>
    <m/>
    <m/>
    <m/>
    <s v="1部"/>
    <x v="1"/>
    <s v="磁性位置传感器"/>
    <m/>
    <m/>
    <m/>
    <m/>
    <m/>
    <m/>
    <m/>
    <m/>
    <m/>
    <m/>
    <m/>
    <m/>
    <m/>
    <m/>
    <m/>
    <m/>
    <m/>
    <n v="0"/>
    <n v="20000"/>
    <n v="20000"/>
    <n v="20000"/>
    <n v="20000"/>
    <n v="20000"/>
    <n v="20000"/>
  </r>
  <r>
    <n v="577"/>
    <s v="宁波华德汽车零部件有限公司"/>
    <x v="1"/>
    <s v="南京富聚科技有限公司"/>
    <s v="Elon"/>
    <s v="陆建明"/>
    <x v="183"/>
    <x v="183"/>
    <m/>
    <x v="0"/>
    <m/>
    <m/>
    <m/>
    <m/>
    <m/>
    <m/>
    <n v="0.5198"/>
    <n v="467820"/>
    <m/>
    <n v="900000"/>
    <m/>
    <m/>
    <m/>
    <m/>
    <m/>
    <m/>
    <n v="150000"/>
    <n v="150000"/>
    <n v="150000"/>
    <n v="150000"/>
    <n v="150000"/>
    <n v="150000"/>
    <m/>
    <m/>
    <m/>
    <m/>
    <m/>
    <m/>
    <m/>
    <m/>
    <m/>
    <m/>
    <m/>
    <m/>
    <s v="1部"/>
    <x v="1"/>
    <s v="磁性位置传感器"/>
    <m/>
    <m/>
    <m/>
    <m/>
    <m/>
    <m/>
    <m/>
    <m/>
    <m/>
    <m/>
    <m/>
    <m/>
    <m/>
    <m/>
    <m/>
    <m/>
    <m/>
    <n v="0"/>
    <n v="77970"/>
    <n v="77970"/>
    <n v="77970"/>
    <n v="77970"/>
    <n v="77970"/>
    <n v="77970"/>
  </r>
  <r>
    <n v="578"/>
    <s v="宁波华德汽车零部件有限公司"/>
    <x v="1"/>
    <s v="南京富聚科技有限公司"/>
    <s v="Elon"/>
    <s v="陆建明"/>
    <x v="155"/>
    <x v="161"/>
    <m/>
    <x v="0"/>
    <m/>
    <m/>
    <m/>
    <m/>
    <m/>
    <m/>
    <n v="0.66"/>
    <n v="118800"/>
    <m/>
    <n v="180000"/>
    <m/>
    <m/>
    <m/>
    <m/>
    <m/>
    <m/>
    <n v="30000"/>
    <n v="30000"/>
    <n v="30000"/>
    <n v="30000"/>
    <n v="30000"/>
    <n v="30000"/>
    <m/>
    <m/>
    <m/>
    <m/>
    <m/>
    <m/>
    <m/>
    <m/>
    <m/>
    <m/>
    <m/>
    <m/>
    <s v="1部"/>
    <x v="1"/>
    <s v="磁性位置传感器"/>
    <m/>
    <m/>
    <m/>
    <m/>
    <m/>
    <m/>
    <m/>
    <m/>
    <m/>
    <m/>
    <m/>
    <m/>
    <m/>
    <m/>
    <m/>
    <m/>
    <m/>
    <n v="0"/>
    <n v="19800"/>
    <n v="19800"/>
    <n v="19800"/>
    <n v="19800"/>
    <n v="19800"/>
    <n v="19800"/>
  </r>
  <r>
    <n v="579"/>
    <s v="泛亚汽车技术中心有限公司"/>
    <x v="0"/>
    <s v="_x0009_孚津利（上海）电子科技有限公司"/>
    <s v="Elon"/>
    <s v="王伟"/>
    <x v="184"/>
    <x v="31"/>
    <m/>
    <x v="0"/>
    <s v="隐藏式门把手"/>
    <n v="500000"/>
    <s v="评估"/>
    <m/>
    <s v="待确认"/>
    <m/>
    <n v="0.78"/>
    <n v="0"/>
    <n v="0"/>
    <n v="0"/>
    <m/>
    <m/>
    <m/>
    <m/>
    <m/>
    <m/>
    <m/>
    <m/>
    <m/>
    <m/>
    <m/>
    <m/>
    <m/>
    <m/>
    <m/>
    <m/>
    <m/>
    <m/>
    <m/>
    <m/>
    <m/>
    <m/>
    <m/>
    <m/>
    <s v="1部"/>
    <x v="1"/>
    <s v="磁性位置传感器"/>
    <s v="汽车电子"/>
    <s v="汽车电子"/>
    <s v="车身电子"/>
    <s v="车门系统"/>
    <m/>
    <m/>
    <m/>
    <m/>
    <m/>
    <m/>
    <m/>
    <m/>
    <m/>
    <m/>
    <m/>
    <m/>
    <n v="0"/>
    <n v="0"/>
    <n v="0"/>
    <n v="0"/>
    <n v="0"/>
    <n v="0"/>
    <n v="0"/>
    <n v="0"/>
  </r>
  <r>
    <n v="580"/>
    <s v="合肥巨一动力系统有限公司"/>
    <x v="1"/>
    <s v="上海亿韧电子有限公司"/>
    <s v="Elon"/>
    <s v="麻龙龙"/>
    <x v="0"/>
    <x v="0"/>
    <m/>
    <x v="0"/>
    <s v="电控电流传感器"/>
    <n v="300000"/>
    <s v="评估"/>
    <m/>
    <s v="MLX91209"/>
    <m/>
    <n v="2.8"/>
    <n v="84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电流传感器"/>
    <s v="汽车电子"/>
    <s v="三电系统"/>
    <s v="三电电驱控制"/>
    <s v="电控电流传感器"/>
    <m/>
    <m/>
    <m/>
    <m/>
    <m/>
    <m/>
    <m/>
    <m/>
    <m/>
    <m/>
    <m/>
    <m/>
    <n v="0"/>
    <n v="0"/>
    <n v="0"/>
    <n v="0"/>
    <n v="0"/>
    <n v="28000"/>
    <n v="28000"/>
    <n v="28000"/>
  </r>
  <r>
    <n v="581"/>
    <s v="杰必机电（中国）有限公司"/>
    <x v="1"/>
    <s v="上海聚臣电子科技有限公司"/>
    <s v="Elon"/>
    <s v="王伟"/>
    <x v="175"/>
    <x v="176"/>
    <m/>
    <x v="0"/>
    <s v="智能后视镜"/>
    <n v="1000000"/>
    <s v="评估"/>
    <m/>
    <s v="NA"/>
    <m/>
    <n v="0.52"/>
    <n v="2600"/>
    <n v="0"/>
    <n v="5000"/>
    <m/>
    <m/>
    <m/>
    <m/>
    <m/>
    <m/>
    <m/>
    <m/>
    <m/>
    <m/>
    <m/>
    <n v="5000"/>
    <m/>
    <m/>
    <m/>
    <m/>
    <m/>
    <m/>
    <m/>
    <m/>
    <m/>
    <m/>
    <m/>
    <m/>
    <s v="1部"/>
    <x v="1"/>
    <s v="磁性位置传感器"/>
    <s v="汽车电子"/>
    <s v="车身电子"/>
    <s v="后视镜"/>
    <s v="尾门撑杆电机"/>
    <m/>
    <m/>
    <m/>
    <m/>
    <m/>
    <m/>
    <m/>
    <m/>
    <m/>
    <m/>
    <m/>
    <m/>
    <n v="0"/>
    <n v="0"/>
    <n v="0"/>
    <n v="0"/>
    <n v="0"/>
    <n v="0"/>
    <n v="0"/>
    <n v="2600"/>
  </r>
  <r>
    <n v="582"/>
    <s v="微进电子科技（上海）有限公司"/>
    <x v="2"/>
    <s v="上海碧讯实业有限公司"/>
    <s v="Leo"/>
    <s v="吕斐"/>
    <x v="7"/>
    <x v="7"/>
    <m/>
    <x v="0"/>
    <m/>
    <m/>
    <m/>
    <m/>
    <m/>
    <m/>
    <n v="0.37"/>
    <n v="20720"/>
    <m/>
    <n v="56000"/>
    <m/>
    <m/>
    <m/>
    <m/>
    <m/>
    <n v="8000"/>
    <n v="8000"/>
    <n v="8000"/>
    <n v="8000"/>
    <n v="8000"/>
    <n v="8000"/>
    <n v="8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2960"/>
    <n v="2960"/>
    <n v="2960"/>
    <n v="2960"/>
    <n v="2960"/>
    <n v="2960"/>
    <n v="2960"/>
  </r>
  <r>
    <n v="583"/>
    <s v="上海保隆汽车科技（安徽）有限公司"/>
    <x v="0"/>
    <s v="上海君芷电子科技有限公司"/>
    <s v="Stephen"/>
    <s v="王健"/>
    <x v="7"/>
    <x v="7"/>
    <m/>
    <x v="0"/>
    <s v="空气悬架压缩机控制器"/>
    <m/>
    <m/>
    <m/>
    <m/>
    <m/>
    <n v="0.36"/>
    <n v="69444"/>
    <m/>
    <n v="192900"/>
    <m/>
    <m/>
    <m/>
    <m/>
    <m/>
    <n v="18000"/>
    <n v="16400"/>
    <n v="18000"/>
    <n v="86500"/>
    <n v="18000"/>
    <n v="18000"/>
    <n v="18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6480"/>
    <n v="5904"/>
    <n v="6480"/>
    <n v="31140"/>
    <n v="6480"/>
    <n v="6480"/>
    <n v="6480"/>
  </r>
  <r>
    <n v="584"/>
    <s v="浙江科丰传感器股份有限公司"/>
    <x v="1"/>
    <s v="上海霍通电子有限公司"/>
    <s v="Stephen"/>
    <s v="张翼鹏"/>
    <x v="151"/>
    <x v="159"/>
    <m/>
    <x v="0"/>
    <m/>
    <m/>
    <m/>
    <m/>
    <m/>
    <m/>
    <n v="6.5"/>
    <n v="130000"/>
    <m/>
    <n v="20000"/>
    <m/>
    <m/>
    <m/>
    <m/>
    <m/>
    <n v="10000"/>
    <m/>
    <n v="10000"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65000"/>
    <n v="0"/>
    <n v="65000"/>
    <n v="0"/>
    <n v="0"/>
    <n v="0"/>
    <n v="0"/>
  </r>
  <r>
    <n v="585"/>
    <s v="杭州神林电子有限公司"/>
    <x v="0"/>
    <s v="鸿赛芯（上海）科技有限公司"/>
    <s v="Stephen"/>
    <s v="袁海峰"/>
    <x v="182"/>
    <x v="182"/>
    <m/>
    <x v="0"/>
    <m/>
    <m/>
    <m/>
    <m/>
    <m/>
    <m/>
    <n v="0.27"/>
    <n v="11340"/>
    <m/>
    <n v="42000"/>
    <m/>
    <m/>
    <m/>
    <m/>
    <m/>
    <n v="30000"/>
    <n v="12000"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8100"/>
    <n v="3240"/>
    <n v="0"/>
    <n v="0"/>
    <n v="0"/>
    <n v="0"/>
    <n v="0"/>
  </r>
  <r>
    <n v="586"/>
    <s v="瑞安东辰汽车部件有限公司"/>
    <x v="0"/>
    <s v="上海葳脉电子科技有限公司"/>
    <s v="Stephen"/>
    <s v="Y"/>
    <x v="34"/>
    <x v="37"/>
    <m/>
    <x v="0"/>
    <s v="曲轴位置传感器"/>
    <m/>
    <m/>
    <m/>
    <m/>
    <m/>
    <n v="1.6"/>
    <n v="16000"/>
    <m/>
    <n v="10000"/>
    <m/>
    <m/>
    <m/>
    <m/>
    <m/>
    <m/>
    <m/>
    <n v="10000"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0"/>
    <n v="0"/>
    <n v="16000"/>
    <n v="0"/>
    <n v="0"/>
    <n v="0"/>
    <n v="0"/>
  </r>
  <r>
    <n v="587"/>
    <s v="浙江汉博汽车传感器有限公司"/>
    <x v="0"/>
    <s v="鸿赛芯（上海）科技有限公司"/>
    <s v="Stephen"/>
    <s v="袁海峰"/>
    <x v="83"/>
    <x v="88"/>
    <m/>
    <x v="0"/>
    <s v="ABS轮速传感器"/>
    <m/>
    <m/>
    <m/>
    <m/>
    <m/>
    <n v="1.88"/>
    <n v="263200"/>
    <m/>
    <n v="140000"/>
    <m/>
    <m/>
    <m/>
    <m/>
    <m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37600"/>
    <n v="37600"/>
    <n v="37600"/>
    <n v="37600"/>
    <n v="37600"/>
    <n v="37600"/>
    <n v="37600"/>
  </r>
  <r>
    <n v="588"/>
    <s v="温州伟力汽车部件有限公司"/>
    <x v="0"/>
    <s v="鸿赛芯（上海）科技有限公司"/>
    <s v="Stephen"/>
    <s v="袁海峰"/>
    <x v="83"/>
    <x v="88"/>
    <m/>
    <x v="0"/>
    <s v="ABS轮速传感器"/>
    <m/>
    <m/>
    <m/>
    <m/>
    <m/>
    <n v="1.88"/>
    <n v="263200"/>
    <m/>
    <n v="140000"/>
    <m/>
    <m/>
    <m/>
    <m/>
    <m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37600"/>
    <n v="37600"/>
    <n v="37600"/>
    <n v="37600"/>
    <n v="37600"/>
    <n v="37600"/>
    <n v="37600"/>
  </r>
  <r>
    <n v="589"/>
    <s v="浙江汉博汽车传感器有限公司"/>
    <x v="0"/>
    <s v="鸿赛芯（上海）科技有限公司"/>
    <s v="Stephen"/>
    <s v="袁海峰"/>
    <x v="37"/>
    <x v="40"/>
    <m/>
    <x v="0"/>
    <s v="曲轴位置传感器"/>
    <m/>
    <m/>
    <m/>
    <m/>
    <m/>
    <n v="1.61"/>
    <n v="48300"/>
    <m/>
    <n v="30000"/>
    <m/>
    <m/>
    <m/>
    <m/>
    <m/>
    <n v="15000"/>
    <n v="15000"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24150"/>
    <n v="24150"/>
    <n v="0"/>
    <n v="0"/>
    <n v="0"/>
    <n v="0"/>
    <n v="0"/>
  </r>
  <r>
    <n v="590"/>
    <s v="温州伟力汽车部件有限公司"/>
    <x v="0"/>
    <s v="鸿赛芯（上海）科技有限公司"/>
    <s v="Stephen"/>
    <s v="袁海峰"/>
    <x v="36"/>
    <x v="63"/>
    <m/>
    <x v="0"/>
    <m/>
    <m/>
    <m/>
    <m/>
    <m/>
    <m/>
    <n v="0.98"/>
    <n v="205800"/>
    <m/>
    <n v="210000"/>
    <m/>
    <m/>
    <m/>
    <m/>
    <m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29400"/>
    <n v="29400"/>
    <n v="29400"/>
    <n v="29400"/>
    <n v="29400"/>
    <n v="29400"/>
    <n v="29400"/>
  </r>
  <r>
    <n v="591"/>
    <s v="苏州柯尔特测控技术有限公司"/>
    <x v="2"/>
    <s v="苏州柯尔特测控技术有限公司"/>
    <s v="Ricky"/>
    <m/>
    <x v="91"/>
    <x v="97"/>
    <m/>
    <x v="0"/>
    <m/>
    <m/>
    <s v="评估"/>
    <m/>
    <m/>
    <m/>
    <n v="1"/>
    <n v="900000"/>
    <m/>
    <n v="900000"/>
    <m/>
    <m/>
    <m/>
    <m/>
    <m/>
    <m/>
    <m/>
    <m/>
    <n v="200000"/>
    <n v="200000"/>
    <n v="250000"/>
    <n v="25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m/>
    <n v="0"/>
    <n v="0"/>
    <n v="0"/>
    <n v="200000"/>
    <n v="200000"/>
    <n v="250000"/>
    <n v="250000"/>
  </r>
  <r>
    <n v="592"/>
    <s v="温州市精一智能料技有限公司"/>
    <x v="0"/>
    <s v="天津越尔兴电子科技有限公司"/>
    <s v="Sales"/>
    <m/>
    <x v="25"/>
    <x v="184"/>
    <m/>
    <x v="0"/>
    <m/>
    <m/>
    <m/>
    <m/>
    <m/>
    <m/>
    <n v="0.2"/>
    <n v="240000"/>
    <m/>
    <n v="1200000"/>
    <m/>
    <m/>
    <m/>
    <m/>
    <m/>
    <m/>
    <n v="200000"/>
    <n v="200000"/>
    <n v="200000"/>
    <n v="200000"/>
    <n v="200000"/>
    <n v="200000"/>
    <m/>
    <m/>
    <m/>
    <m/>
    <m/>
    <m/>
    <m/>
    <m/>
    <m/>
    <m/>
    <m/>
    <m/>
    <m/>
    <x v="3"/>
    <s v="磁性位置传感器"/>
    <m/>
    <m/>
    <m/>
    <m/>
    <m/>
    <m/>
    <m/>
    <m/>
    <m/>
    <m/>
    <m/>
    <m/>
    <m/>
    <m/>
    <m/>
    <m/>
    <m/>
    <n v="0"/>
    <n v="40000"/>
    <n v="40000"/>
    <n v="40000"/>
    <n v="40000"/>
    <n v="40000"/>
    <n v="40000"/>
  </r>
  <r>
    <n v="593"/>
    <s v="仪征三科智电子有限公司"/>
    <x v="0"/>
    <s v="天津越尔兴电子科技有限公司"/>
    <s v="Sales"/>
    <m/>
    <x v="16"/>
    <x v="18"/>
    <m/>
    <x v="0"/>
    <m/>
    <m/>
    <m/>
    <m/>
    <m/>
    <m/>
    <n v="0.121"/>
    <n v="28314"/>
    <m/>
    <n v="234000"/>
    <m/>
    <m/>
    <m/>
    <m/>
    <m/>
    <m/>
    <n v="39000"/>
    <n v="39000"/>
    <n v="39000"/>
    <n v="39000"/>
    <n v="39000"/>
    <n v="39000"/>
    <m/>
    <m/>
    <m/>
    <m/>
    <m/>
    <m/>
    <m/>
    <m/>
    <m/>
    <m/>
    <m/>
    <m/>
    <m/>
    <x v="3"/>
    <s v="磁性位置传感器"/>
    <m/>
    <m/>
    <m/>
    <m/>
    <m/>
    <m/>
    <m/>
    <m/>
    <m/>
    <m/>
    <m/>
    <m/>
    <m/>
    <m/>
    <m/>
    <m/>
    <m/>
    <n v="0"/>
    <n v="4719"/>
    <n v="4719"/>
    <n v="4719"/>
    <n v="4719"/>
    <n v="4719"/>
    <n v="4719"/>
  </r>
  <r>
    <n v="594"/>
    <s v="中山市利兴诚德电子有限公司"/>
    <x v="0"/>
    <s v="天津越尔兴电子科技有限公司"/>
    <s v="Sales"/>
    <m/>
    <x v="12"/>
    <x v="12"/>
    <m/>
    <x v="0"/>
    <m/>
    <m/>
    <m/>
    <m/>
    <m/>
    <m/>
    <n v="0.102"/>
    <n v="20196"/>
    <m/>
    <n v="198000"/>
    <m/>
    <m/>
    <m/>
    <m/>
    <m/>
    <m/>
    <n v="33000"/>
    <n v="33000"/>
    <n v="33000"/>
    <n v="33000"/>
    <n v="33000"/>
    <n v="33000"/>
    <m/>
    <m/>
    <m/>
    <m/>
    <m/>
    <m/>
    <m/>
    <m/>
    <m/>
    <m/>
    <m/>
    <m/>
    <m/>
    <x v="3"/>
    <s v="磁性位置传感器"/>
    <m/>
    <m/>
    <m/>
    <m/>
    <m/>
    <m/>
    <m/>
    <m/>
    <m/>
    <m/>
    <m/>
    <m/>
    <m/>
    <m/>
    <m/>
    <m/>
    <m/>
    <n v="0"/>
    <n v="3366"/>
    <n v="3366"/>
    <n v="3366"/>
    <n v="3366"/>
    <n v="3366"/>
    <n v="3366"/>
  </r>
  <r>
    <n v="595"/>
    <s v="华夏磁电子技术(河南)有限公司"/>
    <x v="0"/>
    <s v="华夏磁电子技术(河南)有限公司"/>
    <s v="Sales"/>
    <m/>
    <x v="151"/>
    <x v="159"/>
    <m/>
    <x v="0"/>
    <m/>
    <m/>
    <m/>
    <m/>
    <m/>
    <m/>
    <n v="5.15"/>
    <n v="2884000"/>
    <m/>
    <n v="560000"/>
    <m/>
    <m/>
    <m/>
    <m/>
    <m/>
    <n v="80000"/>
    <n v="80000"/>
    <n v="80000"/>
    <n v="80000"/>
    <n v="80000"/>
    <n v="80000"/>
    <n v="80000"/>
    <m/>
    <m/>
    <m/>
    <m/>
    <m/>
    <m/>
    <m/>
    <m/>
    <m/>
    <m/>
    <m/>
    <m/>
    <m/>
    <x v="3"/>
    <s v="速度传感器"/>
    <m/>
    <m/>
    <m/>
    <m/>
    <m/>
    <m/>
    <m/>
    <m/>
    <m/>
    <m/>
    <m/>
    <m/>
    <m/>
    <m/>
    <m/>
    <m/>
    <m/>
    <n v="412000"/>
    <n v="412000"/>
    <n v="412000"/>
    <n v="412000"/>
    <n v="412000"/>
    <n v="412000"/>
    <n v="412000"/>
  </r>
  <r>
    <n v="596"/>
    <m/>
    <x v="0"/>
    <s v="上海茂晶电子科技有限公司"/>
    <s v="Sales"/>
    <m/>
    <x v="185"/>
    <x v="185"/>
    <m/>
    <x v="0"/>
    <m/>
    <m/>
    <m/>
    <m/>
    <m/>
    <m/>
    <n v="3"/>
    <n v="480000"/>
    <m/>
    <n v="160000"/>
    <m/>
    <m/>
    <m/>
    <m/>
    <m/>
    <m/>
    <n v="10000"/>
    <n v="30000"/>
    <n v="30000"/>
    <n v="30000"/>
    <n v="30000"/>
    <n v="3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30000"/>
    <n v="90000"/>
    <n v="90000"/>
    <n v="90000"/>
    <n v="90000"/>
    <n v="90000"/>
  </r>
  <r>
    <n v="597"/>
    <m/>
    <x v="0"/>
    <s v="上海茂晶电子科技有限公司"/>
    <s v="Sales"/>
    <m/>
    <x v="186"/>
    <x v="186"/>
    <m/>
    <x v="0"/>
    <m/>
    <m/>
    <m/>
    <m/>
    <m/>
    <m/>
    <n v="3"/>
    <n v="2640000"/>
    <m/>
    <n v="880000"/>
    <m/>
    <m/>
    <m/>
    <m/>
    <m/>
    <m/>
    <n v="130000"/>
    <n v="150000"/>
    <n v="150000"/>
    <n v="150000"/>
    <n v="150000"/>
    <n v="15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390000"/>
    <n v="450000"/>
    <n v="450000"/>
    <n v="450000"/>
    <n v="450000"/>
    <n v="450000"/>
  </r>
  <r>
    <n v="598"/>
    <m/>
    <x v="0"/>
    <s v="上海茂晶电子科技有限公司"/>
    <s v="Sales"/>
    <m/>
    <x v="120"/>
    <x v="119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599"/>
    <m/>
    <x v="0"/>
    <s v="上海茂晶电子科技有限公司"/>
    <s v="Sales"/>
    <m/>
    <x v="120"/>
    <x v="187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600"/>
    <m/>
    <x v="0"/>
    <s v="上海茂晶电子科技有限公司"/>
    <s v="Sales"/>
    <m/>
    <x v="32"/>
    <x v="35"/>
    <m/>
    <x v="0"/>
    <m/>
    <m/>
    <m/>
    <m/>
    <m/>
    <m/>
    <n v="2.4"/>
    <n v="864000"/>
    <m/>
    <n v="360000"/>
    <m/>
    <m/>
    <m/>
    <m/>
    <m/>
    <m/>
    <n v="60000"/>
    <n v="60000"/>
    <n v="60000"/>
    <n v="60000"/>
    <n v="60000"/>
    <n v="60000"/>
    <m/>
    <m/>
    <m/>
    <m/>
    <m/>
    <m/>
    <m/>
    <m/>
    <m/>
    <m/>
    <m/>
    <m/>
    <m/>
    <x v="3"/>
    <s v="角度传感器"/>
    <m/>
    <m/>
    <m/>
    <m/>
    <m/>
    <m/>
    <m/>
    <m/>
    <m/>
    <m/>
    <m/>
    <m/>
    <m/>
    <m/>
    <m/>
    <m/>
    <m/>
    <n v="0"/>
    <n v="144000"/>
    <n v="144000"/>
    <n v="144000"/>
    <n v="144000"/>
    <n v="144000"/>
    <n v="144000"/>
  </r>
  <r>
    <n v="601"/>
    <m/>
    <x v="0"/>
    <s v="上海茂晶电子科技有限公司"/>
    <s v="Sales"/>
    <m/>
    <x v="52"/>
    <x v="54"/>
    <m/>
    <x v="0"/>
    <m/>
    <m/>
    <m/>
    <m/>
    <m/>
    <m/>
    <n v="2.4"/>
    <n v="144000"/>
    <m/>
    <n v="60000"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x v="3"/>
    <s v="角度传感器"/>
    <m/>
    <m/>
    <m/>
    <m/>
    <m/>
    <m/>
    <m/>
    <m/>
    <m/>
    <m/>
    <m/>
    <m/>
    <m/>
    <m/>
    <m/>
    <m/>
    <m/>
    <n v="0"/>
    <n v="24000"/>
    <n v="24000"/>
    <n v="24000"/>
    <n v="24000"/>
    <n v="24000"/>
    <n v="2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3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compact="0" indent="0" compactData="0" showDrill="1" multipleFieldFilters="0">
  <location ref="A3:K239" firstHeaderRow="0" firstDataRow="1" firstDataCol="3"/>
  <pivotFields count="71"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defaultSubtotal="0" outline="0" showAll="0">
      <items count="187">
        <item x="176"/>
        <item x="149"/>
        <item x="150"/>
        <item x="130"/>
        <item x="129"/>
        <item x="98"/>
        <item x="97"/>
        <item x="23"/>
        <item x="43"/>
        <item x="25"/>
        <item x="24"/>
        <item x="118"/>
        <item x="28"/>
        <item x="102"/>
        <item x="122"/>
        <item x="123"/>
        <item x="127"/>
        <item x="128"/>
        <item x="126"/>
        <item x="125"/>
        <item x="165"/>
        <item x="166"/>
        <item x="124"/>
        <item x="16"/>
        <item x="146"/>
        <item x="12"/>
        <item x="99"/>
        <item x="72"/>
        <item x="117"/>
        <item x="93"/>
        <item x="11"/>
        <item x="13"/>
        <item x="153"/>
        <item x="22"/>
        <item x="169"/>
        <item x="182"/>
        <item x="42"/>
        <item x="134"/>
        <item x="163"/>
        <item x="10"/>
        <item x="173"/>
        <item x="138"/>
        <item x="44"/>
        <item x="131"/>
        <item x="9"/>
        <item x="46"/>
        <item x="103"/>
        <item x="157"/>
        <item x="73"/>
        <item x="30"/>
        <item x="64"/>
        <item x="80"/>
        <item x="7"/>
        <item x="26"/>
        <item x="94"/>
        <item x="167"/>
        <item x="27"/>
        <item x="71"/>
        <item x="183"/>
        <item x="15"/>
        <item x="19"/>
        <item x="181"/>
        <item x="137"/>
        <item x="17"/>
        <item x="41"/>
        <item x="90"/>
        <item x="104"/>
        <item x="21"/>
        <item x="180"/>
        <item x="14"/>
        <item x="6"/>
        <item x="5"/>
        <item x="18"/>
        <item x="156"/>
        <item x="160"/>
        <item x="155"/>
        <item x="119"/>
        <item x="184"/>
        <item x="179"/>
        <item x="178"/>
        <item x="168"/>
        <item x="152"/>
        <item x="175"/>
        <item x="132"/>
        <item x="133"/>
        <item x="29"/>
        <item x="164"/>
        <item x="100"/>
        <item x="106"/>
        <item x="140"/>
        <item x="88"/>
        <item x="101"/>
        <item x="107"/>
        <item x="114"/>
        <item x="115"/>
        <item x="47"/>
        <item x="110"/>
        <item x="121"/>
        <item x="105"/>
        <item x="96"/>
        <item x="87"/>
        <item x="108"/>
        <item x="91"/>
        <item x="112"/>
        <item x="135"/>
        <item x="2"/>
        <item x="172"/>
        <item x="158"/>
        <item x="65"/>
        <item x="66"/>
        <item x="67"/>
        <item x="0"/>
        <item x="1"/>
        <item x="50"/>
        <item x="49"/>
        <item x="51"/>
        <item x="48"/>
        <item x="33"/>
        <item x="177"/>
        <item x="31"/>
        <item x="32"/>
        <item x="52"/>
        <item x="75"/>
        <item x="113"/>
        <item x="111"/>
        <item x="92"/>
        <item x="95"/>
        <item x="89"/>
        <item x="141"/>
        <item x="120"/>
        <item x="139"/>
        <item x="45"/>
        <item x="78"/>
        <item x="4"/>
        <item x="57"/>
        <item x="82"/>
        <item x="77"/>
        <item x="36"/>
        <item x="53"/>
        <item x="34"/>
        <item x="60"/>
        <item x="37"/>
        <item x="54"/>
        <item x="151"/>
        <item x="68"/>
        <item x="58"/>
        <item x="62"/>
        <item x="70"/>
        <item x="56"/>
        <item x="83"/>
        <item x="59"/>
        <item x="69"/>
        <item x="76"/>
        <item x="38"/>
        <item x="39"/>
        <item x="81"/>
        <item x="159"/>
        <item x="40"/>
        <item x="35"/>
        <item x="55"/>
        <item x="74"/>
        <item x="79"/>
        <item x="61"/>
        <item x="145"/>
        <item x="144"/>
        <item x="143"/>
        <item x="148"/>
        <item x="142"/>
        <item x="3"/>
        <item x="116"/>
        <item x="174"/>
        <item x="171"/>
        <item x="136"/>
        <item x="161"/>
        <item x="63"/>
        <item x="162"/>
        <item x="86"/>
        <item x="85"/>
        <item x="109"/>
        <item x="154"/>
        <item x="8"/>
        <item x="20"/>
        <item x="170"/>
        <item x="84"/>
        <item x="185"/>
        <item x="186"/>
        <item x="1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defaultSubtotal="0" outline="0" showAll="0">
      <items count="196">
        <item x="177"/>
        <item x="95"/>
        <item x="157"/>
        <item x="158"/>
        <item x="128"/>
        <item x="104"/>
        <item m="1" x="195"/>
        <item m="1" x="192"/>
        <item x="25"/>
        <item x="45"/>
        <item x="27"/>
        <item x="129"/>
        <item x="184"/>
        <item x="26"/>
        <item x="116"/>
        <item x="30"/>
        <item x="106"/>
        <item x="165"/>
        <item x="120"/>
        <item x="167"/>
        <item x="166"/>
        <item x="121"/>
        <item x="126"/>
        <item x="127"/>
        <item x="124"/>
        <item x="125"/>
        <item x="168"/>
        <item x="122"/>
        <item x="18"/>
        <item x="149"/>
        <item x="12"/>
        <item x="105"/>
        <item x="94"/>
        <item x="75"/>
        <item x="115"/>
        <item x="99"/>
        <item x="11"/>
        <item x="131"/>
        <item x="85"/>
        <item x="13"/>
        <item x="155"/>
        <item x="92"/>
        <item x="130"/>
        <item x="160"/>
        <item x="182"/>
        <item x="24"/>
        <item x="171"/>
        <item x="44"/>
        <item x="135"/>
        <item x="173"/>
        <item x="10"/>
        <item x="46"/>
        <item x="132"/>
        <item x="9"/>
        <item x="48"/>
        <item x="107"/>
        <item x="162"/>
        <item x="84"/>
        <item x="33"/>
        <item x="142"/>
        <item x="67"/>
        <item x="7"/>
        <item x="82"/>
        <item x="28"/>
        <item x="100"/>
        <item x="169"/>
        <item m="1" x="188"/>
        <item m="1" x="190"/>
        <item x="183"/>
        <item x="17"/>
        <item x="21"/>
        <item x="139"/>
        <item x="19"/>
        <item x="43"/>
        <item x="96"/>
        <item x="136"/>
        <item x="108"/>
        <item x="23"/>
        <item x="16"/>
        <item x="6"/>
        <item x="5"/>
        <item x="20"/>
        <item x="163"/>
        <item x="161"/>
        <item x="117"/>
        <item x="181"/>
        <item x="180"/>
        <item x="170"/>
        <item x="176"/>
        <item x="133"/>
        <item m="1" x="193"/>
        <item x="32"/>
        <item x="164"/>
        <item x="148"/>
        <item x="143"/>
        <item x="93"/>
        <item x="123"/>
        <item x="112"/>
        <item x="113"/>
        <item x="118"/>
        <item x="49"/>
        <item x="102"/>
        <item x="91"/>
        <item x="97"/>
        <item x="110"/>
        <item x="137"/>
        <item x="2"/>
        <item x="69"/>
        <item x="178"/>
        <item x="68"/>
        <item x="70"/>
        <item x="1"/>
        <item x="52"/>
        <item x="51"/>
        <item x="0"/>
        <item x="14"/>
        <item x="15"/>
        <item x="53"/>
        <item x="36"/>
        <item x="179"/>
        <item x="34"/>
        <item m="1" x="191"/>
        <item m="1" x="194"/>
        <item x="35"/>
        <item x="54"/>
        <item x="140"/>
        <item x="77"/>
        <item x="111"/>
        <item x="109"/>
        <item x="98"/>
        <item x="101"/>
        <item x="119"/>
        <item x="141"/>
        <item x="81"/>
        <item x="4"/>
        <item x="47"/>
        <item x="87"/>
        <item x="80"/>
        <item x="59"/>
        <item x="156"/>
        <item x="39"/>
        <item x="63"/>
        <item x="55"/>
        <item x="37"/>
        <item x="62"/>
        <item x="40"/>
        <item x="56"/>
        <item x="159"/>
        <item m="1" x="189"/>
        <item x="60"/>
        <item x="71"/>
        <item x="73"/>
        <item x="65"/>
        <item x="88"/>
        <item x="58"/>
        <item x="61"/>
        <item x="72"/>
        <item x="78"/>
        <item x="41"/>
        <item x="86"/>
        <item x="42"/>
        <item x="38"/>
        <item x="57"/>
        <item x="76"/>
        <item x="83"/>
        <item x="64"/>
        <item x="147"/>
        <item x="153"/>
        <item x="146"/>
        <item x="152"/>
        <item x="145"/>
        <item x="151"/>
        <item x="154"/>
        <item x="144"/>
        <item x="3"/>
        <item x="114"/>
        <item x="175"/>
        <item x="172"/>
        <item x="138"/>
        <item x="174"/>
        <item x="90"/>
        <item x="89"/>
        <item x="8"/>
        <item x="22"/>
        <item x="31"/>
        <item x="50"/>
        <item x="185"/>
        <item x="186"/>
        <item x="187"/>
        <item x="29"/>
        <item x="66"/>
        <item x="74"/>
        <item x="79"/>
        <item x="103"/>
        <item x="134"/>
        <item x="1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defaultSubtotal="0" outline="0" showAll="0">
      <items count="9">
        <item x="1"/>
        <item x="6"/>
        <item x="8"/>
        <item x="7"/>
        <item x="4"/>
        <item x="3"/>
        <item x="5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7"/>
    <field x="9"/>
  </rowFields>
  <rowItems count="236">
    <i>
      <x/>
      <x/>
      <x v="8"/>
    </i>
    <i>
      <x v="1"/>
      <x v="2"/>
      <x v="8"/>
    </i>
    <i>
      <x v="2"/>
      <x v="3"/>
      <x v="8"/>
    </i>
    <i>
      <x v="3"/>
      <x v="4"/>
      <x v="8"/>
    </i>
    <i>
      <x v="4"/>
      <x v="184"/>
      <x v="8"/>
    </i>
    <i>
      <x v="5"/>
      <x v="5"/>
      <x v="8"/>
    </i>
    <i>
      <x v="6"/>
      <x v="193"/>
      <x v="8"/>
    </i>
    <i>
      <x v="7"/>
      <x v="8"/>
      <x v="8"/>
    </i>
    <i>
      <x v="8"/>
      <x v="9"/>
      <x/>
    </i>
    <i r="2">
      <x v="1"/>
    </i>
    <i r="2">
      <x v="8"/>
    </i>
    <i>
      <x v="9"/>
      <x v="1"/>
      <x v="8"/>
    </i>
    <i r="1">
      <x v="10"/>
      <x v="8"/>
    </i>
    <i r="1">
      <x v="11"/>
      <x v="1"/>
    </i>
    <i r="1">
      <x v="12"/>
      <x v="8"/>
    </i>
    <i>
      <x v="10"/>
      <x v="13"/>
      <x/>
    </i>
    <i r="2">
      <x v="1"/>
    </i>
    <i r="2">
      <x v="8"/>
    </i>
    <i>
      <x v="11"/>
      <x v="14"/>
      <x v="8"/>
    </i>
    <i>
      <x v="12"/>
      <x v="15"/>
      <x v="8"/>
    </i>
    <i>
      <x v="13"/>
      <x v="16"/>
      <x v="8"/>
    </i>
    <i>
      <x v="14"/>
      <x v="17"/>
      <x v="8"/>
    </i>
    <i r="1">
      <x v="18"/>
      <x v="8"/>
    </i>
    <i r="1">
      <x v="20"/>
      <x v="8"/>
    </i>
    <i>
      <x v="15"/>
      <x v="19"/>
      <x v="8"/>
    </i>
    <i r="1">
      <x v="21"/>
      <x v="8"/>
    </i>
    <i>
      <x v="16"/>
      <x v="184"/>
      <x v="8"/>
    </i>
    <i>
      <x v="17"/>
      <x v="184"/>
      <x v="8"/>
    </i>
    <i>
      <x v="18"/>
      <x v="22"/>
      <x v="8"/>
    </i>
    <i r="1">
      <x v="23"/>
      <x v="8"/>
    </i>
    <i>
      <x v="19"/>
      <x v="24"/>
      <x v="8"/>
    </i>
    <i r="1">
      <x v="25"/>
      <x v="8"/>
    </i>
    <i>
      <x v="20"/>
      <x v="184"/>
      <x v="8"/>
    </i>
    <i>
      <x v="21"/>
      <x v="26"/>
      <x v="8"/>
    </i>
    <i>
      <x v="22"/>
      <x v="27"/>
      <x v="8"/>
    </i>
    <i>
      <x v="23"/>
      <x v="28"/>
      <x v="8"/>
    </i>
    <i>
      <x v="24"/>
      <x v="29"/>
      <x v="8"/>
    </i>
    <i>
      <x v="25"/>
      <x v="30"/>
      <x v="8"/>
    </i>
    <i>
      <x v="26"/>
      <x v="31"/>
      <x v="8"/>
    </i>
    <i>
      <x v="27"/>
      <x v="32"/>
      <x v="8"/>
    </i>
    <i r="1">
      <x v="33"/>
      <x v="8"/>
    </i>
    <i>
      <x v="28"/>
      <x v="34"/>
      <x v="8"/>
    </i>
    <i>
      <x v="29"/>
      <x v="35"/>
      <x v="8"/>
    </i>
    <i>
      <x v="30"/>
      <x v="36"/>
      <x v="6"/>
    </i>
    <i r="2">
      <x v="8"/>
    </i>
    <i r="1">
      <x v="37"/>
      <x v="2"/>
    </i>
    <i r="1">
      <x v="38"/>
      <x v="4"/>
    </i>
    <i r="2">
      <x v="8"/>
    </i>
    <i r="1">
      <x v="184"/>
      <x v="3"/>
    </i>
    <i>
      <x v="31"/>
      <x v="39"/>
      <x v="8"/>
    </i>
    <i r="1">
      <x v="40"/>
      <x v="8"/>
    </i>
    <i r="1">
      <x v="41"/>
      <x v="8"/>
    </i>
    <i r="1">
      <x v="42"/>
      <x v="3"/>
    </i>
    <i r="2">
      <x v="8"/>
    </i>
    <i r="1">
      <x v="184"/>
      <x v="3"/>
    </i>
    <i>
      <x v="32"/>
      <x v="43"/>
      <x v="8"/>
    </i>
    <i>
      <x v="33"/>
      <x v="45"/>
      <x v="8"/>
    </i>
    <i>
      <x v="34"/>
      <x v="46"/>
      <x v="8"/>
    </i>
    <i>
      <x v="35"/>
      <x v="44"/>
      <x v="8"/>
    </i>
    <i>
      <x v="36"/>
      <x v="47"/>
      <x v="8"/>
    </i>
    <i>
      <x v="37"/>
      <x v="48"/>
      <x v="8"/>
    </i>
    <i>
      <x v="38"/>
      <x v="184"/>
      <x v="8"/>
    </i>
    <i>
      <x v="39"/>
      <x v="50"/>
      <x v="8"/>
    </i>
    <i>
      <x v="40"/>
      <x v="49"/>
      <x v="8"/>
    </i>
    <i>
      <x v="41"/>
      <x v="51"/>
      <x v="8"/>
    </i>
    <i>
      <x v="42"/>
      <x v="51"/>
      <x v="8"/>
    </i>
    <i>
      <x v="43"/>
      <x v="52"/>
      <x v="8"/>
    </i>
    <i>
      <x v="44"/>
      <x v="53"/>
      <x v="8"/>
    </i>
    <i>
      <x v="45"/>
      <x v="54"/>
      <x v="8"/>
    </i>
    <i>
      <x v="46"/>
      <x v="55"/>
      <x v="8"/>
    </i>
    <i>
      <x v="47"/>
      <x v="56"/>
      <x v="8"/>
    </i>
    <i>
      <x v="48"/>
      <x v="184"/>
      <x v="8"/>
    </i>
    <i>
      <x v="49"/>
      <x v="58"/>
      <x v="8"/>
    </i>
    <i>
      <x v="50"/>
      <x v="59"/>
      <x v="8"/>
    </i>
    <i r="1">
      <x v="60"/>
      <x v="8"/>
    </i>
    <i>
      <x v="51"/>
      <x v="57"/>
      <x v="8"/>
    </i>
    <i>
      <x v="52"/>
      <x v="61"/>
      <x v="8"/>
    </i>
    <i>
      <x v="53"/>
      <x v="62"/>
      <x v="8"/>
    </i>
    <i r="1">
      <x v="63"/>
      <x v="8"/>
    </i>
    <i>
      <x v="54"/>
      <x v="64"/>
      <x v="8"/>
    </i>
    <i>
      <x v="55"/>
      <x v="65"/>
      <x v="8"/>
    </i>
    <i>
      <x v="56"/>
      <x v="189"/>
      <x v="8"/>
    </i>
    <i>
      <x v="57"/>
      <x v="191"/>
      <x v="8"/>
    </i>
    <i>
      <x v="58"/>
      <x v="68"/>
      <x v="8"/>
    </i>
    <i>
      <x v="59"/>
      <x v="69"/>
      <x v="8"/>
    </i>
    <i>
      <x v="60"/>
      <x v="70"/>
      <x v="8"/>
    </i>
    <i>
      <x v="61"/>
      <x v="184"/>
      <x v="8"/>
    </i>
    <i>
      <x v="62"/>
      <x v="71"/>
      <x v="8"/>
    </i>
    <i>
      <x v="63"/>
      <x v="72"/>
      <x v="8"/>
    </i>
    <i>
      <x v="64"/>
      <x v="73"/>
      <x v="8"/>
    </i>
    <i>
      <x v="65"/>
      <x v="74"/>
      <x v="8"/>
    </i>
    <i r="1">
      <x v="75"/>
      <x v="8"/>
    </i>
    <i>
      <x v="66"/>
      <x v="76"/>
      <x v="8"/>
    </i>
    <i>
      <x v="67"/>
      <x v="77"/>
      <x v="8"/>
    </i>
    <i r="1">
      <x v="184"/>
      <x v="8"/>
    </i>
    <i>
      <x v="68"/>
      <x v="184"/>
      <x v="8"/>
    </i>
    <i>
      <x v="69"/>
      <x v="78"/>
      <x v="8"/>
    </i>
    <i>
      <x v="70"/>
      <x v="79"/>
      <x v="8"/>
    </i>
    <i>
      <x v="71"/>
      <x v="80"/>
      <x v="8"/>
    </i>
    <i>
      <x v="72"/>
      <x v="81"/>
      <x v="8"/>
    </i>
    <i>
      <x v="73"/>
      <x v="184"/>
      <x v="8"/>
    </i>
    <i>
      <x v="74"/>
      <x v="82"/>
      <x v="8"/>
    </i>
    <i>
      <x v="75"/>
      <x v="83"/>
      <x v="8"/>
    </i>
    <i>
      <x v="76"/>
      <x v="84"/>
      <x v="8"/>
    </i>
    <i>
      <x v="77"/>
      <x v="184"/>
      <x v="8"/>
    </i>
    <i>
      <x v="78"/>
      <x v="85"/>
      <x v="8"/>
    </i>
    <i>
      <x v="79"/>
      <x v="86"/>
      <x v="8"/>
    </i>
    <i>
      <x v="80"/>
      <x v="87"/>
      <x v="8"/>
    </i>
    <i>
      <x v="81"/>
      <x v="184"/>
      <x v="8"/>
    </i>
    <i>
      <x v="82"/>
      <x v="88"/>
      <x v="8"/>
    </i>
    <i>
      <x v="83"/>
      <x v="89"/>
      <x v="8"/>
    </i>
    <i>
      <x v="84"/>
      <x v="194"/>
      <x v="8"/>
    </i>
    <i>
      <x v="85"/>
      <x v="91"/>
      <x v="8"/>
    </i>
    <i>
      <x v="86"/>
      <x v="92"/>
      <x v="8"/>
    </i>
    <i>
      <x v="87"/>
      <x v="184"/>
      <x v="8"/>
    </i>
    <i>
      <x v="88"/>
      <x v="184"/>
      <x v="8"/>
    </i>
    <i>
      <x v="89"/>
      <x v="93"/>
      <x v="8"/>
    </i>
    <i r="1">
      <x v="94"/>
      <x v="8"/>
    </i>
    <i>
      <x v="90"/>
      <x v="95"/>
      <x v="8"/>
    </i>
    <i>
      <x v="91"/>
      <x v="184"/>
      <x v="8"/>
    </i>
    <i>
      <x v="92"/>
      <x v="96"/>
      <x v="5"/>
    </i>
    <i r="2">
      <x v="8"/>
    </i>
    <i r="1">
      <x v="184"/>
      <x v="8"/>
    </i>
    <i>
      <x v="93"/>
      <x v="97"/>
      <x v="8"/>
    </i>
    <i>
      <x v="94"/>
      <x v="98"/>
      <x v="5"/>
    </i>
    <i r="1">
      <x v="99"/>
      <x v="8"/>
    </i>
    <i>
      <x v="95"/>
      <x v="100"/>
      <x v="8"/>
    </i>
    <i>
      <x v="96"/>
      <x v="184"/>
      <x v="8"/>
    </i>
    <i>
      <x v="97"/>
      <x v="184"/>
      <x v="8"/>
    </i>
    <i>
      <x v="98"/>
      <x v="184"/>
      <x v="8"/>
    </i>
    <i>
      <x v="99"/>
      <x v="101"/>
      <x v="8"/>
    </i>
    <i>
      <x v="100"/>
      <x v="102"/>
      <x v="8"/>
    </i>
    <i>
      <x v="101"/>
      <x v="184"/>
      <x v="8"/>
    </i>
    <i>
      <x v="102"/>
      <x v="103"/>
      <x v="8"/>
    </i>
    <i>
      <x v="103"/>
      <x v="104"/>
      <x v="7"/>
    </i>
    <i>
      <x v="104"/>
      <x v="105"/>
      <x v="8"/>
    </i>
    <i>
      <x v="105"/>
      <x v="106"/>
      <x v="8"/>
    </i>
    <i>
      <x v="106"/>
      <x v="184"/>
      <x v="8"/>
    </i>
    <i>
      <x v="107"/>
      <x v="184"/>
      <x v="8"/>
    </i>
    <i>
      <x v="108"/>
      <x v="108"/>
      <x v="8"/>
    </i>
    <i r="1">
      <x v="109"/>
      <x v="8"/>
    </i>
    <i>
      <x v="109"/>
      <x v="107"/>
      <x v="8"/>
    </i>
    <i>
      <x v="110"/>
      <x v="110"/>
      <x v="8"/>
    </i>
    <i>
      <x v="111"/>
      <x v="114"/>
      <x v="8"/>
    </i>
    <i r="1">
      <x v="115"/>
      <x v="8"/>
    </i>
    <i r="1">
      <x v="116"/>
      <x v="8"/>
    </i>
    <i>
      <x v="112"/>
      <x v="111"/>
      <x v="8"/>
    </i>
    <i>
      <x v="113"/>
      <x v="112"/>
      <x v="8"/>
    </i>
    <i>
      <x v="114"/>
      <x v="113"/>
      <x v="8"/>
    </i>
    <i>
      <x v="115"/>
      <x v="117"/>
      <x v="8"/>
    </i>
    <i>
      <x v="116"/>
      <x v="185"/>
      <x v="8"/>
    </i>
    <i>
      <x v="117"/>
      <x v="118"/>
      <x v="8"/>
    </i>
    <i>
      <x v="118"/>
      <x v="119"/>
      <x v="8"/>
    </i>
    <i>
      <x v="119"/>
      <x v="120"/>
      <x v="8"/>
    </i>
    <i>
      <x v="120"/>
      <x v="123"/>
      <x v="8"/>
    </i>
    <i>
      <x v="121"/>
      <x v="124"/>
      <x v="8"/>
    </i>
    <i r="1">
      <x v="125"/>
      <x v="8"/>
    </i>
    <i>
      <x v="122"/>
      <x v="126"/>
      <x v="8"/>
    </i>
    <i>
      <x v="123"/>
      <x v="127"/>
      <x v="8"/>
    </i>
    <i>
      <x v="124"/>
      <x v="128"/>
      <x v="7"/>
    </i>
    <i r="2">
      <x v="8"/>
    </i>
    <i>
      <x v="125"/>
      <x v="129"/>
      <x v="8"/>
    </i>
    <i>
      <x v="126"/>
      <x v="130"/>
      <x v="8"/>
    </i>
    <i>
      <x v="127"/>
      <x v="184"/>
      <x v="8"/>
    </i>
    <i>
      <x v="128"/>
      <x v="184"/>
      <x v="8"/>
    </i>
    <i>
      <x v="129"/>
      <x v="131"/>
      <x v="8"/>
    </i>
    <i r="1">
      <x v="188"/>
      <x v="8"/>
    </i>
    <i>
      <x v="130"/>
      <x v="132"/>
      <x v="8"/>
    </i>
    <i>
      <x v="131"/>
      <x v="135"/>
      <x v="8"/>
    </i>
    <i>
      <x v="132"/>
      <x v="133"/>
      <x v="8"/>
    </i>
    <i>
      <x v="133"/>
      <x v="134"/>
      <x v="8"/>
    </i>
    <i>
      <x v="134"/>
      <x v="138"/>
      <x v="8"/>
    </i>
    <i>
      <x v="135"/>
      <x v="136"/>
      <x v="8"/>
    </i>
    <i>
      <x v="136"/>
      <x v="137"/>
      <x v="8"/>
    </i>
    <i>
      <x v="137"/>
      <x v="139"/>
      <x v="8"/>
    </i>
    <i r="1">
      <x v="140"/>
      <x v="8"/>
    </i>
    <i r="1">
      <x v="141"/>
      <x v="8"/>
    </i>
    <i r="1">
      <x v="184"/>
      <x v="8"/>
    </i>
    <i>
      <x v="138"/>
      <x v="142"/>
      <x v="8"/>
    </i>
    <i>
      <x v="139"/>
      <x v="143"/>
      <x v="8"/>
    </i>
    <i>
      <x v="140"/>
      <x v="144"/>
      <x v="8"/>
    </i>
    <i>
      <x v="141"/>
      <x v="145"/>
      <x v="8"/>
    </i>
    <i>
      <x v="142"/>
      <x v="146"/>
      <x v="8"/>
    </i>
    <i>
      <x v="143"/>
      <x v="147"/>
      <x v="8"/>
    </i>
    <i>
      <x v="144"/>
      <x v="150"/>
      <x v="8"/>
    </i>
    <i>
      <x v="145"/>
      <x v="149"/>
      <x v="8"/>
    </i>
    <i>
      <x v="146"/>
      <x v="190"/>
      <x v="8"/>
    </i>
    <i>
      <x v="147"/>
      <x v="151"/>
      <x v="8"/>
    </i>
    <i r="1">
      <x v="192"/>
      <x v="8"/>
    </i>
    <i>
      <x v="148"/>
      <x v="154"/>
      <x v="8"/>
    </i>
    <i r="1">
      <x v="184"/>
      <x v="8"/>
    </i>
    <i>
      <x v="149"/>
      <x v="153"/>
      <x v="8"/>
    </i>
    <i>
      <x v="150"/>
      <x v="152"/>
      <x v="8"/>
    </i>
    <i r="1">
      <x v="155"/>
      <x v="8"/>
    </i>
    <i>
      <x v="151"/>
      <x v="156"/>
      <x v="8"/>
    </i>
    <i>
      <x v="152"/>
      <x v="157"/>
      <x v="8"/>
    </i>
    <i>
      <x v="153"/>
      <x v="184"/>
      <x v="8"/>
    </i>
    <i>
      <x v="154"/>
      <x v="158"/>
      <x v="8"/>
    </i>
    <i>
      <x v="155"/>
      <x v="159"/>
      <x v="8"/>
    </i>
    <i>
      <x v="156"/>
      <x v="184"/>
      <x v="8"/>
    </i>
    <i>
      <x v="157"/>
      <x v="160"/>
      <x v="8"/>
    </i>
    <i>
      <x v="158"/>
      <x v="161"/>
      <x v="8"/>
    </i>
    <i>
      <x v="159"/>
      <x v="162"/>
      <x v="8"/>
    </i>
    <i>
      <x v="160"/>
      <x v="163"/>
      <x v="8"/>
    </i>
    <i>
      <x v="161"/>
      <x v="164"/>
      <x v="8"/>
    </i>
    <i>
      <x v="162"/>
      <x v="165"/>
      <x v="8"/>
    </i>
    <i>
      <x v="163"/>
      <x v="166"/>
      <x v="8"/>
    </i>
    <i r="1">
      <x v="167"/>
      <x v="8"/>
    </i>
    <i>
      <x v="164"/>
      <x v="168"/>
      <x v="8"/>
    </i>
    <i r="1">
      <x v="169"/>
      <x v="8"/>
    </i>
    <i>
      <x v="165"/>
      <x v="170"/>
      <x v="8"/>
    </i>
    <i r="1">
      <x v="171"/>
      <x v="8"/>
    </i>
    <i>
      <x v="166"/>
      <x v="172"/>
      <x v="8"/>
    </i>
    <i>
      <x v="167"/>
      <x v="173"/>
      <x v="8"/>
    </i>
    <i>
      <x v="168"/>
      <x v="174"/>
      <x v="8"/>
    </i>
    <i>
      <x v="169"/>
      <x v="175"/>
      <x v="8"/>
    </i>
    <i>
      <x v="170"/>
      <x v="176"/>
      <x v="8"/>
    </i>
    <i>
      <x v="171"/>
      <x v="177"/>
      <x v="8"/>
    </i>
    <i>
      <x v="172"/>
      <x v="178"/>
      <x v="8"/>
    </i>
    <i r="1">
      <x v="184"/>
      <x v="8"/>
    </i>
    <i>
      <x v="173"/>
      <x v="179"/>
      <x v="8"/>
    </i>
    <i r="1">
      <x v="184"/>
      <x v="8"/>
    </i>
    <i>
      <x v="174"/>
      <x v="184"/>
      <x v="8"/>
    </i>
    <i>
      <x v="175"/>
      <x v="184"/>
      <x v="8"/>
    </i>
    <i>
      <x v="176"/>
      <x v="180"/>
      <x v="8"/>
    </i>
    <i>
      <x v="177"/>
      <x v="181"/>
      <x v="8"/>
    </i>
    <i>
      <x v="178"/>
      <x v="184"/>
      <x v="8"/>
    </i>
    <i>
      <x v="179"/>
      <x v="184"/>
      <x v="8"/>
    </i>
    <i>
      <x v="180"/>
      <x v="182"/>
      <x v="8"/>
    </i>
    <i>
      <x v="181"/>
      <x v="183"/>
      <x v="8"/>
    </i>
    <i>
      <x v="182"/>
      <x v="184"/>
      <x v="8"/>
    </i>
    <i>
      <x v="183"/>
      <x v="184"/>
      <x v="8"/>
    </i>
    <i>
      <x v="184"/>
      <x v="186"/>
      <x v="8"/>
    </i>
    <i>
      <x v="185"/>
      <x v="187"/>
      <x v="8"/>
    </i>
    <i>
      <x v="186"/>
      <x v="195"/>
      <x v="8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求和项:年预测销售额" fld="17" baseField="0" baseItem="0"/>
    <dataField name="求和项:6月预测" fld="25" baseField="0" baseItem="0"/>
    <dataField name="求和项:7月预测" fld="26" baseField="0" baseItem="0"/>
    <dataField name="求和项:8月预测" fld="27" baseField="0" baseItem="0"/>
    <dataField name="求和项:9月预测" fld="28" baseField="0" baseItem="0"/>
    <dataField name="求和项:10月预测" fld="29" baseField="0" baseItem="0"/>
    <dataField name="求和项:11月预测" fld="30" baseField="0" baseItem="0"/>
    <dataField name="求和项:12月预测" fld="3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A3:H7" firstHeaderRow="0" firstDataRow="1" firstDataCol="1"/>
  <pivotFields count="71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9" showAll="0"/>
    <pivotField showAll="0"/>
    <pivotField numFmtId="17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求和项:6月" fld="64" baseField="0" baseItem="0"/>
    <dataField name="求和项:7月" fld="65" baseField="0" baseItem="0"/>
    <dataField name="求和项:8月" fld="66" baseField="0" baseItem="0"/>
    <dataField name="求和项:9月" fld="67" baseField="0" baseItem="0"/>
    <dataField name="求和项:10月" fld="68" baseField="0" baseItem="0"/>
    <dataField name="求和项:11月" fld="69" baseField="0" baseItem="0"/>
    <dataField name="求和项:12月" fld="7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A3:H13" firstHeaderRow="0" firstDataRow="1" firstDataCol="1"/>
  <pivotFields count="26">
    <pivotField showAll="0"/>
    <pivotField showAll="0"/>
    <pivotField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6"/>
        <item x="8"/>
        <item x="2"/>
        <item x="4"/>
        <item x="1"/>
        <item x="0"/>
        <item x="7"/>
        <item x="3"/>
        <item x="5"/>
        <item t="default"/>
      </items>
    </pivotField>
    <pivotField dataField="1" numFmtId="176" showAll="0"/>
    <pivotField dataField="1" numFmtId="176" showAll="0"/>
    <pivotField dataField="1" numFmtId="176" showAll="0"/>
    <pivotField dataField="1" numFmtId="176" showAll="0"/>
    <pivotField dataField="1" numFmtId="176" showAll="0"/>
    <pivotField dataField="1" numFmtId="176" showAll="0"/>
    <pivotField dataField="1" numFmtId="176" showAll="0"/>
  </pivotFields>
  <rowFields count="1">
    <field x="18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求和项:6月预测2" fld="19" baseField="0" baseItem="0" numFmtId="176"/>
    <dataField name="求和项:7月预测2" fld="20" baseField="0" baseItem="0" numFmtId="176"/>
    <dataField name="求和项:8月预测2" fld="21" baseField="0" baseItem="0" numFmtId="176"/>
    <dataField name="求和项:9月预测2" fld="22" baseField="0" baseItem="0" numFmtId="176"/>
    <dataField name="求和项:10月预测2" fld="23" baseField="0" baseItem="0" numFmtId="176"/>
    <dataField name="求和项:11月预测2" fld="24" baseField="0" baseItem="0" numFmtId="176"/>
    <dataField name="求和项:12月预测2" fld="25" baseField="0" baseItem="0" numFmtId="176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表1" displayName="表1" ref="A1:BS4" totalsRowShown="0">
  <autoFilter ref="A1:BS4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/>
    <tableColumn id="58" name="送样"/>
    <tableColumn id="59" name="样品测试"/>
    <tableColumn id="60" name="DV"/>
    <tableColumn id="61" name="PV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2" displayName="表2" ref="A1:BS2" totalsRowShown="0">
  <autoFilter ref="A1:BS2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/>
    <tableColumn id="58" name="送样"/>
    <tableColumn id="59" name="样品测试"/>
    <tableColumn id="60" name="DV"/>
    <tableColumn id="61" name="PV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3" displayName="表3" ref="A1:BS3" totalsRowShown="0">
  <autoFilter ref="A1:BS3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/>
    <tableColumn id="58" name="送样"/>
    <tableColumn id="59" name="样品测试"/>
    <tableColumn id="60" name="DV"/>
    <tableColumn id="61" name="PV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4" displayName="表4" ref="A1:BS2" totalsRowShown="0">
  <autoFilter ref="A1:BS2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/>
    <tableColumn id="58" name="送样"/>
    <tableColumn id="59" name="样品测试"/>
    <tableColumn id="60" name="DV"/>
    <tableColumn id="61" name="PV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5" displayName="表5" ref="A1:BS2" totalsRowShown="0">
  <autoFilter ref="A1:BS2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/>
    <tableColumn id="58" name="送样"/>
    <tableColumn id="59" name="样品测试"/>
    <tableColumn id="60" name="DV"/>
    <tableColumn id="61" name="PV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6" displayName="表6" ref="A1:BS4" totalsRowShown="0">
  <autoFilter ref="A1:BS4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 dataDxfId="0"/>
    <tableColumn id="58" name="送样" dataDxfId="1"/>
    <tableColumn id="59" name="样品测试" dataDxfId="2"/>
    <tableColumn id="60" name="DV" dataDxfId="3"/>
    <tableColumn id="61" name="PV" dataDxfId="4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4"/>
  <sheetViews>
    <sheetView workbookViewId="0">
      <selection activeCell="C33" sqref="C33"/>
    </sheetView>
  </sheetViews>
  <sheetFormatPr defaultColWidth="9.14285714285714" defaultRowHeight="16.8" outlineLevelRow="3"/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231</v>
      </c>
      <c r="B2" t="s">
        <v>71</v>
      </c>
      <c r="C2" t="s">
        <v>72</v>
      </c>
      <c r="D2" t="s">
        <v>73</v>
      </c>
      <c r="E2" t="s">
        <v>74</v>
      </c>
      <c r="F2" t="s">
        <v>75</v>
      </c>
      <c r="G2" t="s">
        <v>76</v>
      </c>
      <c r="H2" t="s">
        <v>77</v>
      </c>
      <c r="K2" t="s">
        <v>78</v>
      </c>
      <c r="L2">
        <v>2000000</v>
      </c>
      <c r="M2" t="s">
        <v>79</v>
      </c>
      <c r="Q2">
        <v>0.19</v>
      </c>
      <c r="R2">
        <v>465500</v>
      </c>
      <c r="T2">
        <v>2450000</v>
      </c>
      <c r="U2">
        <v>350000</v>
      </c>
      <c r="V2">
        <v>350000</v>
      </c>
      <c r="W2">
        <v>350000</v>
      </c>
      <c r="X2">
        <v>350000</v>
      </c>
      <c r="Y2">
        <v>350000</v>
      </c>
      <c r="Z2">
        <v>350000</v>
      </c>
      <c r="AA2">
        <v>350000</v>
      </c>
      <c r="AB2">
        <v>350000</v>
      </c>
      <c r="AC2">
        <v>350000</v>
      </c>
      <c r="AD2">
        <v>350000</v>
      </c>
      <c r="AE2">
        <v>350000</v>
      </c>
      <c r="AF2">
        <v>350000</v>
      </c>
      <c r="AS2" t="s">
        <v>74</v>
      </c>
      <c r="AT2" t="s">
        <v>80</v>
      </c>
      <c r="AU2" t="s">
        <v>81</v>
      </c>
      <c r="AV2" t="s">
        <v>82</v>
      </c>
      <c r="BL2">
        <v>66500</v>
      </c>
      <c r="BM2">
        <v>66500</v>
      </c>
      <c r="BN2">
        <v>66500</v>
      </c>
      <c r="BO2">
        <v>66500</v>
      </c>
      <c r="BP2">
        <v>66500</v>
      </c>
      <c r="BQ2">
        <v>66500</v>
      </c>
      <c r="BR2">
        <v>66500</v>
      </c>
      <c r="BS2">
        <v>66500</v>
      </c>
    </row>
    <row r="3" spans="1:71">
      <c r="A3">
        <v>272</v>
      </c>
      <c r="B3" t="s">
        <v>83</v>
      </c>
      <c r="C3" t="s">
        <v>72</v>
      </c>
      <c r="D3" t="s">
        <v>84</v>
      </c>
      <c r="E3" t="s">
        <v>74</v>
      </c>
      <c r="F3" t="s">
        <v>85</v>
      </c>
      <c r="G3" t="s">
        <v>76</v>
      </c>
      <c r="H3" t="s">
        <v>77</v>
      </c>
      <c r="I3" t="s">
        <v>86</v>
      </c>
      <c r="K3" t="s">
        <v>87</v>
      </c>
      <c r="L3">
        <v>200000</v>
      </c>
      <c r="M3" t="s">
        <v>79</v>
      </c>
      <c r="N3" t="s">
        <v>88</v>
      </c>
      <c r="O3" t="s">
        <v>89</v>
      </c>
      <c r="P3" t="s">
        <v>89</v>
      </c>
      <c r="Q3">
        <v>0.32</v>
      </c>
      <c r="R3">
        <v>51520</v>
      </c>
      <c r="T3">
        <v>161000</v>
      </c>
      <c r="U3">
        <v>23000</v>
      </c>
      <c r="V3">
        <v>23000</v>
      </c>
      <c r="W3">
        <v>23000</v>
      </c>
      <c r="X3">
        <v>23000</v>
      </c>
      <c r="Y3">
        <v>23000</v>
      </c>
      <c r="Z3">
        <v>23000</v>
      </c>
      <c r="AA3">
        <v>23000</v>
      </c>
      <c r="AB3">
        <v>23000</v>
      </c>
      <c r="AC3">
        <v>23000</v>
      </c>
      <c r="AD3">
        <v>23000</v>
      </c>
      <c r="AE3">
        <v>23000</v>
      </c>
      <c r="AF3">
        <v>23000</v>
      </c>
      <c r="AS3" t="s">
        <v>74</v>
      </c>
      <c r="AT3" t="s">
        <v>80</v>
      </c>
      <c r="AU3" t="s">
        <v>81</v>
      </c>
      <c r="AV3" t="s">
        <v>82</v>
      </c>
      <c r="BL3">
        <v>7360</v>
      </c>
      <c r="BM3">
        <v>7360</v>
      </c>
      <c r="BN3">
        <v>7360</v>
      </c>
      <c r="BO3">
        <v>7360</v>
      </c>
      <c r="BP3">
        <v>7360</v>
      </c>
      <c r="BQ3">
        <v>7360</v>
      </c>
      <c r="BR3">
        <v>7360</v>
      </c>
      <c r="BS3">
        <v>7360</v>
      </c>
    </row>
    <row r="4" spans="1:71">
      <c r="A4">
        <v>285</v>
      </c>
      <c r="B4" t="s">
        <v>90</v>
      </c>
      <c r="C4" t="s">
        <v>72</v>
      </c>
      <c r="D4" t="s">
        <v>84</v>
      </c>
      <c r="E4" t="s">
        <v>74</v>
      </c>
      <c r="F4" t="s">
        <v>85</v>
      </c>
      <c r="G4" t="s">
        <v>76</v>
      </c>
      <c r="H4" t="s">
        <v>77</v>
      </c>
      <c r="K4" t="s">
        <v>87</v>
      </c>
      <c r="L4">
        <v>70000</v>
      </c>
      <c r="M4" t="s">
        <v>79</v>
      </c>
      <c r="N4" t="s">
        <v>88</v>
      </c>
      <c r="O4" t="s">
        <v>89</v>
      </c>
      <c r="P4" t="s">
        <v>89</v>
      </c>
      <c r="Q4">
        <v>0.19</v>
      </c>
      <c r="R4">
        <v>9310</v>
      </c>
      <c r="T4">
        <v>49000</v>
      </c>
      <c r="U4">
        <v>7000</v>
      </c>
      <c r="V4">
        <v>7000</v>
      </c>
      <c r="W4">
        <v>7000</v>
      </c>
      <c r="X4">
        <v>7000</v>
      </c>
      <c r="Y4">
        <v>7000</v>
      </c>
      <c r="Z4">
        <v>7000</v>
      </c>
      <c r="AA4">
        <v>7000</v>
      </c>
      <c r="AB4">
        <v>7000</v>
      </c>
      <c r="AC4">
        <v>7000</v>
      </c>
      <c r="AD4">
        <v>7000</v>
      </c>
      <c r="AE4">
        <v>7000</v>
      </c>
      <c r="AF4">
        <v>7000</v>
      </c>
      <c r="AS4" t="s">
        <v>74</v>
      </c>
      <c r="AT4" t="s">
        <v>80</v>
      </c>
      <c r="AU4" t="s">
        <v>81</v>
      </c>
      <c r="AV4" t="s">
        <v>82</v>
      </c>
      <c r="BL4">
        <v>1330</v>
      </c>
      <c r="BM4">
        <v>1330</v>
      </c>
      <c r="BN4">
        <v>1330</v>
      </c>
      <c r="BO4">
        <v>1330</v>
      </c>
      <c r="BP4">
        <v>1330</v>
      </c>
      <c r="BQ4">
        <v>1330</v>
      </c>
      <c r="BR4">
        <v>1330</v>
      </c>
      <c r="BS4">
        <v>1330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"/>
  <sheetViews>
    <sheetView workbookViewId="0">
      <selection activeCell="A1" sqref="A1:BS2"/>
    </sheetView>
  </sheetViews>
  <sheetFormatPr defaultColWidth="9.14285714285714" defaultRowHeight="16.8" outlineLevelRow="1"/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363</v>
      </c>
      <c r="B2" t="s">
        <v>91</v>
      </c>
      <c r="C2" t="s">
        <v>92</v>
      </c>
      <c r="D2" t="s">
        <v>91</v>
      </c>
      <c r="E2" t="s">
        <v>93</v>
      </c>
      <c r="F2" t="s">
        <v>93</v>
      </c>
      <c r="G2" t="s">
        <v>76</v>
      </c>
      <c r="H2" t="s">
        <v>94</v>
      </c>
      <c r="I2" t="s">
        <v>95</v>
      </c>
      <c r="J2" t="s">
        <v>96</v>
      </c>
      <c r="Q2">
        <v>0.265</v>
      </c>
      <c r="R2">
        <v>704900</v>
      </c>
      <c r="S2">
        <v>805600</v>
      </c>
      <c r="T2">
        <v>2660000</v>
      </c>
      <c r="Y2">
        <v>380000</v>
      </c>
      <c r="Z2">
        <v>380000</v>
      </c>
      <c r="AA2">
        <v>380000</v>
      </c>
      <c r="AB2">
        <v>380000</v>
      </c>
      <c r="AC2">
        <v>380000</v>
      </c>
      <c r="AD2">
        <v>380000</v>
      </c>
      <c r="AE2">
        <v>380000</v>
      </c>
      <c r="AF2">
        <v>380000</v>
      </c>
      <c r="AT2" t="s">
        <v>80</v>
      </c>
      <c r="AU2" t="s">
        <v>81</v>
      </c>
      <c r="BL2">
        <v>100700</v>
      </c>
      <c r="BM2">
        <v>100700</v>
      </c>
      <c r="BN2">
        <v>100700</v>
      </c>
      <c r="BO2">
        <v>100700</v>
      </c>
      <c r="BP2">
        <v>100700</v>
      </c>
      <c r="BQ2">
        <v>100700</v>
      </c>
      <c r="BR2">
        <v>100700</v>
      </c>
      <c r="BS2">
        <v>100700</v>
      </c>
    </row>
  </sheetData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3"/>
  <sheetViews>
    <sheetView workbookViewId="0">
      <selection activeCell="A1" sqref="A1:BS3"/>
    </sheetView>
  </sheetViews>
  <sheetFormatPr defaultColWidth="9.14285714285714" defaultRowHeight="16.8" outlineLevelRow="2"/>
  <cols>
    <col min="57" max="59" width="11.2857142857143"/>
    <col min="60" max="61" width="12.3571428571429"/>
  </cols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34</v>
      </c>
      <c r="B2" t="s">
        <v>97</v>
      </c>
      <c r="C2" t="s">
        <v>72</v>
      </c>
      <c r="D2" t="s">
        <v>98</v>
      </c>
      <c r="E2" t="s">
        <v>99</v>
      </c>
      <c r="G2" t="s">
        <v>100</v>
      </c>
      <c r="H2" t="s">
        <v>101</v>
      </c>
      <c r="K2" t="s">
        <v>102</v>
      </c>
      <c r="M2" t="s">
        <v>103</v>
      </c>
      <c r="N2" t="s">
        <v>104</v>
      </c>
      <c r="O2" t="s">
        <v>89</v>
      </c>
      <c r="Q2">
        <v>0.25</v>
      </c>
      <c r="R2">
        <v>37500</v>
      </c>
      <c r="S2">
        <v>60000</v>
      </c>
      <c r="T2">
        <v>150000</v>
      </c>
      <c r="U2">
        <v>30000</v>
      </c>
      <c r="V2">
        <v>30000</v>
      </c>
      <c r="W2">
        <v>30000</v>
      </c>
      <c r="X2">
        <v>30000</v>
      </c>
      <c r="Y2">
        <v>30000</v>
      </c>
      <c r="AB2">
        <v>30000</v>
      </c>
      <c r="AC2">
        <v>30000</v>
      </c>
      <c r="AD2">
        <v>30000</v>
      </c>
      <c r="AE2">
        <v>30000</v>
      </c>
      <c r="AF2">
        <v>30000</v>
      </c>
      <c r="AT2" t="s">
        <v>105</v>
      </c>
      <c r="AU2" t="s">
        <v>81</v>
      </c>
      <c r="AV2" t="s">
        <v>106</v>
      </c>
      <c r="AW2" t="s">
        <v>107</v>
      </c>
      <c r="AX2" t="s">
        <v>108</v>
      </c>
      <c r="BL2">
        <v>7500</v>
      </c>
      <c r="BM2">
        <v>0</v>
      </c>
      <c r="BN2">
        <v>0</v>
      </c>
      <c r="BO2">
        <v>7500</v>
      </c>
      <c r="BP2">
        <v>7500</v>
      </c>
      <c r="BQ2">
        <v>7500</v>
      </c>
      <c r="BR2">
        <v>7500</v>
      </c>
      <c r="BS2">
        <v>7500</v>
      </c>
    </row>
    <row r="3" spans="1:71">
      <c r="A3">
        <v>502</v>
      </c>
      <c r="B3" t="s">
        <v>109</v>
      </c>
      <c r="C3" t="s">
        <v>72</v>
      </c>
      <c r="D3" t="s">
        <v>110</v>
      </c>
      <c r="E3" t="s">
        <v>111</v>
      </c>
      <c r="F3" t="s">
        <v>112</v>
      </c>
      <c r="G3" t="s">
        <v>100</v>
      </c>
      <c r="H3" t="s">
        <v>101</v>
      </c>
      <c r="K3" t="s">
        <v>113</v>
      </c>
      <c r="L3">
        <v>60000</v>
      </c>
      <c r="M3" t="s">
        <v>114</v>
      </c>
      <c r="O3" t="s">
        <v>115</v>
      </c>
      <c r="Q3">
        <v>0.52</v>
      </c>
      <c r="R3">
        <v>14040</v>
      </c>
      <c r="S3">
        <v>0</v>
      </c>
      <c r="T3">
        <v>27000</v>
      </c>
      <c r="Y3">
        <v>3000</v>
      </c>
      <c r="Z3">
        <v>3000</v>
      </c>
      <c r="AA3">
        <v>3000</v>
      </c>
      <c r="AB3">
        <v>3000</v>
      </c>
      <c r="AC3">
        <v>3000</v>
      </c>
      <c r="AD3">
        <v>5000</v>
      </c>
      <c r="AE3">
        <v>5000</v>
      </c>
      <c r="AF3">
        <v>5000</v>
      </c>
      <c r="AS3" t="s">
        <v>93</v>
      </c>
      <c r="AT3" t="s">
        <v>116</v>
      </c>
      <c r="AU3" t="s">
        <v>81</v>
      </c>
      <c r="AV3" t="s">
        <v>117</v>
      </c>
      <c r="AW3" t="s">
        <v>118</v>
      </c>
      <c r="AX3" t="s">
        <v>119</v>
      </c>
      <c r="AY3" t="s">
        <v>120</v>
      </c>
      <c r="AZ3" t="s">
        <v>121</v>
      </c>
      <c r="BA3" t="s">
        <v>122</v>
      </c>
      <c r="BC3">
        <v>3</v>
      </c>
      <c r="BD3">
        <v>45736</v>
      </c>
      <c r="BE3" s="107">
        <v>45432</v>
      </c>
      <c r="BF3" s="107">
        <v>45463</v>
      </c>
      <c r="BG3" s="107">
        <v>45493</v>
      </c>
      <c r="BH3" s="107">
        <v>45585</v>
      </c>
      <c r="BI3" s="107">
        <v>45646</v>
      </c>
      <c r="BJ3">
        <v>1</v>
      </c>
      <c r="BK3">
        <v>5</v>
      </c>
      <c r="BL3">
        <v>1560</v>
      </c>
      <c r="BM3">
        <v>1560</v>
      </c>
      <c r="BN3">
        <v>1560</v>
      </c>
      <c r="BO3">
        <v>1560</v>
      </c>
      <c r="BP3">
        <v>1560</v>
      </c>
      <c r="BQ3">
        <v>2600</v>
      </c>
      <c r="BR3">
        <v>2600</v>
      </c>
      <c r="BS3">
        <v>2600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"/>
  <sheetViews>
    <sheetView workbookViewId="0">
      <selection activeCell="A1" sqref="A1:BS2"/>
    </sheetView>
  </sheetViews>
  <sheetFormatPr defaultColWidth="9.14285714285714" defaultRowHeight="16.8" outlineLevelRow="1"/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592</v>
      </c>
      <c r="B2" t="s">
        <v>123</v>
      </c>
      <c r="C2" t="s">
        <v>72</v>
      </c>
      <c r="D2" t="s">
        <v>124</v>
      </c>
      <c r="E2" t="s">
        <v>125</v>
      </c>
      <c r="G2" t="s">
        <v>76</v>
      </c>
      <c r="H2" t="s">
        <v>126</v>
      </c>
      <c r="Q2">
        <v>0.2</v>
      </c>
      <c r="R2">
        <v>240000</v>
      </c>
      <c r="T2">
        <v>1200000</v>
      </c>
      <c r="AA2">
        <v>200000</v>
      </c>
      <c r="AB2">
        <v>200000</v>
      </c>
      <c r="AC2">
        <v>200000</v>
      </c>
      <c r="AD2">
        <v>200000</v>
      </c>
      <c r="AE2">
        <v>200000</v>
      </c>
      <c r="AF2">
        <v>200000</v>
      </c>
      <c r="AT2" t="s">
        <v>127</v>
      </c>
      <c r="AU2" t="s">
        <v>81</v>
      </c>
      <c r="BM2">
        <v>0</v>
      </c>
      <c r="BN2">
        <v>40000</v>
      </c>
      <c r="BO2">
        <v>40000</v>
      </c>
      <c r="BP2">
        <v>40000</v>
      </c>
      <c r="BQ2">
        <v>40000</v>
      </c>
      <c r="BR2">
        <v>40000</v>
      </c>
      <c r="BS2">
        <v>40000</v>
      </c>
    </row>
  </sheetData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"/>
  <sheetViews>
    <sheetView workbookViewId="0">
      <selection activeCell="A1" sqref="A1:BS2"/>
    </sheetView>
  </sheetViews>
  <sheetFormatPr defaultColWidth="9.14285714285714" defaultRowHeight="16.8" outlineLevelRow="1"/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363</v>
      </c>
      <c r="B2" t="s">
        <v>91</v>
      </c>
      <c r="C2" t="s">
        <v>92</v>
      </c>
      <c r="D2" t="s">
        <v>91</v>
      </c>
      <c r="E2" t="s">
        <v>93</v>
      </c>
      <c r="F2" t="s">
        <v>93</v>
      </c>
      <c r="G2" t="s">
        <v>76</v>
      </c>
      <c r="H2" t="s">
        <v>94</v>
      </c>
      <c r="I2" t="s">
        <v>95</v>
      </c>
      <c r="J2" t="s">
        <v>96</v>
      </c>
      <c r="Q2">
        <v>0.265</v>
      </c>
      <c r="R2">
        <v>704900</v>
      </c>
      <c r="S2">
        <v>805600</v>
      </c>
      <c r="T2">
        <v>2660000</v>
      </c>
      <c r="Y2">
        <v>380000</v>
      </c>
      <c r="Z2">
        <v>380000</v>
      </c>
      <c r="AA2">
        <v>380000</v>
      </c>
      <c r="AB2">
        <v>380000</v>
      </c>
      <c r="AC2">
        <v>380000</v>
      </c>
      <c r="AD2">
        <v>380000</v>
      </c>
      <c r="AE2">
        <v>380000</v>
      </c>
      <c r="AF2">
        <v>380000</v>
      </c>
      <c r="AT2" t="s">
        <v>80</v>
      </c>
      <c r="AU2" t="s">
        <v>81</v>
      </c>
      <c r="BL2">
        <v>100700</v>
      </c>
      <c r="BM2">
        <v>100700</v>
      </c>
      <c r="BN2">
        <v>100700</v>
      </c>
      <c r="BO2">
        <v>100700</v>
      </c>
      <c r="BP2">
        <v>100700</v>
      </c>
      <c r="BQ2">
        <v>100700</v>
      </c>
      <c r="BR2">
        <v>100700</v>
      </c>
      <c r="BS2">
        <v>100700</v>
      </c>
    </row>
  </sheetData>
  <pageMargins left="0.75" right="0.75" top="1" bottom="1" header="0.5" footer="0.5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4"/>
  <sheetViews>
    <sheetView workbookViewId="0">
      <selection activeCell="A1" sqref="A1:BS4"/>
    </sheetView>
  </sheetViews>
  <sheetFormatPr defaultColWidth="9.14285714285714" defaultRowHeight="16.8" outlineLevelRow="3"/>
  <cols>
    <col min="57" max="61" width="12.3571428571429"/>
  </cols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279</v>
      </c>
      <c r="B2" t="s">
        <v>128</v>
      </c>
      <c r="C2" t="s">
        <v>72</v>
      </c>
      <c r="D2" t="s">
        <v>129</v>
      </c>
      <c r="E2" t="s">
        <v>74</v>
      </c>
      <c r="F2" t="s">
        <v>130</v>
      </c>
      <c r="G2" t="s">
        <v>131</v>
      </c>
      <c r="H2" t="s">
        <v>132</v>
      </c>
      <c r="K2" t="s">
        <v>133</v>
      </c>
      <c r="L2">
        <v>72000</v>
      </c>
      <c r="M2" t="s">
        <v>79</v>
      </c>
      <c r="N2" t="s">
        <v>134</v>
      </c>
      <c r="Q2">
        <v>0.45</v>
      </c>
      <c r="R2">
        <v>18900</v>
      </c>
      <c r="T2">
        <v>42000</v>
      </c>
      <c r="U2">
        <v>6000</v>
      </c>
      <c r="V2">
        <v>6000</v>
      </c>
      <c r="W2">
        <v>6000</v>
      </c>
      <c r="X2">
        <v>6000</v>
      </c>
      <c r="Y2">
        <v>6000</v>
      </c>
      <c r="Z2">
        <v>6000</v>
      </c>
      <c r="AA2">
        <v>6000</v>
      </c>
      <c r="AB2">
        <v>6000</v>
      </c>
      <c r="AC2">
        <v>6000</v>
      </c>
      <c r="AD2">
        <v>6000</v>
      </c>
      <c r="AE2">
        <v>6000</v>
      </c>
      <c r="AF2">
        <v>6000</v>
      </c>
      <c r="AS2" t="s">
        <v>74</v>
      </c>
      <c r="AT2" t="s">
        <v>80</v>
      </c>
      <c r="AU2" t="s">
        <v>81</v>
      </c>
      <c r="AV2" t="s">
        <v>135</v>
      </c>
      <c r="BL2">
        <v>2700</v>
      </c>
      <c r="BM2">
        <v>2700</v>
      </c>
      <c r="BN2">
        <v>2700</v>
      </c>
      <c r="BO2">
        <v>2700</v>
      </c>
      <c r="BP2">
        <v>2700</v>
      </c>
      <c r="BQ2">
        <v>2700</v>
      </c>
      <c r="BR2">
        <v>2700</v>
      </c>
      <c r="BS2">
        <v>2700</v>
      </c>
    </row>
    <row r="3" spans="1:71">
      <c r="A3">
        <v>538</v>
      </c>
      <c r="B3" t="s">
        <v>136</v>
      </c>
      <c r="C3" t="s">
        <v>72</v>
      </c>
      <c r="D3" t="s">
        <v>137</v>
      </c>
      <c r="E3" t="s">
        <v>111</v>
      </c>
      <c r="F3" t="s">
        <v>138</v>
      </c>
      <c r="G3" t="s">
        <v>131</v>
      </c>
      <c r="H3" t="s">
        <v>132</v>
      </c>
      <c r="K3" t="s">
        <v>139</v>
      </c>
      <c r="L3">
        <v>120000</v>
      </c>
      <c r="M3" t="s">
        <v>79</v>
      </c>
      <c r="O3" t="s">
        <v>115</v>
      </c>
      <c r="Q3">
        <v>0.33</v>
      </c>
      <c r="R3">
        <v>34650</v>
      </c>
      <c r="S3">
        <v>0</v>
      </c>
      <c r="T3">
        <v>105000</v>
      </c>
      <c r="U3">
        <v>17000</v>
      </c>
      <c r="V3">
        <v>11000</v>
      </c>
      <c r="W3">
        <v>15000</v>
      </c>
      <c r="X3">
        <v>15000</v>
      </c>
      <c r="Y3">
        <v>15000</v>
      </c>
      <c r="Z3">
        <v>15000</v>
      </c>
      <c r="AA3">
        <v>15000</v>
      </c>
      <c r="AB3">
        <v>15000</v>
      </c>
      <c r="AC3">
        <v>15000</v>
      </c>
      <c r="AD3">
        <v>15000</v>
      </c>
      <c r="AE3">
        <v>15000</v>
      </c>
      <c r="AF3">
        <v>15000</v>
      </c>
      <c r="AS3" t="s">
        <v>116</v>
      </c>
      <c r="AT3" t="s">
        <v>116</v>
      </c>
      <c r="AU3" t="s">
        <v>81</v>
      </c>
      <c r="AV3" t="s">
        <v>106</v>
      </c>
      <c r="AW3" t="s">
        <v>140</v>
      </c>
      <c r="AX3" t="s">
        <v>141</v>
      </c>
      <c r="AY3" t="s">
        <v>142</v>
      </c>
      <c r="AZ3" t="s">
        <v>52</v>
      </c>
      <c r="BC3">
        <v>1</v>
      </c>
      <c r="BD3">
        <v>45656</v>
      </c>
      <c r="BE3" s="107">
        <v>45616</v>
      </c>
      <c r="BF3" s="107">
        <v>45636</v>
      </c>
      <c r="BG3" s="107">
        <v>46006</v>
      </c>
      <c r="BH3" s="107">
        <v>46011</v>
      </c>
      <c r="BI3" s="107">
        <v>46016</v>
      </c>
      <c r="BJ3">
        <v>1</v>
      </c>
      <c r="BK3">
        <v>5</v>
      </c>
      <c r="BL3">
        <v>4950</v>
      </c>
      <c r="BM3">
        <v>4950</v>
      </c>
      <c r="BN3">
        <v>4950</v>
      </c>
      <c r="BO3">
        <v>4950</v>
      </c>
      <c r="BP3">
        <v>4950</v>
      </c>
      <c r="BQ3">
        <v>4950</v>
      </c>
      <c r="BR3">
        <v>4950</v>
      </c>
      <c r="BS3">
        <v>4950</v>
      </c>
    </row>
    <row r="4" spans="1:71">
      <c r="A4">
        <v>540</v>
      </c>
      <c r="B4" t="s">
        <v>128</v>
      </c>
      <c r="C4" t="s">
        <v>72</v>
      </c>
      <c r="D4" t="s">
        <v>137</v>
      </c>
      <c r="E4" t="s">
        <v>111</v>
      </c>
      <c r="F4" t="s">
        <v>138</v>
      </c>
      <c r="G4" t="s">
        <v>131</v>
      </c>
      <c r="H4" t="s">
        <v>132</v>
      </c>
      <c r="K4" t="s">
        <v>140</v>
      </c>
      <c r="L4">
        <v>200000</v>
      </c>
      <c r="M4" t="s">
        <v>79</v>
      </c>
      <c r="O4" t="s">
        <v>115</v>
      </c>
      <c r="Q4">
        <v>0.34</v>
      </c>
      <c r="R4">
        <v>7140</v>
      </c>
      <c r="S4">
        <v>0</v>
      </c>
      <c r="T4">
        <v>21000</v>
      </c>
      <c r="X4">
        <v>3000</v>
      </c>
      <c r="Y4">
        <v>3000</v>
      </c>
      <c r="Z4">
        <v>3000</v>
      </c>
      <c r="AA4">
        <v>3000</v>
      </c>
      <c r="AB4">
        <v>3000</v>
      </c>
      <c r="AC4">
        <v>3000</v>
      </c>
      <c r="AD4">
        <v>3000</v>
      </c>
      <c r="AE4">
        <v>3000</v>
      </c>
      <c r="AF4">
        <v>3000</v>
      </c>
      <c r="AS4" t="s">
        <v>116</v>
      </c>
      <c r="AT4" t="s">
        <v>116</v>
      </c>
      <c r="AU4" t="s">
        <v>81</v>
      </c>
      <c r="AV4" t="s">
        <v>117</v>
      </c>
      <c r="AW4" t="s">
        <v>143</v>
      </c>
      <c r="AX4" t="s">
        <v>144</v>
      </c>
      <c r="AY4" t="s">
        <v>145</v>
      </c>
      <c r="AZ4" t="s">
        <v>52</v>
      </c>
      <c r="BD4">
        <v>45858</v>
      </c>
      <c r="BE4" s="107">
        <v>45920</v>
      </c>
      <c r="BF4" s="107">
        <v>45920</v>
      </c>
      <c r="BG4" s="107">
        <v>45616</v>
      </c>
      <c r="BH4" s="107">
        <v>45708</v>
      </c>
      <c r="BI4" s="107">
        <v>45736</v>
      </c>
      <c r="BJ4">
        <v>1</v>
      </c>
      <c r="BK4">
        <v>5</v>
      </c>
      <c r="BL4">
        <v>1020</v>
      </c>
      <c r="BM4">
        <v>1020</v>
      </c>
      <c r="BN4">
        <v>1020</v>
      </c>
      <c r="BO4">
        <v>1020</v>
      </c>
      <c r="BP4">
        <v>1020</v>
      </c>
      <c r="BQ4">
        <v>1020</v>
      </c>
      <c r="BR4">
        <v>1020</v>
      </c>
      <c r="BS4">
        <v>1020</v>
      </c>
    </row>
  </sheetData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39"/>
  <sheetViews>
    <sheetView workbookViewId="0">
      <selection activeCell="F24" sqref="F24"/>
    </sheetView>
  </sheetViews>
  <sheetFormatPr defaultColWidth="9" defaultRowHeight="16.8"/>
  <cols>
    <col min="1" max="1" width="32" customWidth="1"/>
    <col min="2" max="2" width="40.4375" customWidth="1"/>
    <col min="3" max="3" width="7.77678571428571" customWidth="1"/>
    <col min="4" max="4" width="21" customWidth="1"/>
    <col min="5" max="8" width="15.5535714285714" customWidth="1"/>
    <col min="9" max="11" width="16.7767857142857" customWidth="1"/>
  </cols>
  <sheetData>
    <row r="3" spans="1:11">
      <c r="A3" t="s">
        <v>6</v>
      </c>
      <c r="B3" t="s">
        <v>7</v>
      </c>
      <c r="C3" t="s">
        <v>9</v>
      </c>
      <c r="D3" t="s">
        <v>146</v>
      </c>
      <c r="E3" t="s">
        <v>147</v>
      </c>
      <c r="F3" t="s">
        <v>148</v>
      </c>
      <c r="G3" t="s">
        <v>149</v>
      </c>
      <c r="H3" t="s">
        <v>150</v>
      </c>
      <c r="I3" t="s">
        <v>151</v>
      </c>
      <c r="J3" t="s">
        <v>152</v>
      </c>
      <c r="K3" t="s">
        <v>153</v>
      </c>
    </row>
    <row r="4" spans="1:11">
      <c r="A4">
        <v>3100</v>
      </c>
      <c r="B4" t="s">
        <v>154</v>
      </c>
      <c r="C4" t="s">
        <v>155</v>
      </c>
      <c r="D4">
        <v>350000</v>
      </c>
      <c r="E4">
        <v>5000</v>
      </c>
      <c r="F4">
        <v>10000</v>
      </c>
      <c r="G4">
        <v>10000</v>
      </c>
      <c r="H4">
        <v>20000</v>
      </c>
      <c r="I4">
        <v>20000</v>
      </c>
      <c r="J4">
        <v>30000</v>
      </c>
      <c r="K4">
        <v>30000</v>
      </c>
    </row>
    <row r="5" spans="1:11">
      <c r="A5" t="s">
        <v>156</v>
      </c>
      <c r="B5" t="s">
        <v>156</v>
      </c>
      <c r="C5" t="s">
        <v>155</v>
      </c>
      <c r="D5">
        <v>561600</v>
      </c>
      <c r="E5">
        <v>1680000</v>
      </c>
      <c r="F5">
        <v>840000</v>
      </c>
      <c r="G5">
        <v>840000</v>
      </c>
      <c r="H5">
        <v>2400000</v>
      </c>
      <c r="I5">
        <v>1680000</v>
      </c>
      <c r="J5">
        <v>1680000</v>
      </c>
      <c r="K5">
        <v>240000</v>
      </c>
    </row>
    <row r="6" spans="1:11">
      <c r="A6" t="s">
        <v>157</v>
      </c>
      <c r="B6" t="s">
        <v>157</v>
      </c>
      <c r="C6" t="s">
        <v>155</v>
      </c>
      <c r="D6">
        <v>360000</v>
      </c>
      <c r="E6">
        <v>2000000</v>
      </c>
      <c r="F6">
        <v>0</v>
      </c>
      <c r="G6">
        <v>0</v>
      </c>
      <c r="H6">
        <v>2000000</v>
      </c>
      <c r="I6">
        <v>0</v>
      </c>
      <c r="J6">
        <v>0</v>
      </c>
      <c r="K6">
        <v>2000000</v>
      </c>
    </row>
    <row r="7" spans="1:4">
      <c r="A7" t="s">
        <v>158</v>
      </c>
      <c r="B7" t="s">
        <v>159</v>
      </c>
      <c r="C7" t="s">
        <v>155</v>
      </c>
      <c r="D7">
        <v>0</v>
      </c>
    </row>
    <row r="8" spans="1:4">
      <c r="A8" t="s">
        <v>160</v>
      </c>
      <c r="B8" t="s">
        <v>155</v>
      </c>
      <c r="C8" t="s">
        <v>155</v>
      </c>
      <c r="D8">
        <v>0</v>
      </c>
    </row>
    <row r="9" spans="1:11">
      <c r="A9" t="s">
        <v>161</v>
      </c>
      <c r="B9" t="s">
        <v>162</v>
      </c>
      <c r="C9" t="s">
        <v>155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163</v>
      </c>
      <c r="B10" t="s">
        <v>164</v>
      </c>
      <c r="C10" t="s">
        <v>155</v>
      </c>
      <c r="D10">
        <v>129500</v>
      </c>
      <c r="E10">
        <v>50000</v>
      </c>
      <c r="F10">
        <v>50000</v>
      </c>
      <c r="G10">
        <v>50000</v>
      </c>
      <c r="H10">
        <v>50000</v>
      </c>
      <c r="I10">
        <v>50000</v>
      </c>
      <c r="J10">
        <v>50000</v>
      </c>
      <c r="K10">
        <v>50000</v>
      </c>
    </row>
    <row r="11" spans="1:11">
      <c r="A11" t="s">
        <v>165</v>
      </c>
      <c r="B11" t="s">
        <v>166</v>
      </c>
      <c r="C11" t="s">
        <v>155</v>
      </c>
      <c r="D11">
        <v>1013805</v>
      </c>
      <c r="E11">
        <v>567150</v>
      </c>
      <c r="F11">
        <v>542150</v>
      </c>
      <c r="G11">
        <v>572150</v>
      </c>
      <c r="H11">
        <v>567150</v>
      </c>
      <c r="I11">
        <v>572150</v>
      </c>
      <c r="J11">
        <v>632150</v>
      </c>
      <c r="K11">
        <v>627150</v>
      </c>
    </row>
    <row r="12" spans="1:11">
      <c r="A12" t="s">
        <v>167</v>
      </c>
      <c r="B12" t="s">
        <v>168</v>
      </c>
      <c r="C12" t="s">
        <v>169</v>
      </c>
      <c r="D12">
        <v>330400</v>
      </c>
      <c r="E12">
        <v>130000</v>
      </c>
      <c r="F12">
        <v>130000</v>
      </c>
      <c r="G12">
        <v>135000</v>
      </c>
      <c r="H12">
        <v>145000</v>
      </c>
      <c r="I12">
        <v>145000</v>
      </c>
      <c r="J12">
        <v>155000</v>
      </c>
      <c r="K12">
        <v>155000</v>
      </c>
    </row>
    <row r="13" spans="1:11">
      <c r="A13" t="s">
        <v>167</v>
      </c>
      <c r="B13" t="s">
        <v>168</v>
      </c>
      <c r="C13" t="s">
        <v>96</v>
      </c>
      <c r="D13">
        <v>147000</v>
      </c>
      <c r="E13">
        <v>50000</v>
      </c>
      <c r="F13">
        <v>50000</v>
      </c>
      <c r="G13">
        <v>50000</v>
      </c>
      <c r="H13">
        <v>50000</v>
      </c>
      <c r="I13">
        <v>50000</v>
      </c>
      <c r="J13">
        <v>50000</v>
      </c>
      <c r="K13">
        <v>50000</v>
      </c>
    </row>
    <row r="14" spans="1:11">
      <c r="A14" t="s">
        <v>167</v>
      </c>
      <c r="B14" t="s">
        <v>168</v>
      </c>
      <c r="C14" t="s">
        <v>155</v>
      </c>
      <c r="D14">
        <v>356960</v>
      </c>
      <c r="E14">
        <v>15000</v>
      </c>
      <c r="F14">
        <v>155000</v>
      </c>
      <c r="G14">
        <v>65000</v>
      </c>
      <c r="H14">
        <v>65000</v>
      </c>
      <c r="I14">
        <v>135000</v>
      </c>
      <c r="J14">
        <v>85000</v>
      </c>
      <c r="K14">
        <v>118000</v>
      </c>
    </row>
    <row r="15" spans="1:11">
      <c r="A15" t="s">
        <v>76</v>
      </c>
      <c r="B15" t="s">
        <v>77</v>
      </c>
      <c r="C15" t="s">
        <v>155</v>
      </c>
      <c r="D15">
        <v>526330</v>
      </c>
      <c r="E15">
        <v>380000</v>
      </c>
      <c r="F15">
        <v>380000</v>
      </c>
      <c r="G15">
        <v>380000</v>
      </c>
      <c r="H15">
        <v>380000</v>
      </c>
      <c r="I15">
        <v>380000</v>
      </c>
      <c r="J15">
        <v>380000</v>
      </c>
      <c r="K15">
        <v>380000</v>
      </c>
    </row>
    <row r="16" spans="1:11">
      <c r="A16" t="s">
        <v>76</v>
      </c>
      <c r="B16" t="s">
        <v>170</v>
      </c>
      <c r="C16" t="s">
        <v>155</v>
      </c>
      <c r="D16">
        <v>46200</v>
      </c>
      <c r="E16">
        <v>20000</v>
      </c>
      <c r="F16">
        <v>20000</v>
      </c>
      <c r="G16">
        <v>70000</v>
      </c>
      <c r="H16">
        <v>20000</v>
      </c>
      <c r="I16">
        <v>20000</v>
      </c>
      <c r="J16">
        <v>20000</v>
      </c>
      <c r="K16">
        <v>20000</v>
      </c>
    </row>
    <row r="17" spans="1:11">
      <c r="A17" t="s">
        <v>76</v>
      </c>
      <c r="B17" t="s">
        <v>94</v>
      </c>
      <c r="C17" t="s">
        <v>96</v>
      </c>
      <c r="D17">
        <v>704900</v>
      </c>
      <c r="E17">
        <v>380000</v>
      </c>
      <c r="F17">
        <v>380000</v>
      </c>
      <c r="G17">
        <v>380000</v>
      </c>
      <c r="H17">
        <v>380000</v>
      </c>
      <c r="I17">
        <v>380000</v>
      </c>
      <c r="J17">
        <v>380000</v>
      </c>
      <c r="K17">
        <v>380000</v>
      </c>
    </row>
    <row r="18" spans="1:11">
      <c r="A18" t="s">
        <v>76</v>
      </c>
      <c r="B18" t="s">
        <v>126</v>
      </c>
      <c r="C18" t="s">
        <v>155</v>
      </c>
      <c r="D18">
        <v>240000</v>
      </c>
      <c r="F18">
        <v>200000</v>
      </c>
      <c r="G18">
        <v>200000</v>
      </c>
      <c r="H18">
        <v>200000</v>
      </c>
      <c r="I18">
        <v>200000</v>
      </c>
      <c r="J18">
        <v>200000</v>
      </c>
      <c r="K18">
        <v>200000</v>
      </c>
    </row>
    <row r="19" spans="1:11">
      <c r="A19" t="s">
        <v>100</v>
      </c>
      <c r="B19" t="s">
        <v>101</v>
      </c>
      <c r="C19" t="s">
        <v>169</v>
      </c>
      <c r="D19">
        <v>7200</v>
      </c>
      <c r="F19">
        <v>3000</v>
      </c>
      <c r="G19">
        <v>3000</v>
      </c>
      <c r="H19">
        <v>3000</v>
      </c>
      <c r="I19">
        <v>3000</v>
      </c>
      <c r="J19">
        <v>3000</v>
      </c>
      <c r="K19">
        <v>3000</v>
      </c>
    </row>
    <row r="20" spans="1:11">
      <c r="A20" t="s">
        <v>100</v>
      </c>
      <c r="B20" t="s">
        <v>101</v>
      </c>
      <c r="C20" t="s">
        <v>96</v>
      </c>
      <c r="D20">
        <v>428910</v>
      </c>
      <c r="E20">
        <v>30000</v>
      </c>
      <c r="F20">
        <v>0</v>
      </c>
      <c r="G20">
        <v>212000</v>
      </c>
      <c r="H20">
        <v>200000</v>
      </c>
      <c r="I20">
        <v>218000</v>
      </c>
      <c r="J20">
        <v>200000</v>
      </c>
      <c r="K20">
        <v>221000</v>
      </c>
    </row>
    <row r="21" spans="1:11">
      <c r="A21" t="s">
        <v>100</v>
      </c>
      <c r="B21" t="s">
        <v>101</v>
      </c>
      <c r="C21" t="s">
        <v>155</v>
      </c>
      <c r="D21">
        <v>51540</v>
      </c>
      <c r="E21">
        <v>3000</v>
      </c>
      <c r="F21">
        <v>3000</v>
      </c>
      <c r="G21">
        <v>33000</v>
      </c>
      <c r="H21">
        <v>33000</v>
      </c>
      <c r="I21">
        <v>35000</v>
      </c>
      <c r="J21">
        <v>35000</v>
      </c>
      <c r="K21">
        <v>35000</v>
      </c>
    </row>
    <row r="22" spans="1:10">
      <c r="A22" t="s">
        <v>171</v>
      </c>
      <c r="B22" t="s">
        <v>172</v>
      </c>
      <c r="C22" t="s">
        <v>155</v>
      </c>
      <c r="D22">
        <v>25000</v>
      </c>
      <c r="G22">
        <v>50000</v>
      </c>
      <c r="J22">
        <v>50000</v>
      </c>
    </row>
    <row r="23" spans="1:11">
      <c r="A23" t="s">
        <v>173</v>
      </c>
      <c r="B23" t="s">
        <v>174</v>
      </c>
      <c r="C23" t="s">
        <v>155</v>
      </c>
      <c r="D23">
        <v>589500</v>
      </c>
      <c r="E23">
        <v>300000</v>
      </c>
      <c r="F23">
        <v>300000</v>
      </c>
      <c r="G23">
        <v>460000</v>
      </c>
      <c r="H23">
        <v>300000</v>
      </c>
      <c r="I23">
        <v>300000</v>
      </c>
      <c r="J23">
        <v>300000</v>
      </c>
      <c r="K23">
        <v>300000</v>
      </c>
    </row>
    <row r="24" spans="1:11">
      <c r="A24" t="s">
        <v>131</v>
      </c>
      <c r="B24" t="s">
        <v>132</v>
      </c>
      <c r="C24" t="s">
        <v>155</v>
      </c>
      <c r="D24">
        <v>60690</v>
      </c>
      <c r="E24">
        <v>24000</v>
      </c>
      <c r="F24">
        <v>24000</v>
      </c>
      <c r="G24">
        <v>24000</v>
      </c>
      <c r="H24">
        <v>24000</v>
      </c>
      <c r="I24">
        <v>24000</v>
      </c>
      <c r="J24">
        <v>24000</v>
      </c>
      <c r="K24">
        <v>24000</v>
      </c>
    </row>
    <row r="25" spans="1:10">
      <c r="A25" t="s">
        <v>175</v>
      </c>
      <c r="B25" t="s">
        <v>176</v>
      </c>
      <c r="C25" t="s">
        <v>155</v>
      </c>
      <c r="D25">
        <v>315000</v>
      </c>
      <c r="F25">
        <v>500000</v>
      </c>
      <c r="H25">
        <v>500000</v>
      </c>
      <c r="J25">
        <v>500000</v>
      </c>
    </row>
    <row r="26" spans="1:11">
      <c r="A26" t="s">
        <v>175</v>
      </c>
      <c r="B26" t="s">
        <v>177</v>
      </c>
      <c r="C26" t="s">
        <v>155</v>
      </c>
      <c r="D26">
        <v>6247500</v>
      </c>
      <c r="E26">
        <v>3500000</v>
      </c>
      <c r="F26">
        <v>3500000</v>
      </c>
      <c r="G26">
        <v>3500000</v>
      </c>
      <c r="H26">
        <v>3500000</v>
      </c>
      <c r="I26">
        <v>3500000</v>
      </c>
      <c r="J26">
        <v>3500000</v>
      </c>
      <c r="K26">
        <v>3500000</v>
      </c>
    </row>
    <row r="27" spans="1:11">
      <c r="A27" t="s">
        <v>175</v>
      </c>
      <c r="B27" t="s">
        <v>178</v>
      </c>
      <c r="C27" t="s">
        <v>155</v>
      </c>
      <c r="D27">
        <v>1470000</v>
      </c>
      <c r="E27">
        <v>1000000</v>
      </c>
      <c r="F27">
        <v>1000000</v>
      </c>
      <c r="G27">
        <v>1000000</v>
      </c>
      <c r="H27">
        <v>1000000</v>
      </c>
      <c r="I27">
        <v>1000000</v>
      </c>
      <c r="J27">
        <v>1000000</v>
      </c>
      <c r="K27">
        <v>1000000</v>
      </c>
    </row>
    <row r="28" spans="1:11">
      <c r="A28" t="s">
        <v>179</v>
      </c>
      <c r="B28" t="s">
        <v>180</v>
      </c>
      <c r="C28" t="s">
        <v>155</v>
      </c>
      <c r="D28">
        <v>367500</v>
      </c>
      <c r="E28">
        <v>250000</v>
      </c>
      <c r="F28">
        <v>250000</v>
      </c>
      <c r="G28">
        <v>250000</v>
      </c>
      <c r="H28">
        <v>250000</v>
      </c>
      <c r="I28">
        <v>250000</v>
      </c>
      <c r="J28">
        <v>250000</v>
      </c>
      <c r="K28">
        <v>250000</v>
      </c>
    </row>
    <row r="29" spans="1:11">
      <c r="A29" t="s">
        <v>179</v>
      </c>
      <c r="B29" t="s">
        <v>181</v>
      </c>
      <c r="C29" t="s">
        <v>155</v>
      </c>
      <c r="D29">
        <v>5355000</v>
      </c>
      <c r="E29">
        <v>3000000</v>
      </c>
      <c r="F29">
        <v>3000000</v>
      </c>
      <c r="G29">
        <v>3000000</v>
      </c>
      <c r="H29">
        <v>3000000</v>
      </c>
      <c r="I29">
        <v>3000000</v>
      </c>
      <c r="J29">
        <v>3000000</v>
      </c>
      <c r="K29">
        <v>3000000</v>
      </c>
    </row>
    <row r="30" spans="1:4">
      <c r="A30" t="s">
        <v>182</v>
      </c>
      <c r="B30" t="s">
        <v>155</v>
      </c>
      <c r="C30" t="s">
        <v>155</v>
      </c>
      <c r="D30">
        <v>0</v>
      </c>
    </row>
    <row r="31" spans="1:4">
      <c r="A31" t="s">
        <v>183</v>
      </c>
      <c r="B31" t="s">
        <v>155</v>
      </c>
      <c r="C31" t="s">
        <v>155</v>
      </c>
      <c r="D31">
        <v>0</v>
      </c>
    </row>
    <row r="32" spans="1:4">
      <c r="A32" t="s">
        <v>184</v>
      </c>
      <c r="B32" t="s">
        <v>185</v>
      </c>
      <c r="C32" t="s">
        <v>155</v>
      </c>
      <c r="D32">
        <v>0</v>
      </c>
    </row>
    <row r="33" spans="1:4">
      <c r="A33" t="s">
        <v>184</v>
      </c>
      <c r="B33" t="s">
        <v>186</v>
      </c>
      <c r="C33" t="s">
        <v>155</v>
      </c>
      <c r="D33">
        <v>0</v>
      </c>
    </row>
    <row r="34" spans="1:4">
      <c r="A34" t="s">
        <v>187</v>
      </c>
      <c r="B34" t="s">
        <v>188</v>
      </c>
      <c r="C34" t="s">
        <v>155</v>
      </c>
      <c r="D34">
        <v>0</v>
      </c>
    </row>
    <row r="35" spans="1:11">
      <c r="A35" t="s">
        <v>187</v>
      </c>
      <c r="B35" t="s">
        <v>189</v>
      </c>
      <c r="C35" t="s">
        <v>155</v>
      </c>
      <c r="D35">
        <v>4462500</v>
      </c>
      <c r="E35">
        <v>2500000</v>
      </c>
      <c r="F35">
        <v>2500000</v>
      </c>
      <c r="G35">
        <v>2500000</v>
      </c>
      <c r="H35">
        <v>2500000</v>
      </c>
      <c r="I35">
        <v>2500000</v>
      </c>
      <c r="J35">
        <v>2500000</v>
      </c>
      <c r="K35">
        <v>2500000</v>
      </c>
    </row>
    <row r="36" spans="1:11">
      <c r="A36" t="s">
        <v>190</v>
      </c>
      <c r="B36" t="s">
        <v>155</v>
      </c>
      <c r="C36" t="s">
        <v>155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191</v>
      </c>
      <c r="B37" t="s">
        <v>192</v>
      </c>
      <c r="C37" t="s">
        <v>155</v>
      </c>
      <c r="D37">
        <v>367500</v>
      </c>
      <c r="E37">
        <v>250000</v>
      </c>
      <c r="F37">
        <v>250000</v>
      </c>
      <c r="G37">
        <v>250000</v>
      </c>
      <c r="H37">
        <v>250000</v>
      </c>
      <c r="I37">
        <v>250000</v>
      </c>
      <c r="J37">
        <v>250000</v>
      </c>
      <c r="K37">
        <v>250000</v>
      </c>
    </row>
    <row r="38" spans="1:11">
      <c r="A38" t="s">
        <v>193</v>
      </c>
      <c r="B38" t="s">
        <v>194</v>
      </c>
      <c r="C38" t="s">
        <v>155</v>
      </c>
      <c r="D38">
        <v>2677500</v>
      </c>
      <c r="E38">
        <v>1500000</v>
      </c>
      <c r="F38">
        <v>1500000</v>
      </c>
      <c r="G38">
        <v>1500000</v>
      </c>
      <c r="H38">
        <v>1500000</v>
      </c>
      <c r="I38">
        <v>1500000</v>
      </c>
      <c r="J38">
        <v>1500000</v>
      </c>
      <c r="K38">
        <v>1500000</v>
      </c>
    </row>
    <row r="39" spans="1:11">
      <c r="A39" t="s">
        <v>195</v>
      </c>
      <c r="B39" t="s">
        <v>196</v>
      </c>
      <c r="C39" t="s">
        <v>155</v>
      </c>
      <c r="D39">
        <v>371064</v>
      </c>
      <c r="E39">
        <v>200000</v>
      </c>
      <c r="F39">
        <v>239000</v>
      </c>
      <c r="G39">
        <v>289000</v>
      </c>
      <c r="H39">
        <v>1289000</v>
      </c>
      <c r="I39">
        <v>239000</v>
      </c>
      <c r="J39">
        <v>289000</v>
      </c>
      <c r="K39">
        <v>289000</v>
      </c>
    </row>
    <row r="40" spans="1:11">
      <c r="A40" t="s">
        <v>197</v>
      </c>
      <c r="B40" t="s">
        <v>198</v>
      </c>
      <c r="C40" t="s">
        <v>155</v>
      </c>
      <c r="D40">
        <v>15600</v>
      </c>
      <c r="E40">
        <v>0</v>
      </c>
      <c r="F40">
        <v>30000</v>
      </c>
      <c r="G40">
        <v>0</v>
      </c>
      <c r="H40">
        <v>30000</v>
      </c>
      <c r="I40">
        <v>0</v>
      </c>
      <c r="J40">
        <v>30000</v>
      </c>
      <c r="K40">
        <v>30000</v>
      </c>
    </row>
    <row r="41" spans="1:11">
      <c r="A41" t="s">
        <v>199</v>
      </c>
      <c r="B41" t="s">
        <v>200</v>
      </c>
      <c r="C41" t="s">
        <v>155</v>
      </c>
      <c r="D41">
        <v>27336</v>
      </c>
      <c r="E41">
        <v>6000</v>
      </c>
      <c r="F41">
        <v>39000</v>
      </c>
      <c r="G41">
        <v>39000</v>
      </c>
      <c r="H41">
        <v>39000</v>
      </c>
      <c r="I41">
        <v>39000</v>
      </c>
      <c r="J41">
        <v>39000</v>
      </c>
      <c r="K41">
        <v>39000</v>
      </c>
    </row>
    <row r="42" spans="1:11">
      <c r="A42" t="s">
        <v>201</v>
      </c>
      <c r="B42" t="s">
        <v>202</v>
      </c>
      <c r="C42" t="s">
        <v>155</v>
      </c>
      <c r="D42">
        <v>112000</v>
      </c>
      <c r="E42">
        <v>80000</v>
      </c>
      <c r="F42">
        <v>80000</v>
      </c>
      <c r="G42">
        <v>80000</v>
      </c>
      <c r="H42">
        <v>80000</v>
      </c>
      <c r="I42">
        <v>80000</v>
      </c>
      <c r="J42">
        <v>80000</v>
      </c>
      <c r="K42">
        <v>80000</v>
      </c>
    </row>
    <row r="43" spans="1:11">
      <c r="A43" t="s">
        <v>203</v>
      </c>
      <c r="B43" t="s">
        <v>204</v>
      </c>
      <c r="C43" t="s">
        <v>155</v>
      </c>
      <c r="D43">
        <v>1054500</v>
      </c>
      <c r="E43">
        <v>450000</v>
      </c>
      <c r="F43">
        <v>450000</v>
      </c>
      <c r="G43">
        <v>510000</v>
      </c>
      <c r="H43">
        <v>510000</v>
      </c>
      <c r="I43">
        <v>510000</v>
      </c>
      <c r="J43">
        <v>510000</v>
      </c>
      <c r="K43">
        <v>510000</v>
      </c>
    </row>
    <row r="44" spans="1:7">
      <c r="A44" t="s">
        <v>203</v>
      </c>
      <c r="B44" t="s">
        <v>205</v>
      </c>
      <c r="C44" t="s">
        <v>155</v>
      </c>
      <c r="D44">
        <v>121920</v>
      </c>
      <c r="G44">
        <v>381000</v>
      </c>
    </row>
    <row r="45" spans="1:11">
      <c r="A45" t="s">
        <v>206</v>
      </c>
      <c r="B45" t="s">
        <v>207</v>
      </c>
      <c r="C45" t="s">
        <v>155</v>
      </c>
      <c r="D45">
        <v>57000</v>
      </c>
      <c r="G45">
        <v>30000</v>
      </c>
      <c r="J45">
        <v>60000</v>
      </c>
      <c r="K45">
        <v>60000</v>
      </c>
    </row>
    <row r="46" spans="1:11">
      <c r="A46" t="s">
        <v>208</v>
      </c>
      <c r="B46" t="s">
        <v>209</v>
      </c>
      <c r="C46" t="s">
        <v>155</v>
      </c>
      <c r="D46">
        <v>364000</v>
      </c>
      <c r="E46">
        <v>100000</v>
      </c>
      <c r="F46">
        <v>100000</v>
      </c>
      <c r="G46">
        <v>100000</v>
      </c>
      <c r="H46">
        <v>100000</v>
      </c>
      <c r="I46">
        <v>100000</v>
      </c>
      <c r="J46">
        <v>100000</v>
      </c>
      <c r="K46">
        <v>100000</v>
      </c>
    </row>
    <row r="47" spans="1:4">
      <c r="A47" t="s">
        <v>210</v>
      </c>
      <c r="B47" t="s">
        <v>211</v>
      </c>
      <c r="C47" t="s">
        <v>212</v>
      </c>
      <c r="D47">
        <v>0</v>
      </c>
    </row>
    <row r="48" spans="1:11">
      <c r="A48" t="s">
        <v>210</v>
      </c>
      <c r="B48" t="s">
        <v>211</v>
      </c>
      <c r="C48" t="s">
        <v>155</v>
      </c>
      <c r="D48">
        <v>4003830</v>
      </c>
      <c r="E48">
        <v>3680000</v>
      </c>
      <c r="F48">
        <v>3855000</v>
      </c>
      <c r="G48">
        <v>4010000</v>
      </c>
      <c r="H48">
        <v>4335000</v>
      </c>
      <c r="I48">
        <v>3615000</v>
      </c>
      <c r="J48">
        <v>4095000</v>
      </c>
      <c r="K48">
        <v>4335000</v>
      </c>
    </row>
    <row r="49" spans="1:4">
      <c r="A49" t="s">
        <v>210</v>
      </c>
      <c r="B49" t="s">
        <v>213</v>
      </c>
      <c r="C49" t="s">
        <v>214</v>
      </c>
      <c r="D49">
        <v>0</v>
      </c>
    </row>
    <row r="50" spans="1:4">
      <c r="A50" t="s">
        <v>210</v>
      </c>
      <c r="B50" t="s">
        <v>215</v>
      </c>
      <c r="C50" t="s">
        <v>216</v>
      </c>
      <c r="D50">
        <v>0</v>
      </c>
    </row>
    <row r="51" spans="1:11">
      <c r="A51" t="s">
        <v>210</v>
      </c>
      <c r="B51" t="s">
        <v>215</v>
      </c>
      <c r="C51" t="s">
        <v>155</v>
      </c>
      <c r="D51">
        <v>1997600</v>
      </c>
      <c r="E51">
        <v>2284000</v>
      </c>
      <c r="F51">
        <v>2167000</v>
      </c>
      <c r="G51">
        <v>2167000</v>
      </c>
      <c r="H51">
        <v>2167000</v>
      </c>
      <c r="I51">
        <v>2172000</v>
      </c>
      <c r="J51">
        <v>2172000</v>
      </c>
      <c r="K51">
        <v>2172000</v>
      </c>
    </row>
    <row r="52" spans="1:4">
      <c r="A52" t="s">
        <v>210</v>
      </c>
      <c r="B52" t="s">
        <v>155</v>
      </c>
      <c r="C52" t="s">
        <v>217</v>
      </c>
      <c r="D52">
        <v>0</v>
      </c>
    </row>
    <row r="53" spans="1:11">
      <c r="A53" t="s">
        <v>218</v>
      </c>
      <c r="B53" t="s">
        <v>219</v>
      </c>
      <c r="C53" t="s">
        <v>155</v>
      </c>
      <c r="D53">
        <v>672000</v>
      </c>
      <c r="E53">
        <v>600000</v>
      </c>
      <c r="F53">
        <v>600000</v>
      </c>
      <c r="G53">
        <v>600000</v>
      </c>
      <c r="H53">
        <v>600000</v>
      </c>
      <c r="I53">
        <v>600000</v>
      </c>
      <c r="J53">
        <v>600000</v>
      </c>
      <c r="K53">
        <v>600000</v>
      </c>
    </row>
    <row r="54" spans="1:11">
      <c r="A54" t="s">
        <v>218</v>
      </c>
      <c r="B54" t="s">
        <v>220</v>
      </c>
      <c r="C54" t="s">
        <v>155</v>
      </c>
      <c r="D54">
        <v>234000</v>
      </c>
      <c r="E54">
        <v>400000</v>
      </c>
      <c r="F54">
        <v>0</v>
      </c>
      <c r="G54">
        <v>400000</v>
      </c>
      <c r="H54">
        <v>0</v>
      </c>
      <c r="I54">
        <v>600000</v>
      </c>
      <c r="J54">
        <v>0</v>
      </c>
      <c r="K54">
        <v>400000</v>
      </c>
    </row>
    <row r="55" spans="1:11">
      <c r="A55" t="s">
        <v>218</v>
      </c>
      <c r="B55" t="s">
        <v>221</v>
      </c>
      <c r="C55" t="s">
        <v>155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6">
      <c r="A56" t="s">
        <v>218</v>
      </c>
      <c r="B56" t="s">
        <v>222</v>
      </c>
      <c r="C56" t="s">
        <v>217</v>
      </c>
      <c r="D56">
        <v>155000</v>
      </c>
      <c r="F56">
        <v>1000000</v>
      </c>
    </row>
    <row r="57" spans="1:10">
      <c r="A57" t="s">
        <v>218</v>
      </c>
      <c r="B57" t="s">
        <v>222</v>
      </c>
      <c r="C57" t="s">
        <v>155</v>
      </c>
      <c r="D57">
        <v>260000</v>
      </c>
      <c r="G57">
        <v>1000000</v>
      </c>
      <c r="J57">
        <v>1000000</v>
      </c>
    </row>
    <row r="58" spans="1:4">
      <c r="A58" t="s">
        <v>218</v>
      </c>
      <c r="B58" t="s">
        <v>155</v>
      </c>
      <c r="C58" t="s">
        <v>217</v>
      </c>
      <c r="D58">
        <v>0</v>
      </c>
    </row>
    <row r="59" spans="1:11">
      <c r="A59" t="s">
        <v>223</v>
      </c>
      <c r="B59" t="s">
        <v>224</v>
      </c>
      <c r="C59" t="s">
        <v>155</v>
      </c>
      <c r="D59">
        <v>252000</v>
      </c>
      <c r="E59">
        <v>0</v>
      </c>
      <c r="F59">
        <v>600000</v>
      </c>
      <c r="G59">
        <v>0</v>
      </c>
      <c r="H59">
        <v>600000</v>
      </c>
      <c r="I59">
        <v>0</v>
      </c>
      <c r="J59">
        <v>0</v>
      </c>
      <c r="K59">
        <v>600000</v>
      </c>
    </row>
    <row r="60" spans="1:11">
      <c r="A60" t="s">
        <v>225</v>
      </c>
      <c r="B60" t="s">
        <v>226</v>
      </c>
      <c r="C60" t="s">
        <v>155</v>
      </c>
      <c r="D60">
        <v>251400</v>
      </c>
      <c r="E60">
        <v>20000</v>
      </c>
      <c r="F60">
        <v>20000</v>
      </c>
      <c r="G60">
        <v>140000</v>
      </c>
      <c r="H60">
        <v>140000</v>
      </c>
      <c r="I60">
        <v>140000</v>
      </c>
      <c r="J60">
        <v>140000</v>
      </c>
      <c r="K60">
        <v>140000</v>
      </c>
    </row>
    <row r="61" spans="1:11">
      <c r="A61" t="s">
        <v>227</v>
      </c>
      <c r="B61" t="s">
        <v>228</v>
      </c>
      <c r="C61" t="s">
        <v>155</v>
      </c>
      <c r="D61">
        <v>96197</v>
      </c>
      <c r="E61">
        <v>20000</v>
      </c>
      <c r="F61">
        <v>20000</v>
      </c>
      <c r="G61">
        <v>20000</v>
      </c>
      <c r="H61">
        <v>20000</v>
      </c>
      <c r="I61">
        <v>35000</v>
      </c>
      <c r="J61">
        <v>35000</v>
      </c>
      <c r="K61">
        <v>35000</v>
      </c>
    </row>
    <row r="62" spans="1:11">
      <c r="A62" t="s">
        <v>229</v>
      </c>
      <c r="B62" t="s">
        <v>230</v>
      </c>
      <c r="C62" t="s">
        <v>155</v>
      </c>
      <c r="D62">
        <v>89340</v>
      </c>
      <c r="E62">
        <v>40000</v>
      </c>
      <c r="F62">
        <v>22000</v>
      </c>
      <c r="G62">
        <v>10000</v>
      </c>
      <c r="H62">
        <v>20000</v>
      </c>
      <c r="I62">
        <v>20000</v>
      </c>
      <c r="J62">
        <v>40000</v>
      </c>
      <c r="K62">
        <v>40000</v>
      </c>
    </row>
    <row r="63" spans="1:11">
      <c r="A63" t="s">
        <v>231</v>
      </c>
      <c r="B63" t="s">
        <v>232</v>
      </c>
      <c r="C63" t="s">
        <v>155</v>
      </c>
      <c r="D63">
        <v>1047760</v>
      </c>
      <c r="E63">
        <v>28000</v>
      </c>
      <c r="F63">
        <v>338000</v>
      </c>
      <c r="G63">
        <v>329000</v>
      </c>
      <c r="H63">
        <v>329000</v>
      </c>
      <c r="I63">
        <v>341000</v>
      </c>
      <c r="J63">
        <v>341000</v>
      </c>
      <c r="K63">
        <v>363000</v>
      </c>
    </row>
    <row r="64" spans="1:4">
      <c r="A64" t="s">
        <v>233</v>
      </c>
      <c r="B64" t="s">
        <v>234</v>
      </c>
      <c r="C64" t="s">
        <v>155</v>
      </c>
      <c r="D64">
        <v>0</v>
      </c>
    </row>
    <row r="65" spans="1:11">
      <c r="A65" t="s">
        <v>235</v>
      </c>
      <c r="B65" t="s">
        <v>155</v>
      </c>
      <c r="C65" t="s">
        <v>155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</row>
    <row r="66" spans="1:11">
      <c r="A66" t="s">
        <v>236</v>
      </c>
      <c r="B66" t="s">
        <v>237</v>
      </c>
      <c r="C66" t="s">
        <v>155</v>
      </c>
      <c r="D66">
        <v>713020</v>
      </c>
      <c r="E66">
        <v>310000</v>
      </c>
      <c r="F66">
        <v>316000</v>
      </c>
      <c r="G66">
        <v>430000</v>
      </c>
      <c r="H66">
        <v>430000</v>
      </c>
      <c r="I66">
        <v>430000</v>
      </c>
      <c r="J66">
        <v>430000</v>
      </c>
      <c r="K66">
        <v>430000</v>
      </c>
    </row>
    <row r="67" spans="1:11">
      <c r="A67" t="s">
        <v>238</v>
      </c>
      <c r="B67" t="s">
        <v>239</v>
      </c>
      <c r="C67" t="s">
        <v>155</v>
      </c>
      <c r="D67">
        <v>135000</v>
      </c>
      <c r="E67">
        <v>10000</v>
      </c>
      <c r="F67">
        <v>10000</v>
      </c>
      <c r="G67">
        <v>10000</v>
      </c>
      <c r="H67">
        <v>20000</v>
      </c>
      <c r="I67">
        <v>25000</v>
      </c>
      <c r="J67">
        <v>45000</v>
      </c>
      <c r="K67">
        <v>45000</v>
      </c>
    </row>
    <row r="68" spans="1:11">
      <c r="A68" t="s">
        <v>240</v>
      </c>
      <c r="B68" t="s">
        <v>241</v>
      </c>
      <c r="C68" t="s">
        <v>155</v>
      </c>
      <c r="D68">
        <v>115500</v>
      </c>
      <c r="E68">
        <v>30000</v>
      </c>
      <c r="F68">
        <v>30000</v>
      </c>
      <c r="G68">
        <v>30000</v>
      </c>
      <c r="H68">
        <v>30000</v>
      </c>
      <c r="I68">
        <v>30000</v>
      </c>
      <c r="J68">
        <v>30000</v>
      </c>
      <c r="K68">
        <v>30000</v>
      </c>
    </row>
    <row r="69" spans="1:10">
      <c r="A69" t="s">
        <v>242</v>
      </c>
      <c r="B69" t="s">
        <v>241</v>
      </c>
      <c r="C69" t="s">
        <v>155</v>
      </c>
      <c r="D69">
        <v>18000</v>
      </c>
      <c r="F69">
        <v>12000</v>
      </c>
      <c r="H69">
        <v>12000</v>
      </c>
      <c r="I69">
        <v>6000</v>
      </c>
      <c r="J69">
        <v>15000</v>
      </c>
    </row>
    <row r="70" spans="1:8">
      <c r="A70" t="s">
        <v>243</v>
      </c>
      <c r="B70" t="s">
        <v>244</v>
      </c>
      <c r="C70" t="s">
        <v>155</v>
      </c>
      <c r="D70">
        <v>248000</v>
      </c>
      <c r="F70">
        <v>400000</v>
      </c>
      <c r="H70">
        <v>400000</v>
      </c>
    </row>
    <row r="71" spans="1:11">
      <c r="A71" t="s">
        <v>245</v>
      </c>
      <c r="B71" t="s">
        <v>246</v>
      </c>
      <c r="C71" t="s">
        <v>155</v>
      </c>
      <c r="D71">
        <v>41700</v>
      </c>
      <c r="E71">
        <v>18000</v>
      </c>
      <c r="F71">
        <v>18000</v>
      </c>
      <c r="G71">
        <v>3000</v>
      </c>
      <c r="H71">
        <v>18000</v>
      </c>
      <c r="I71">
        <v>3000</v>
      </c>
      <c r="J71">
        <v>3000</v>
      </c>
      <c r="K71">
        <v>18000</v>
      </c>
    </row>
    <row r="72" spans="1:11">
      <c r="A72" t="s">
        <v>247</v>
      </c>
      <c r="B72" t="s">
        <v>248</v>
      </c>
      <c r="C72" t="s">
        <v>155</v>
      </c>
      <c r="D72">
        <v>79200</v>
      </c>
      <c r="E72">
        <v>5000</v>
      </c>
      <c r="F72">
        <v>5000</v>
      </c>
      <c r="G72">
        <v>19000</v>
      </c>
      <c r="H72">
        <v>20000</v>
      </c>
      <c r="I72">
        <v>29000</v>
      </c>
      <c r="J72">
        <v>45000</v>
      </c>
      <c r="K72">
        <v>39000</v>
      </c>
    </row>
    <row r="73" spans="1:11">
      <c r="A73" t="s">
        <v>249</v>
      </c>
      <c r="B73" t="s">
        <v>250</v>
      </c>
      <c r="C73" t="s">
        <v>155</v>
      </c>
      <c r="D73">
        <v>20160</v>
      </c>
      <c r="E73">
        <v>9000</v>
      </c>
      <c r="F73">
        <v>9000</v>
      </c>
      <c r="G73">
        <v>9000</v>
      </c>
      <c r="H73">
        <v>9000</v>
      </c>
      <c r="I73">
        <v>9000</v>
      </c>
      <c r="J73">
        <v>9000</v>
      </c>
      <c r="K73">
        <v>9000</v>
      </c>
    </row>
    <row r="74" spans="1:11">
      <c r="A74" t="s">
        <v>251</v>
      </c>
      <c r="B74" t="s">
        <v>252</v>
      </c>
      <c r="C74" t="s">
        <v>155</v>
      </c>
      <c r="D74">
        <v>88000</v>
      </c>
      <c r="E74">
        <v>20000</v>
      </c>
      <c r="F74">
        <v>20000</v>
      </c>
      <c r="G74">
        <v>20000</v>
      </c>
      <c r="H74">
        <v>40000</v>
      </c>
      <c r="I74">
        <v>40000</v>
      </c>
      <c r="J74">
        <v>40000</v>
      </c>
      <c r="K74">
        <v>40000</v>
      </c>
    </row>
    <row r="75" spans="1:4">
      <c r="A75" t="s">
        <v>253</v>
      </c>
      <c r="B75" t="s">
        <v>155</v>
      </c>
      <c r="C75" t="s">
        <v>155</v>
      </c>
      <c r="D75">
        <v>0</v>
      </c>
    </row>
    <row r="76" spans="1:11">
      <c r="A76" t="s">
        <v>254</v>
      </c>
      <c r="B76" t="s">
        <v>255</v>
      </c>
      <c r="C76" t="s">
        <v>155</v>
      </c>
      <c r="D76">
        <v>306800</v>
      </c>
      <c r="E76">
        <v>112000</v>
      </c>
      <c r="F76">
        <v>112000</v>
      </c>
      <c r="G76">
        <v>112000</v>
      </c>
      <c r="H76">
        <v>112000</v>
      </c>
      <c r="I76">
        <v>142000</v>
      </c>
      <c r="J76">
        <v>112000</v>
      </c>
      <c r="K76">
        <v>142000</v>
      </c>
    </row>
    <row r="77" spans="1:11">
      <c r="A77" t="s">
        <v>256</v>
      </c>
      <c r="B77" t="s">
        <v>257</v>
      </c>
      <c r="C77" t="s">
        <v>155</v>
      </c>
      <c r="D77">
        <v>393500</v>
      </c>
      <c r="E77">
        <v>212000</v>
      </c>
      <c r="F77">
        <v>242000</v>
      </c>
      <c r="G77">
        <v>212000</v>
      </c>
      <c r="H77">
        <v>212000</v>
      </c>
      <c r="I77">
        <v>242000</v>
      </c>
      <c r="J77">
        <v>212000</v>
      </c>
      <c r="K77">
        <v>242000</v>
      </c>
    </row>
    <row r="78" spans="1:11">
      <c r="A78" t="s">
        <v>256</v>
      </c>
      <c r="B78" t="s">
        <v>258</v>
      </c>
      <c r="C78" t="s">
        <v>155</v>
      </c>
      <c r="D78">
        <v>3029430</v>
      </c>
      <c r="E78">
        <v>1358000</v>
      </c>
      <c r="F78">
        <v>1081000</v>
      </c>
      <c r="G78">
        <v>1150000</v>
      </c>
      <c r="H78">
        <v>1150000</v>
      </c>
      <c r="I78">
        <v>1312000</v>
      </c>
      <c r="J78">
        <v>1732000</v>
      </c>
      <c r="K78">
        <v>1812000</v>
      </c>
    </row>
    <row r="79" spans="1:11">
      <c r="A79" t="s">
        <v>259</v>
      </c>
      <c r="B79" t="s">
        <v>260</v>
      </c>
      <c r="C79" t="s">
        <v>155</v>
      </c>
      <c r="D79">
        <v>1089640</v>
      </c>
      <c r="E79">
        <v>467000</v>
      </c>
      <c r="F79">
        <v>272000</v>
      </c>
      <c r="G79">
        <v>272000</v>
      </c>
      <c r="H79">
        <v>472000</v>
      </c>
      <c r="I79">
        <v>402000</v>
      </c>
      <c r="J79">
        <v>382000</v>
      </c>
      <c r="K79">
        <v>582000</v>
      </c>
    </row>
    <row r="80" spans="1:11">
      <c r="A80" t="s">
        <v>261</v>
      </c>
      <c r="B80" t="s">
        <v>262</v>
      </c>
      <c r="C80" t="s">
        <v>155</v>
      </c>
      <c r="D80">
        <v>2896908</v>
      </c>
      <c r="E80">
        <v>989000</v>
      </c>
      <c r="F80">
        <v>771400</v>
      </c>
      <c r="G80">
        <v>1003000</v>
      </c>
      <c r="H80">
        <v>1281500</v>
      </c>
      <c r="I80">
        <v>1321000</v>
      </c>
      <c r="J80">
        <v>1426000</v>
      </c>
      <c r="K80">
        <v>1426000</v>
      </c>
    </row>
    <row r="81" spans="1:11">
      <c r="A81" t="s">
        <v>263</v>
      </c>
      <c r="B81" t="s">
        <v>264</v>
      </c>
      <c r="C81" t="s">
        <v>155</v>
      </c>
      <c r="D81">
        <v>634280</v>
      </c>
      <c r="E81">
        <v>272000</v>
      </c>
      <c r="F81">
        <v>282000</v>
      </c>
      <c r="G81">
        <v>342000</v>
      </c>
      <c r="H81">
        <v>292000</v>
      </c>
      <c r="I81">
        <v>302000</v>
      </c>
      <c r="J81">
        <v>302000</v>
      </c>
      <c r="K81">
        <v>302000</v>
      </c>
    </row>
    <row r="82" spans="1:4">
      <c r="A82" t="s">
        <v>263</v>
      </c>
      <c r="B82" t="s">
        <v>265</v>
      </c>
      <c r="C82" t="s">
        <v>155</v>
      </c>
      <c r="D82">
        <v>0</v>
      </c>
    </row>
    <row r="83" spans="1:11">
      <c r="A83" t="s">
        <v>266</v>
      </c>
      <c r="B83" t="s">
        <v>267</v>
      </c>
      <c r="C83" t="s">
        <v>155</v>
      </c>
      <c r="D83">
        <v>1001250</v>
      </c>
      <c r="E83">
        <v>365000</v>
      </c>
      <c r="F83">
        <v>365000</v>
      </c>
      <c r="G83">
        <v>365000</v>
      </c>
      <c r="H83">
        <v>505000</v>
      </c>
      <c r="I83">
        <v>505000</v>
      </c>
      <c r="J83">
        <v>505000</v>
      </c>
      <c r="K83">
        <v>505000</v>
      </c>
    </row>
    <row r="84" spans="1:11">
      <c r="A84" t="s">
        <v>268</v>
      </c>
      <c r="B84" t="s">
        <v>269</v>
      </c>
      <c r="C84" t="s">
        <v>155</v>
      </c>
      <c r="D84">
        <v>7500</v>
      </c>
      <c r="I84">
        <v>5000</v>
      </c>
      <c r="J84">
        <v>5000</v>
      </c>
      <c r="K84">
        <v>5000</v>
      </c>
    </row>
    <row r="85" spans="1:11">
      <c r="A85" t="s">
        <v>270</v>
      </c>
      <c r="B85" t="s">
        <v>271</v>
      </c>
      <c r="C85" t="s">
        <v>155</v>
      </c>
      <c r="D85">
        <v>1125260</v>
      </c>
      <c r="E85">
        <v>249000</v>
      </c>
      <c r="F85">
        <v>259000</v>
      </c>
      <c r="G85">
        <v>262000</v>
      </c>
      <c r="H85">
        <v>326000</v>
      </c>
      <c r="I85">
        <v>371000</v>
      </c>
      <c r="J85">
        <v>428000</v>
      </c>
      <c r="K85">
        <v>448000</v>
      </c>
    </row>
    <row r="86" spans="1:11">
      <c r="A86" t="s">
        <v>272</v>
      </c>
      <c r="B86" t="s">
        <v>273</v>
      </c>
      <c r="C86" t="s">
        <v>155</v>
      </c>
      <c r="D86">
        <v>3736320</v>
      </c>
      <c r="E86">
        <v>835000</v>
      </c>
      <c r="F86">
        <v>835000</v>
      </c>
      <c r="G86">
        <v>838000</v>
      </c>
      <c r="H86">
        <v>838000</v>
      </c>
      <c r="I86">
        <v>840000</v>
      </c>
      <c r="J86">
        <v>840000</v>
      </c>
      <c r="K86">
        <v>840000</v>
      </c>
    </row>
    <row r="87" spans="1:11">
      <c r="A87" t="s">
        <v>274</v>
      </c>
      <c r="B87" t="s">
        <v>275</v>
      </c>
      <c r="C87" t="s">
        <v>155</v>
      </c>
      <c r="D87">
        <v>467820</v>
      </c>
      <c r="F87">
        <v>150000</v>
      </c>
      <c r="G87">
        <v>150000</v>
      </c>
      <c r="H87">
        <v>150000</v>
      </c>
      <c r="I87">
        <v>150000</v>
      </c>
      <c r="J87">
        <v>150000</v>
      </c>
      <c r="K87">
        <v>150000</v>
      </c>
    </row>
    <row r="88" spans="1:11">
      <c r="A88" t="s">
        <v>276</v>
      </c>
      <c r="B88" t="s">
        <v>277</v>
      </c>
      <c r="C88" t="s">
        <v>155</v>
      </c>
      <c r="D88">
        <v>3262375.3</v>
      </c>
      <c r="E88">
        <v>944384</v>
      </c>
      <c r="F88">
        <v>991156</v>
      </c>
      <c r="G88">
        <v>976336</v>
      </c>
      <c r="H88">
        <v>1037872</v>
      </c>
      <c r="I88">
        <v>1197200</v>
      </c>
      <c r="J88">
        <v>1447000</v>
      </c>
      <c r="K88">
        <v>1462000</v>
      </c>
    </row>
    <row r="89" spans="1:11">
      <c r="A89" t="s">
        <v>278</v>
      </c>
      <c r="B89" t="s">
        <v>279</v>
      </c>
      <c r="C89" t="s">
        <v>155</v>
      </c>
      <c r="D89">
        <v>110000</v>
      </c>
      <c r="K89">
        <v>200000</v>
      </c>
    </row>
    <row r="90" spans="1:11">
      <c r="A90" t="s">
        <v>280</v>
      </c>
      <c r="B90" t="s">
        <v>155</v>
      </c>
      <c r="C90" t="s">
        <v>155</v>
      </c>
      <c r="D90">
        <v>5200</v>
      </c>
      <c r="J90">
        <v>5000</v>
      </c>
      <c r="K90">
        <v>5000</v>
      </c>
    </row>
    <row r="91" spans="1:11">
      <c r="A91" t="s">
        <v>281</v>
      </c>
      <c r="B91" t="s">
        <v>282</v>
      </c>
      <c r="C91" t="s">
        <v>155</v>
      </c>
      <c r="D91">
        <v>19800</v>
      </c>
      <c r="E91">
        <v>5000</v>
      </c>
      <c r="F91">
        <v>6000</v>
      </c>
      <c r="G91">
        <v>5000</v>
      </c>
      <c r="H91">
        <v>5000</v>
      </c>
      <c r="I91">
        <v>5000</v>
      </c>
      <c r="J91">
        <v>5000</v>
      </c>
      <c r="K91">
        <v>5000</v>
      </c>
    </row>
    <row r="92" spans="1:11">
      <c r="A92" t="s">
        <v>283</v>
      </c>
      <c r="B92" t="s">
        <v>284</v>
      </c>
      <c r="C92" t="s">
        <v>155</v>
      </c>
      <c r="D92">
        <v>294000</v>
      </c>
      <c r="E92">
        <v>150000</v>
      </c>
      <c r="F92">
        <v>150000</v>
      </c>
      <c r="G92">
        <v>150000</v>
      </c>
      <c r="H92">
        <v>150000</v>
      </c>
      <c r="I92">
        <v>150000</v>
      </c>
      <c r="J92">
        <v>150000</v>
      </c>
      <c r="K92">
        <v>150000</v>
      </c>
    </row>
    <row r="93" spans="1:11">
      <c r="A93" t="s">
        <v>285</v>
      </c>
      <c r="B93" t="s">
        <v>286</v>
      </c>
      <c r="C93" t="s">
        <v>155</v>
      </c>
      <c r="D93">
        <v>369500</v>
      </c>
      <c r="E93">
        <v>125000</v>
      </c>
      <c r="F93">
        <v>128000</v>
      </c>
      <c r="G93">
        <v>128000</v>
      </c>
      <c r="H93">
        <v>130000</v>
      </c>
      <c r="I93">
        <v>133000</v>
      </c>
      <c r="J93">
        <v>145000</v>
      </c>
      <c r="K93">
        <v>150000</v>
      </c>
    </row>
    <row r="94" spans="1:11">
      <c r="A94" t="s">
        <v>287</v>
      </c>
      <c r="B94" t="s">
        <v>288</v>
      </c>
      <c r="C94" t="s">
        <v>155</v>
      </c>
      <c r="D94">
        <v>462500</v>
      </c>
      <c r="E94">
        <v>50000</v>
      </c>
      <c r="F94">
        <v>300000</v>
      </c>
      <c r="G94">
        <v>300000</v>
      </c>
      <c r="H94">
        <v>300000</v>
      </c>
      <c r="I94">
        <v>300000</v>
      </c>
      <c r="J94">
        <v>300000</v>
      </c>
      <c r="K94">
        <v>300000</v>
      </c>
    </row>
    <row r="95" spans="1:7">
      <c r="A95" t="s">
        <v>287</v>
      </c>
      <c r="B95" t="s">
        <v>289</v>
      </c>
      <c r="C95" t="s">
        <v>155</v>
      </c>
      <c r="D95">
        <v>312000</v>
      </c>
      <c r="E95">
        <v>400000</v>
      </c>
      <c r="F95">
        <v>400000</v>
      </c>
      <c r="G95">
        <v>400000</v>
      </c>
    </row>
    <row r="96" spans="1:11">
      <c r="A96" t="s">
        <v>290</v>
      </c>
      <c r="B96" t="s">
        <v>291</v>
      </c>
      <c r="C96" t="s">
        <v>155</v>
      </c>
      <c r="D96">
        <v>502740</v>
      </c>
      <c r="E96">
        <v>693000</v>
      </c>
      <c r="F96">
        <v>3000</v>
      </c>
      <c r="G96">
        <v>303000</v>
      </c>
      <c r="H96">
        <v>3000</v>
      </c>
      <c r="I96">
        <v>303000</v>
      </c>
      <c r="J96">
        <v>303000</v>
      </c>
      <c r="K96">
        <v>303000</v>
      </c>
    </row>
    <row r="97" spans="1:11">
      <c r="A97" t="s">
        <v>292</v>
      </c>
      <c r="B97" t="s">
        <v>293</v>
      </c>
      <c r="C97" t="s">
        <v>155</v>
      </c>
      <c r="D97">
        <v>200000</v>
      </c>
      <c r="E97">
        <v>100000</v>
      </c>
      <c r="F97">
        <v>65000</v>
      </c>
      <c r="H97">
        <v>150000</v>
      </c>
      <c r="I97">
        <v>115000</v>
      </c>
      <c r="J97">
        <v>100000</v>
      </c>
      <c r="K97">
        <v>165000</v>
      </c>
    </row>
    <row r="98" spans="1:4">
      <c r="A98" t="s">
        <v>292</v>
      </c>
      <c r="B98" t="s">
        <v>155</v>
      </c>
      <c r="C98" t="s">
        <v>155</v>
      </c>
      <c r="D98">
        <v>0</v>
      </c>
    </row>
    <row r="99" spans="1:11">
      <c r="A99" t="s">
        <v>294</v>
      </c>
      <c r="B99" t="s">
        <v>155</v>
      </c>
      <c r="C99" t="s">
        <v>155</v>
      </c>
      <c r="D99">
        <v>10200</v>
      </c>
      <c r="I99">
        <v>5000</v>
      </c>
      <c r="J99">
        <v>5000</v>
      </c>
      <c r="K99">
        <v>5000</v>
      </c>
    </row>
    <row r="100" spans="1:11">
      <c r="A100" t="s">
        <v>295</v>
      </c>
      <c r="B100" t="s">
        <v>296</v>
      </c>
      <c r="C100" t="s">
        <v>155</v>
      </c>
      <c r="D100">
        <v>3468000</v>
      </c>
      <c r="E100">
        <v>800000</v>
      </c>
      <c r="F100">
        <v>1000000</v>
      </c>
      <c r="G100">
        <v>1000000</v>
      </c>
      <c r="H100">
        <v>1000000</v>
      </c>
      <c r="I100">
        <v>1000000</v>
      </c>
      <c r="J100">
        <v>1000000</v>
      </c>
      <c r="K100">
        <v>1000000</v>
      </c>
    </row>
    <row r="101" spans="1:11">
      <c r="A101" t="s">
        <v>297</v>
      </c>
      <c r="B101" t="s">
        <v>298</v>
      </c>
      <c r="C101" t="s">
        <v>155</v>
      </c>
      <c r="D101">
        <v>4410100</v>
      </c>
      <c r="E101">
        <v>680000</v>
      </c>
      <c r="F101">
        <v>1010000</v>
      </c>
      <c r="G101">
        <v>1010000</v>
      </c>
      <c r="H101">
        <v>1160000</v>
      </c>
      <c r="I101">
        <v>1110000</v>
      </c>
      <c r="J101">
        <v>1170000</v>
      </c>
      <c r="K101">
        <v>1530000</v>
      </c>
    </row>
    <row r="102" spans="1:11">
      <c r="A102" t="s">
        <v>299</v>
      </c>
      <c r="B102" t="s">
        <v>300</v>
      </c>
      <c r="C102" t="s">
        <v>155</v>
      </c>
      <c r="D102">
        <v>371360</v>
      </c>
      <c r="E102">
        <v>40000</v>
      </c>
      <c r="F102">
        <v>60000</v>
      </c>
      <c r="G102">
        <v>80000</v>
      </c>
      <c r="H102">
        <v>70000</v>
      </c>
      <c r="I102">
        <v>70000</v>
      </c>
      <c r="J102">
        <v>70000</v>
      </c>
      <c r="K102">
        <v>90000</v>
      </c>
    </row>
    <row r="103" spans="1:11">
      <c r="A103" t="s">
        <v>301</v>
      </c>
      <c r="B103" t="s">
        <v>302</v>
      </c>
      <c r="C103" t="s">
        <v>155</v>
      </c>
      <c r="D103">
        <v>398300</v>
      </c>
      <c r="E103">
        <v>95000</v>
      </c>
      <c r="F103">
        <v>95000</v>
      </c>
      <c r="G103">
        <v>95000</v>
      </c>
      <c r="H103">
        <v>95000</v>
      </c>
      <c r="I103">
        <v>95000</v>
      </c>
      <c r="J103">
        <v>95000</v>
      </c>
      <c r="K103">
        <v>95000</v>
      </c>
    </row>
    <row r="104" spans="1:11">
      <c r="A104" t="s">
        <v>303</v>
      </c>
      <c r="B104" t="s">
        <v>155</v>
      </c>
      <c r="C104" t="s">
        <v>155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>
      <c r="A105" t="s">
        <v>304</v>
      </c>
      <c r="B105" t="s">
        <v>305</v>
      </c>
      <c r="C105" t="s">
        <v>155</v>
      </c>
      <c r="D105">
        <v>7200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10000</v>
      </c>
    </row>
    <row r="106" spans="1:11">
      <c r="A106" t="s">
        <v>306</v>
      </c>
      <c r="B106" t="s">
        <v>307</v>
      </c>
      <c r="C106" t="s">
        <v>155</v>
      </c>
      <c r="D106">
        <v>502260</v>
      </c>
      <c r="E106">
        <v>3000</v>
      </c>
      <c r="F106">
        <v>83000</v>
      </c>
      <c r="G106">
        <v>35000</v>
      </c>
      <c r="H106">
        <v>85000</v>
      </c>
      <c r="I106">
        <v>140000</v>
      </c>
      <c r="J106">
        <v>150000</v>
      </c>
      <c r="K106">
        <v>250000</v>
      </c>
    </row>
    <row r="107" spans="1:4">
      <c r="A107" t="s">
        <v>308</v>
      </c>
      <c r="B107" t="s">
        <v>309</v>
      </c>
      <c r="C107" t="s">
        <v>155</v>
      </c>
      <c r="D107">
        <v>0</v>
      </c>
    </row>
    <row r="108" spans="1:4">
      <c r="A108" t="s">
        <v>310</v>
      </c>
      <c r="B108" t="s">
        <v>155</v>
      </c>
      <c r="C108" t="s">
        <v>155</v>
      </c>
      <c r="D108">
        <v>0</v>
      </c>
    </row>
    <row r="109" spans="1:11">
      <c r="A109" t="s">
        <v>311</v>
      </c>
      <c r="B109" t="s">
        <v>312</v>
      </c>
      <c r="C109" t="s">
        <v>155</v>
      </c>
      <c r="D109">
        <v>3750</v>
      </c>
      <c r="K109">
        <v>5000</v>
      </c>
    </row>
    <row r="110" spans="1:11">
      <c r="A110" t="s">
        <v>313</v>
      </c>
      <c r="B110" t="s">
        <v>314</v>
      </c>
      <c r="C110" t="s">
        <v>155</v>
      </c>
      <c r="D110">
        <v>88000</v>
      </c>
      <c r="E110">
        <v>10000</v>
      </c>
      <c r="F110">
        <v>20000</v>
      </c>
      <c r="G110">
        <v>20000</v>
      </c>
      <c r="H110">
        <v>30000</v>
      </c>
      <c r="I110">
        <v>30000</v>
      </c>
      <c r="J110">
        <v>30000</v>
      </c>
      <c r="K110">
        <v>20000</v>
      </c>
    </row>
    <row r="111" spans="1:11">
      <c r="A111" t="s">
        <v>315</v>
      </c>
      <c r="B111" t="s">
        <v>316</v>
      </c>
      <c r="C111" t="s">
        <v>155</v>
      </c>
      <c r="D111">
        <v>810</v>
      </c>
      <c r="K111">
        <v>1000</v>
      </c>
    </row>
    <row r="112" spans="1:11">
      <c r="A112" t="s">
        <v>317</v>
      </c>
      <c r="B112" t="s">
        <v>155</v>
      </c>
      <c r="C112" t="s">
        <v>155</v>
      </c>
      <c r="D112">
        <v>201600</v>
      </c>
      <c r="E112">
        <v>30000</v>
      </c>
      <c r="F112">
        <v>30000</v>
      </c>
      <c r="G112">
        <v>60000</v>
      </c>
      <c r="H112">
        <v>60000</v>
      </c>
      <c r="I112">
        <v>60000</v>
      </c>
      <c r="J112">
        <v>120000</v>
      </c>
      <c r="K112">
        <v>120000</v>
      </c>
    </row>
    <row r="113" spans="1:11">
      <c r="A113" t="s">
        <v>318</v>
      </c>
      <c r="B113" t="s">
        <v>319</v>
      </c>
      <c r="C113" t="s">
        <v>155</v>
      </c>
      <c r="D113">
        <v>13520</v>
      </c>
      <c r="I113">
        <v>5000</v>
      </c>
      <c r="J113">
        <v>8000</v>
      </c>
      <c r="K113">
        <v>13000</v>
      </c>
    </row>
    <row r="114" spans="1:4">
      <c r="A114" t="s">
        <v>320</v>
      </c>
      <c r="B114" t="s">
        <v>321</v>
      </c>
      <c r="C114" t="s">
        <v>155</v>
      </c>
      <c r="D114">
        <v>0</v>
      </c>
    </row>
    <row r="115" spans="1:4">
      <c r="A115" t="s">
        <v>322</v>
      </c>
      <c r="B115" t="s">
        <v>323</v>
      </c>
      <c r="C115" t="s">
        <v>155</v>
      </c>
      <c r="D115">
        <v>0</v>
      </c>
    </row>
    <row r="116" spans="1:11">
      <c r="A116" t="s">
        <v>324</v>
      </c>
      <c r="B116" t="s">
        <v>325</v>
      </c>
      <c r="C116" t="s">
        <v>155</v>
      </c>
      <c r="D116">
        <v>419000</v>
      </c>
      <c r="E116">
        <v>90000</v>
      </c>
      <c r="F116">
        <v>880000</v>
      </c>
      <c r="G116">
        <v>90000</v>
      </c>
      <c r="H116">
        <v>90000</v>
      </c>
      <c r="I116">
        <v>880000</v>
      </c>
      <c r="J116">
        <v>90000</v>
      </c>
      <c r="K116">
        <v>190000</v>
      </c>
    </row>
    <row r="117" spans="1:11">
      <c r="A117" t="s">
        <v>326</v>
      </c>
      <c r="B117" t="s">
        <v>327</v>
      </c>
      <c r="C117" t="s">
        <v>155</v>
      </c>
      <c r="D117">
        <v>418035</v>
      </c>
      <c r="E117">
        <v>100500</v>
      </c>
      <c r="F117">
        <v>86000</v>
      </c>
      <c r="G117">
        <v>110000</v>
      </c>
      <c r="H117">
        <v>0</v>
      </c>
      <c r="I117">
        <v>70000</v>
      </c>
      <c r="J117">
        <v>20000</v>
      </c>
      <c r="K117">
        <v>198000</v>
      </c>
    </row>
    <row r="118" spans="1:4">
      <c r="A118" t="s">
        <v>328</v>
      </c>
      <c r="B118" t="s">
        <v>155</v>
      </c>
      <c r="C118" t="s">
        <v>155</v>
      </c>
      <c r="D118">
        <v>0</v>
      </c>
    </row>
    <row r="119" spans="1:4">
      <c r="A119" t="s">
        <v>329</v>
      </c>
      <c r="B119" t="s">
        <v>155</v>
      </c>
      <c r="C119" t="s">
        <v>155</v>
      </c>
      <c r="D119">
        <v>0</v>
      </c>
    </row>
    <row r="120" spans="1:11">
      <c r="A120" t="s">
        <v>330</v>
      </c>
      <c r="B120" t="s">
        <v>331</v>
      </c>
      <c r="C120" t="s">
        <v>155</v>
      </c>
      <c r="D120">
        <v>175000</v>
      </c>
      <c r="E120">
        <v>50000</v>
      </c>
      <c r="F120">
        <v>50000</v>
      </c>
      <c r="G120">
        <v>50000</v>
      </c>
      <c r="H120">
        <v>50000</v>
      </c>
      <c r="I120">
        <v>50000</v>
      </c>
      <c r="J120">
        <v>50000</v>
      </c>
      <c r="K120">
        <v>50000</v>
      </c>
    </row>
    <row r="121" spans="1:11">
      <c r="A121" t="s">
        <v>330</v>
      </c>
      <c r="B121" t="s">
        <v>332</v>
      </c>
      <c r="C121" t="s">
        <v>155</v>
      </c>
      <c r="D121">
        <v>89100</v>
      </c>
      <c r="E121">
        <v>0</v>
      </c>
      <c r="F121">
        <v>30000</v>
      </c>
      <c r="G121">
        <v>30000</v>
      </c>
      <c r="H121">
        <v>30000</v>
      </c>
      <c r="I121">
        <v>30000</v>
      </c>
      <c r="J121">
        <v>30000</v>
      </c>
      <c r="K121">
        <v>30000</v>
      </c>
    </row>
    <row r="122" spans="1:11">
      <c r="A122" t="s">
        <v>333</v>
      </c>
      <c r="B122" t="s">
        <v>334</v>
      </c>
      <c r="C122" t="s">
        <v>155</v>
      </c>
      <c r="D122">
        <v>400000</v>
      </c>
      <c r="E122">
        <v>0</v>
      </c>
      <c r="F122">
        <v>0</v>
      </c>
      <c r="G122">
        <v>0</v>
      </c>
      <c r="H122">
        <v>500000</v>
      </c>
      <c r="I122">
        <v>500000</v>
      </c>
      <c r="J122">
        <v>500000</v>
      </c>
      <c r="K122">
        <v>500000</v>
      </c>
    </row>
    <row r="123" spans="1:4">
      <c r="A123" t="s">
        <v>335</v>
      </c>
      <c r="B123" t="s">
        <v>155</v>
      </c>
      <c r="C123" t="s">
        <v>155</v>
      </c>
      <c r="D123">
        <v>0</v>
      </c>
    </row>
    <row r="124" spans="1:4">
      <c r="A124" t="s">
        <v>336</v>
      </c>
      <c r="B124" t="s">
        <v>337</v>
      </c>
      <c r="C124" t="s">
        <v>338</v>
      </c>
      <c r="D124">
        <v>0</v>
      </c>
    </row>
    <row r="125" spans="1:11">
      <c r="A125" t="s">
        <v>336</v>
      </c>
      <c r="B125" t="s">
        <v>337</v>
      </c>
      <c r="C125" t="s">
        <v>155</v>
      </c>
      <c r="D125">
        <v>307800</v>
      </c>
      <c r="E125">
        <v>245000</v>
      </c>
      <c r="F125">
        <v>245000</v>
      </c>
      <c r="G125">
        <v>245000</v>
      </c>
      <c r="H125">
        <v>250000</v>
      </c>
      <c r="I125">
        <v>250000</v>
      </c>
      <c r="J125">
        <v>260000</v>
      </c>
      <c r="K125">
        <v>260000</v>
      </c>
    </row>
    <row r="126" spans="1:4">
      <c r="A126" t="s">
        <v>336</v>
      </c>
      <c r="B126" t="s">
        <v>155</v>
      </c>
      <c r="C126" t="s">
        <v>155</v>
      </c>
      <c r="D126">
        <v>0</v>
      </c>
    </row>
    <row r="127" spans="1:11">
      <c r="A127" t="s">
        <v>339</v>
      </c>
      <c r="B127" t="s">
        <v>340</v>
      </c>
      <c r="C127" t="s">
        <v>155</v>
      </c>
      <c r="D127">
        <v>3710000</v>
      </c>
      <c r="E127">
        <v>2000000</v>
      </c>
      <c r="F127">
        <v>2000000</v>
      </c>
      <c r="G127">
        <v>2000000</v>
      </c>
      <c r="H127">
        <v>2000000</v>
      </c>
      <c r="I127">
        <v>2000000</v>
      </c>
      <c r="J127">
        <v>2000000</v>
      </c>
      <c r="K127">
        <v>2000000</v>
      </c>
    </row>
    <row r="128" spans="1:11">
      <c r="A128" t="s">
        <v>341</v>
      </c>
      <c r="B128" t="s">
        <v>342</v>
      </c>
      <c r="C128" t="s">
        <v>338</v>
      </c>
      <c r="D128">
        <v>2100000</v>
      </c>
      <c r="I128">
        <v>5000000</v>
      </c>
      <c r="J128">
        <v>5000000</v>
      </c>
      <c r="K128">
        <v>5000000</v>
      </c>
    </row>
    <row r="129" spans="1:4">
      <c r="A129" t="s">
        <v>341</v>
      </c>
      <c r="B129" t="s">
        <v>343</v>
      </c>
      <c r="C129" t="s">
        <v>155</v>
      </c>
      <c r="D129">
        <v>0</v>
      </c>
    </row>
    <row r="130" spans="1:11">
      <c r="A130" t="s">
        <v>344</v>
      </c>
      <c r="B130" t="s">
        <v>345</v>
      </c>
      <c r="C130" t="s">
        <v>155</v>
      </c>
      <c r="D130">
        <v>112000</v>
      </c>
      <c r="E130">
        <v>200000</v>
      </c>
      <c r="F130">
        <v>0</v>
      </c>
      <c r="G130">
        <v>0</v>
      </c>
      <c r="H130">
        <v>0</v>
      </c>
      <c r="I130">
        <v>200000</v>
      </c>
      <c r="J130">
        <v>200000</v>
      </c>
      <c r="K130">
        <v>200000</v>
      </c>
    </row>
    <row r="131" spans="1:4">
      <c r="A131" t="s">
        <v>346</v>
      </c>
      <c r="B131" t="s">
        <v>155</v>
      </c>
      <c r="C131" t="s">
        <v>155</v>
      </c>
      <c r="D131">
        <v>0</v>
      </c>
    </row>
    <row r="132" spans="1:4">
      <c r="A132" t="s">
        <v>347</v>
      </c>
      <c r="B132" t="s">
        <v>155</v>
      </c>
      <c r="C132" t="s">
        <v>155</v>
      </c>
      <c r="D132">
        <v>0</v>
      </c>
    </row>
    <row r="133" spans="1:4">
      <c r="A133" t="s">
        <v>348</v>
      </c>
      <c r="B133" t="s">
        <v>155</v>
      </c>
      <c r="C133" t="s">
        <v>155</v>
      </c>
      <c r="D133">
        <v>0</v>
      </c>
    </row>
    <row r="134" spans="1:11">
      <c r="A134" t="s">
        <v>349</v>
      </c>
      <c r="B134" t="s">
        <v>350</v>
      </c>
      <c r="C134" t="s">
        <v>155</v>
      </c>
      <c r="D134">
        <v>24150</v>
      </c>
      <c r="E134">
        <v>15000</v>
      </c>
      <c r="F134">
        <v>15000</v>
      </c>
      <c r="G134">
        <v>15000</v>
      </c>
      <c r="H134">
        <v>15000</v>
      </c>
      <c r="I134">
        <v>15000</v>
      </c>
      <c r="J134">
        <v>15000</v>
      </c>
      <c r="K134">
        <v>15000</v>
      </c>
    </row>
    <row r="135" spans="1:11">
      <c r="A135" t="s">
        <v>351</v>
      </c>
      <c r="B135" t="s">
        <v>352</v>
      </c>
      <c r="C135" t="s">
        <v>155</v>
      </c>
      <c r="D135">
        <v>21840</v>
      </c>
      <c r="E135">
        <v>12000</v>
      </c>
      <c r="F135">
        <v>12000</v>
      </c>
      <c r="G135">
        <v>12000</v>
      </c>
      <c r="H135">
        <v>12000</v>
      </c>
      <c r="I135">
        <v>12000</v>
      </c>
      <c r="J135">
        <v>12000</v>
      </c>
      <c r="K135">
        <v>12000</v>
      </c>
    </row>
    <row r="136" spans="1:4">
      <c r="A136" t="s">
        <v>353</v>
      </c>
      <c r="B136" t="s">
        <v>155</v>
      </c>
      <c r="C136" t="s">
        <v>155</v>
      </c>
      <c r="D136">
        <v>0</v>
      </c>
    </row>
    <row r="137" spans="1:11">
      <c r="A137" t="s">
        <v>354</v>
      </c>
      <c r="B137" t="s">
        <v>355</v>
      </c>
      <c r="C137" t="s">
        <v>155</v>
      </c>
      <c r="D137">
        <v>1780000</v>
      </c>
      <c r="E137">
        <v>200000</v>
      </c>
      <c r="F137">
        <v>200000</v>
      </c>
      <c r="G137">
        <v>200000</v>
      </c>
      <c r="H137">
        <v>400000</v>
      </c>
      <c r="I137">
        <v>800000</v>
      </c>
      <c r="J137">
        <v>550000</v>
      </c>
      <c r="K137">
        <v>550000</v>
      </c>
    </row>
    <row r="138" spans="1:11">
      <c r="A138" t="s">
        <v>356</v>
      </c>
      <c r="B138" t="s">
        <v>357</v>
      </c>
      <c r="C138" t="s">
        <v>89</v>
      </c>
      <c r="D138">
        <v>6000000</v>
      </c>
      <c r="I138">
        <v>2000000</v>
      </c>
      <c r="J138">
        <v>2000000</v>
      </c>
      <c r="K138">
        <v>2000000</v>
      </c>
    </row>
    <row r="139" spans="1:11">
      <c r="A139" t="s">
        <v>358</v>
      </c>
      <c r="B139" t="s">
        <v>359</v>
      </c>
      <c r="C139" t="s">
        <v>155</v>
      </c>
      <c r="D139">
        <v>1512000</v>
      </c>
      <c r="E139">
        <v>400000</v>
      </c>
      <c r="F139">
        <v>400000</v>
      </c>
      <c r="G139">
        <v>400000</v>
      </c>
      <c r="H139">
        <v>400000</v>
      </c>
      <c r="I139">
        <v>400000</v>
      </c>
      <c r="J139">
        <v>400000</v>
      </c>
      <c r="K139">
        <v>400000</v>
      </c>
    </row>
    <row r="140" spans="1:11">
      <c r="A140" t="s">
        <v>360</v>
      </c>
      <c r="B140" t="s">
        <v>361</v>
      </c>
      <c r="C140" t="s">
        <v>155</v>
      </c>
      <c r="D140">
        <v>140000</v>
      </c>
      <c r="E140">
        <v>20000</v>
      </c>
      <c r="F140">
        <v>20000</v>
      </c>
      <c r="G140">
        <v>20000</v>
      </c>
      <c r="H140">
        <v>20000</v>
      </c>
      <c r="I140">
        <v>20000</v>
      </c>
      <c r="J140">
        <v>20000</v>
      </c>
      <c r="K140">
        <v>20000</v>
      </c>
    </row>
    <row r="141" spans="1:11">
      <c r="A141" t="s">
        <v>362</v>
      </c>
      <c r="B141" t="s">
        <v>155</v>
      </c>
      <c r="C141" t="s">
        <v>155</v>
      </c>
      <c r="D141">
        <v>87250</v>
      </c>
      <c r="E141">
        <v>3500</v>
      </c>
      <c r="F141">
        <v>5500</v>
      </c>
      <c r="G141">
        <v>5500</v>
      </c>
      <c r="H141">
        <v>5500</v>
      </c>
      <c r="I141">
        <v>5500</v>
      </c>
      <c r="J141">
        <v>5500</v>
      </c>
      <c r="K141">
        <v>5500</v>
      </c>
    </row>
    <row r="142" spans="1:4">
      <c r="A142" t="s">
        <v>363</v>
      </c>
      <c r="B142" t="s">
        <v>155</v>
      </c>
      <c r="C142" t="s">
        <v>155</v>
      </c>
      <c r="D142">
        <v>0</v>
      </c>
    </row>
    <row r="143" spans="1:11">
      <c r="A143" t="s">
        <v>364</v>
      </c>
      <c r="B143" t="s">
        <v>365</v>
      </c>
      <c r="C143" t="s">
        <v>155</v>
      </c>
      <c r="D143">
        <v>224000</v>
      </c>
      <c r="G143">
        <v>10000</v>
      </c>
      <c r="H143">
        <v>10000</v>
      </c>
      <c r="I143">
        <v>20000</v>
      </c>
      <c r="J143">
        <v>20000</v>
      </c>
      <c r="K143">
        <v>20000</v>
      </c>
    </row>
    <row r="144" spans="1:11">
      <c r="A144" t="s">
        <v>364</v>
      </c>
      <c r="B144" t="s">
        <v>366</v>
      </c>
      <c r="C144" t="s">
        <v>155</v>
      </c>
      <c r="D144">
        <v>3616000</v>
      </c>
      <c r="E144">
        <v>800000</v>
      </c>
      <c r="F144">
        <v>300000</v>
      </c>
      <c r="G144">
        <v>150000</v>
      </c>
      <c r="H144">
        <v>150000</v>
      </c>
      <c r="I144">
        <v>200000</v>
      </c>
      <c r="J144">
        <v>200000</v>
      </c>
      <c r="K144">
        <v>200000</v>
      </c>
    </row>
    <row r="145" spans="1:11">
      <c r="A145" t="s">
        <v>367</v>
      </c>
      <c r="B145" t="s">
        <v>368</v>
      </c>
      <c r="C145" t="s">
        <v>155</v>
      </c>
      <c r="D145">
        <v>313236</v>
      </c>
      <c r="E145">
        <v>20000</v>
      </c>
      <c r="F145">
        <v>20000</v>
      </c>
      <c r="G145">
        <v>20000</v>
      </c>
      <c r="H145">
        <v>20000</v>
      </c>
      <c r="I145">
        <v>20000</v>
      </c>
      <c r="J145">
        <v>20000</v>
      </c>
      <c r="K145">
        <v>20000</v>
      </c>
    </row>
    <row r="146" spans="1:11">
      <c r="A146" t="s">
        <v>369</v>
      </c>
      <c r="B146" t="s">
        <v>370</v>
      </c>
      <c r="C146" t="s">
        <v>155</v>
      </c>
      <c r="D146">
        <v>78309</v>
      </c>
      <c r="E146">
        <v>5000</v>
      </c>
      <c r="F146">
        <v>5000</v>
      </c>
      <c r="G146">
        <v>5000</v>
      </c>
      <c r="H146">
        <v>5000</v>
      </c>
      <c r="I146">
        <v>5000</v>
      </c>
      <c r="J146">
        <v>5000</v>
      </c>
      <c r="K146">
        <v>5000</v>
      </c>
    </row>
    <row r="147" spans="1:11">
      <c r="A147" t="s">
        <v>371</v>
      </c>
      <c r="B147" t="s">
        <v>372</v>
      </c>
      <c r="C147" t="s">
        <v>155</v>
      </c>
      <c r="D147">
        <v>2275010</v>
      </c>
      <c r="E147">
        <v>146000</v>
      </c>
      <c r="F147">
        <v>31000</v>
      </c>
      <c r="G147">
        <v>230000</v>
      </c>
      <c r="H147">
        <v>105000</v>
      </c>
      <c r="I147">
        <v>223000</v>
      </c>
      <c r="J147">
        <v>95000</v>
      </c>
      <c r="K147">
        <v>233000</v>
      </c>
    </row>
    <row r="148" spans="1:11">
      <c r="A148" t="s">
        <v>371</v>
      </c>
      <c r="B148" t="s">
        <v>373</v>
      </c>
      <c r="C148" t="s">
        <v>155</v>
      </c>
      <c r="D148">
        <v>3412500</v>
      </c>
      <c r="E148">
        <v>250000</v>
      </c>
      <c r="F148">
        <v>250000</v>
      </c>
      <c r="G148">
        <v>250000</v>
      </c>
      <c r="H148">
        <v>250000</v>
      </c>
      <c r="I148">
        <v>250000</v>
      </c>
      <c r="J148">
        <v>250000</v>
      </c>
      <c r="K148">
        <v>250000</v>
      </c>
    </row>
    <row r="149" spans="1:11">
      <c r="A149" t="s">
        <v>371</v>
      </c>
      <c r="B149" t="s">
        <v>374</v>
      </c>
      <c r="C149" t="s">
        <v>155</v>
      </c>
      <c r="D149">
        <v>10237500</v>
      </c>
      <c r="E149">
        <v>750000</v>
      </c>
      <c r="F149">
        <v>750000</v>
      </c>
      <c r="G149">
        <v>750000</v>
      </c>
      <c r="H149">
        <v>750000</v>
      </c>
      <c r="I149">
        <v>750000</v>
      </c>
      <c r="J149">
        <v>750000</v>
      </c>
      <c r="K149">
        <v>750000</v>
      </c>
    </row>
    <row r="150" spans="1:11">
      <c r="A150" t="s">
        <v>375</v>
      </c>
      <c r="B150" t="s">
        <v>376</v>
      </c>
      <c r="C150" t="s">
        <v>155</v>
      </c>
      <c r="D150">
        <v>1144500</v>
      </c>
      <c r="E150">
        <v>75000</v>
      </c>
      <c r="F150">
        <v>75000</v>
      </c>
      <c r="G150">
        <v>75000</v>
      </c>
      <c r="H150">
        <v>80000</v>
      </c>
      <c r="I150">
        <v>80000</v>
      </c>
      <c r="J150">
        <v>80000</v>
      </c>
      <c r="K150">
        <v>80000</v>
      </c>
    </row>
    <row r="151" spans="1:4">
      <c r="A151" t="s">
        <v>377</v>
      </c>
      <c r="B151" t="s">
        <v>378</v>
      </c>
      <c r="C151" t="s">
        <v>155</v>
      </c>
      <c r="D151">
        <v>0</v>
      </c>
    </row>
    <row r="152" spans="1:11">
      <c r="A152" t="s">
        <v>379</v>
      </c>
      <c r="B152" t="s">
        <v>380</v>
      </c>
      <c r="C152" t="s">
        <v>155</v>
      </c>
      <c r="D152">
        <v>1716100</v>
      </c>
      <c r="E152">
        <v>25000</v>
      </c>
      <c r="F152">
        <v>55000</v>
      </c>
      <c r="G152">
        <v>105000</v>
      </c>
      <c r="H152">
        <v>105000</v>
      </c>
      <c r="I152">
        <v>205000</v>
      </c>
      <c r="J152">
        <v>205000</v>
      </c>
      <c r="K152">
        <v>205000</v>
      </c>
    </row>
    <row r="153" spans="1:11">
      <c r="A153" t="s">
        <v>381</v>
      </c>
      <c r="B153" t="s">
        <v>382</v>
      </c>
      <c r="C153" t="s">
        <v>155</v>
      </c>
      <c r="D153">
        <v>44946</v>
      </c>
      <c r="F153">
        <v>3000</v>
      </c>
      <c r="H153">
        <v>3000</v>
      </c>
      <c r="J153">
        <v>6000</v>
      </c>
      <c r="K153">
        <v>6000</v>
      </c>
    </row>
    <row r="154" spans="1:11">
      <c r="A154" t="s">
        <v>383</v>
      </c>
      <c r="B154" t="s">
        <v>384</v>
      </c>
      <c r="C154" t="s">
        <v>155</v>
      </c>
      <c r="D154">
        <v>142880</v>
      </c>
      <c r="E154">
        <v>6000</v>
      </c>
      <c r="F154">
        <v>11000</v>
      </c>
      <c r="G154">
        <v>11000</v>
      </c>
      <c r="H154">
        <v>11000</v>
      </c>
      <c r="I154">
        <v>11000</v>
      </c>
      <c r="J154">
        <v>11000</v>
      </c>
      <c r="K154">
        <v>15000</v>
      </c>
    </row>
    <row r="155" spans="1:10">
      <c r="A155" t="s">
        <v>385</v>
      </c>
      <c r="B155" t="s">
        <v>386</v>
      </c>
      <c r="C155" t="s">
        <v>155</v>
      </c>
      <c r="D155">
        <v>324000</v>
      </c>
      <c r="F155">
        <v>50000</v>
      </c>
      <c r="G155">
        <v>50000</v>
      </c>
      <c r="I155">
        <v>50000</v>
      </c>
      <c r="J155">
        <v>50000</v>
      </c>
    </row>
    <row r="156" spans="1:11">
      <c r="A156" t="s">
        <v>387</v>
      </c>
      <c r="B156" t="s">
        <v>388</v>
      </c>
      <c r="C156" t="s">
        <v>155</v>
      </c>
      <c r="D156">
        <v>14000</v>
      </c>
      <c r="K156">
        <v>5000</v>
      </c>
    </row>
    <row r="157" spans="1:11">
      <c r="A157" t="s">
        <v>389</v>
      </c>
      <c r="B157" t="s">
        <v>390</v>
      </c>
      <c r="C157" t="s">
        <v>155</v>
      </c>
      <c r="D157">
        <v>3837500</v>
      </c>
      <c r="E157">
        <v>350000</v>
      </c>
      <c r="F157">
        <v>300000</v>
      </c>
      <c r="G157">
        <v>400000</v>
      </c>
      <c r="H157">
        <v>400000</v>
      </c>
      <c r="I157">
        <v>400000</v>
      </c>
      <c r="J157">
        <v>450000</v>
      </c>
      <c r="K157">
        <v>450000</v>
      </c>
    </row>
    <row r="158" spans="1:11">
      <c r="A158" t="s">
        <v>391</v>
      </c>
      <c r="B158" t="s">
        <v>392</v>
      </c>
      <c r="C158" t="s">
        <v>155</v>
      </c>
      <c r="D158">
        <v>1962080</v>
      </c>
      <c r="E158">
        <v>62000</v>
      </c>
      <c r="F158">
        <v>102000</v>
      </c>
      <c r="G158">
        <v>110000</v>
      </c>
      <c r="H158">
        <v>114000</v>
      </c>
      <c r="I158">
        <v>129000</v>
      </c>
      <c r="J158">
        <v>129000</v>
      </c>
      <c r="K158">
        <v>139000</v>
      </c>
    </row>
    <row r="159" spans="1:11">
      <c r="A159" t="s">
        <v>393</v>
      </c>
      <c r="B159" t="s">
        <v>394</v>
      </c>
      <c r="C159" t="s">
        <v>155</v>
      </c>
      <c r="D159">
        <v>2606670</v>
      </c>
      <c r="E159">
        <v>125000</v>
      </c>
      <c r="F159">
        <v>155000</v>
      </c>
      <c r="G159">
        <v>129000</v>
      </c>
      <c r="H159">
        <v>148000</v>
      </c>
      <c r="I159">
        <v>130000</v>
      </c>
      <c r="J159">
        <v>155000</v>
      </c>
      <c r="K159">
        <v>160000</v>
      </c>
    </row>
    <row r="160" spans="1:11">
      <c r="A160" t="s">
        <v>393</v>
      </c>
      <c r="B160" t="s">
        <v>395</v>
      </c>
      <c r="C160" t="s">
        <v>155</v>
      </c>
      <c r="D160">
        <v>8107000</v>
      </c>
      <c r="E160">
        <v>450000</v>
      </c>
      <c r="F160">
        <v>450000</v>
      </c>
      <c r="G160">
        <v>450000</v>
      </c>
      <c r="H160">
        <v>500000</v>
      </c>
      <c r="I160">
        <v>500000</v>
      </c>
      <c r="J160">
        <v>500000</v>
      </c>
      <c r="K160">
        <v>500000</v>
      </c>
    </row>
    <row r="161" spans="1:11">
      <c r="A161" t="s">
        <v>396</v>
      </c>
      <c r="B161" t="s">
        <v>397</v>
      </c>
      <c r="C161" t="s">
        <v>155</v>
      </c>
      <c r="D161">
        <v>4224350</v>
      </c>
      <c r="E161">
        <v>158000</v>
      </c>
      <c r="F161">
        <v>212500</v>
      </c>
      <c r="G161">
        <v>212500</v>
      </c>
      <c r="H161">
        <v>262500</v>
      </c>
      <c r="I161">
        <v>265000</v>
      </c>
      <c r="J161">
        <v>265000</v>
      </c>
      <c r="K161">
        <v>265000</v>
      </c>
    </row>
    <row r="162" spans="1:11">
      <c r="A162" t="s">
        <v>398</v>
      </c>
      <c r="B162" t="s">
        <v>399</v>
      </c>
      <c r="C162" t="s">
        <v>155</v>
      </c>
      <c r="D162">
        <v>15000000</v>
      </c>
      <c r="E162">
        <v>0</v>
      </c>
      <c r="I162">
        <v>10000000</v>
      </c>
      <c r="J162">
        <v>10000000</v>
      </c>
      <c r="K162">
        <v>10000000</v>
      </c>
    </row>
    <row r="163" spans="1:11">
      <c r="A163" t="s">
        <v>400</v>
      </c>
      <c r="B163" t="s">
        <v>401</v>
      </c>
      <c r="C163" t="s">
        <v>89</v>
      </c>
      <c r="D163">
        <v>11200000</v>
      </c>
      <c r="E163">
        <v>4000000</v>
      </c>
      <c r="F163">
        <v>4000000</v>
      </c>
      <c r="G163">
        <v>4000000</v>
      </c>
      <c r="H163">
        <v>4000000</v>
      </c>
      <c r="I163">
        <v>4000000</v>
      </c>
      <c r="J163">
        <v>4000000</v>
      </c>
      <c r="K163">
        <v>4000000</v>
      </c>
    </row>
    <row r="164" spans="1:11">
      <c r="A164" t="s">
        <v>400</v>
      </c>
      <c r="B164" t="s">
        <v>401</v>
      </c>
      <c r="C164" t="s">
        <v>155</v>
      </c>
      <c r="D164">
        <v>2400000</v>
      </c>
      <c r="I164">
        <v>2000000</v>
      </c>
      <c r="J164">
        <v>2000000</v>
      </c>
      <c r="K164">
        <v>2000000</v>
      </c>
    </row>
    <row r="165" spans="1:11">
      <c r="A165" t="s">
        <v>402</v>
      </c>
      <c r="B165" t="s">
        <v>402</v>
      </c>
      <c r="C165" t="s">
        <v>155</v>
      </c>
      <c r="D165">
        <v>312480</v>
      </c>
      <c r="E165">
        <v>14880</v>
      </c>
      <c r="F165">
        <v>14880</v>
      </c>
      <c r="G165">
        <v>14880</v>
      </c>
      <c r="H165">
        <v>14880</v>
      </c>
      <c r="I165">
        <v>14880</v>
      </c>
      <c r="J165">
        <v>14880</v>
      </c>
      <c r="K165">
        <v>14880</v>
      </c>
    </row>
    <row r="166" spans="1:11">
      <c r="A166" t="s">
        <v>403</v>
      </c>
      <c r="B166" t="s">
        <v>403</v>
      </c>
      <c r="C166" t="s">
        <v>155</v>
      </c>
      <c r="D166">
        <v>294000</v>
      </c>
      <c r="E166">
        <v>13000</v>
      </c>
      <c r="F166">
        <v>13000</v>
      </c>
      <c r="G166">
        <v>13000</v>
      </c>
      <c r="H166">
        <v>13000</v>
      </c>
      <c r="I166">
        <v>13000</v>
      </c>
      <c r="J166">
        <v>13000</v>
      </c>
      <c r="K166">
        <v>13000</v>
      </c>
    </row>
    <row r="167" spans="1:11">
      <c r="A167" t="s">
        <v>404</v>
      </c>
      <c r="B167" t="s">
        <v>155</v>
      </c>
      <c r="C167" t="s">
        <v>155</v>
      </c>
      <c r="D167">
        <v>255500</v>
      </c>
      <c r="E167">
        <v>10000</v>
      </c>
      <c r="F167">
        <v>10000</v>
      </c>
      <c r="G167">
        <v>10000</v>
      </c>
      <c r="H167">
        <v>10000</v>
      </c>
      <c r="I167">
        <v>10000</v>
      </c>
      <c r="J167">
        <v>10000</v>
      </c>
      <c r="K167">
        <v>10000</v>
      </c>
    </row>
    <row r="168" spans="1:4">
      <c r="A168" t="s">
        <v>405</v>
      </c>
      <c r="B168" t="s">
        <v>155</v>
      </c>
      <c r="C168" t="s">
        <v>155</v>
      </c>
      <c r="D168">
        <v>0</v>
      </c>
    </row>
    <row r="169" spans="1:11">
      <c r="A169" t="s">
        <v>406</v>
      </c>
      <c r="B169" t="s">
        <v>407</v>
      </c>
      <c r="C169" t="s">
        <v>155</v>
      </c>
      <c r="D169">
        <v>399000</v>
      </c>
      <c r="G169">
        <v>20000</v>
      </c>
      <c r="H169">
        <v>30000</v>
      </c>
      <c r="I169">
        <v>30000</v>
      </c>
      <c r="J169">
        <v>30000</v>
      </c>
      <c r="K169">
        <v>30000</v>
      </c>
    </row>
    <row r="170" spans="1:11">
      <c r="A170" t="s">
        <v>406</v>
      </c>
      <c r="B170" t="s">
        <v>408</v>
      </c>
      <c r="C170" t="s">
        <v>155</v>
      </c>
      <c r="D170">
        <v>399000</v>
      </c>
      <c r="G170">
        <v>20000</v>
      </c>
      <c r="H170">
        <v>30000</v>
      </c>
      <c r="I170">
        <v>30000</v>
      </c>
      <c r="J170">
        <v>30000</v>
      </c>
      <c r="K170">
        <v>30000</v>
      </c>
    </row>
    <row r="171" spans="1:11">
      <c r="A171" t="s">
        <v>409</v>
      </c>
      <c r="B171" t="s">
        <v>410</v>
      </c>
      <c r="C171" t="s">
        <v>155</v>
      </c>
      <c r="D171">
        <v>425000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50000</v>
      </c>
    </row>
    <row r="172" spans="1:11">
      <c r="A172" t="s">
        <v>411</v>
      </c>
      <c r="B172" t="s">
        <v>412</v>
      </c>
      <c r="C172" t="s">
        <v>155</v>
      </c>
      <c r="D172">
        <v>285000</v>
      </c>
      <c r="E172">
        <v>0</v>
      </c>
      <c r="F172">
        <v>3000</v>
      </c>
      <c r="G172">
        <v>3000</v>
      </c>
      <c r="H172">
        <v>0</v>
      </c>
      <c r="I172">
        <v>18000</v>
      </c>
      <c r="J172">
        <v>20000</v>
      </c>
      <c r="K172">
        <v>23000</v>
      </c>
    </row>
    <row r="173" spans="1:11">
      <c r="A173" t="s">
        <v>413</v>
      </c>
      <c r="B173" t="s">
        <v>414</v>
      </c>
      <c r="C173" t="s">
        <v>155</v>
      </c>
      <c r="D173">
        <v>1137680</v>
      </c>
      <c r="E173">
        <v>28000</v>
      </c>
      <c r="F173">
        <v>28500</v>
      </c>
      <c r="G173">
        <v>49000</v>
      </c>
      <c r="H173">
        <v>49500</v>
      </c>
      <c r="I173">
        <v>59000</v>
      </c>
      <c r="J173">
        <v>59500</v>
      </c>
      <c r="K173">
        <v>59000</v>
      </c>
    </row>
    <row r="174" spans="1:11">
      <c r="A174" t="s">
        <v>415</v>
      </c>
      <c r="B174" t="s">
        <v>416</v>
      </c>
      <c r="C174" t="s">
        <v>155</v>
      </c>
      <c r="D174">
        <v>1279200</v>
      </c>
      <c r="E174">
        <v>11000</v>
      </c>
      <c r="F174">
        <v>12000</v>
      </c>
      <c r="G174">
        <v>33000</v>
      </c>
      <c r="H174">
        <v>37000</v>
      </c>
      <c r="I174">
        <v>58000</v>
      </c>
      <c r="J174">
        <v>78000</v>
      </c>
      <c r="K174">
        <v>88000</v>
      </c>
    </row>
    <row r="175" spans="1:11">
      <c r="A175" t="s">
        <v>417</v>
      </c>
      <c r="B175" t="s">
        <v>418</v>
      </c>
      <c r="C175" t="s">
        <v>155</v>
      </c>
      <c r="D175">
        <v>157500</v>
      </c>
      <c r="E175">
        <v>3000</v>
      </c>
      <c r="F175">
        <v>3000</v>
      </c>
      <c r="G175">
        <v>3000</v>
      </c>
      <c r="H175">
        <v>3000</v>
      </c>
      <c r="I175">
        <v>3000</v>
      </c>
      <c r="J175">
        <v>3000</v>
      </c>
      <c r="K175">
        <v>3000</v>
      </c>
    </row>
    <row r="176" spans="1:11">
      <c r="A176" t="s">
        <v>419</v>
      </c>
      <c r="B176" t="s">
        <v>420</v>
      </c>
      <c r="C176" t="s">
        <v>155</v>
      </c>
      <c r="D176">
        <v>630000</v>
      </c>
      <c r="E176">
        <v>6000</v>
      </c>
      <c r="F176">
        <v>6000</v>
      </c>
      <c r="G176">
        <v>12000</v>
      </c>
      <c r="H176">
        <v>12000</v>
      </c>
      <c r="I176">
        <v>18000</v>
      </c>
      <c r="J176">
        <v>18000</v>
      </c>
      <c r="K176">
        <v>18000</v>
      </c>
    </row>
    <row r="177" spans="1:11">
      <c r="A177" t="s">
        <v>421</v>
      </c>
      <c r="B177" t="s">
        <v>422</v>
      </c>
      <c r="C177" t="s">
        <v>155</v>
      </c>
      <c r="D177">
        <v>2358000</v>
      </c>
      <c r="E177">
        <v>50000</v>
      </c>
      <c r="F177">
        <v>51000</v>
      </c>
      <c r="G177">
        <v>51000</v>
      </c>
      <c r="H177">
        <v>56000</v>
      </c>
      <c r="I177">
        <v>71000</v>
      </c>
      <c r="J177">
        <v>91000</v>
      </c>
      <c r="K177">
        <v>91000</v>
      </c>
    </row>
    <row r="178" spans="1:11">
      <c r="A178" t="s">
        <v>423</v>
      </c>
      <c r="B178" t="s">
        <v>424</v>
      </c>
      <c r="C178" t="s">
        <v>155</v>
      </c>
      <c r="D178">
        <v>1120000</v>
      </c>
      <c r="E178">
        <v>200000</v>
      </c>
      <c r="F178">
        <v>200000</v>
      </c>
      <c r="G178">
        <v>200000</v>
      </c>
      <c r="H178">
        <v>200000</v>
      </c>
      <c r="I178">
        <v>200000</v>
      </c>
      <c r="J178">
        <v>200000</v>
      </c>
      <c r="K178">
        <v>200000</v>
      </c>
    </row>
    <row r="179" spans="1:11">
      <c r="A179" t="s">
        <v>423</v>
      </c>
      <c r="B179" t="s">
        <v>425</v>
      </c>
      <c r="C179" t="s">
        <v>155</v>
      </c>
      <c r="D179">
        <v>49000</v>
      </c>
      <c r="E179">
        <v>10000</v>
      </c>
      <c r="F179">
        <v>10000</v>
      </c>
      <c r="G179">
        <v>10000</v>
      </c>
      <c r="H179">
        <v>10000</v>
      </c>
      <c r="I179">
        <v>10000</v>
      </c>
      <c r="J179">
        <v>10000</v>
      </c>
      <c r="K179">
        <v>10000</v>
      </c>
    </row>
    <row r="180" spans="1:11">
      <c r="A180" t="s">
        <v>423</v>
      </c>
      <c r="B180" t="s">
        <v>426</v>
      </c>
      <c r="C180" t="s">
        <v>155</v>
      </c>
      <c r="D180">
        <v>825650</v>
      </c>
      <c r="E180">
        <v>102000</v>
      </c>
      <c r="F180">
        <v>102000</v>
      </c>
      <c r="G180">
        <v>102000</v>
      </c>
      <c r="H180">
        <v>102000</v>
      </c>
      <c r="I180">
        <v>102000</v>
      </c>
      <c r="J180">
        <v>102000</v>
      </c>
      <c r="K180">
        <v>102000</v>
      </c>
    </row>
    <row r="181" spans="1:11">
      <c r="A181" t="s">
        <v>423</v>
      </c>
      <c r="B181" t="s">
        <v>155</v>
      </c>
      <c r="C181" t="s">
        <v>155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</row>
    <row r="182" spans="1:11">
      <c r="A182" t="s">
        <v>427</v>
      </c>
      <c r="B182" t="s">
        <v>428</v>
      </c>
      <c r="C182" t="s">
        <v>155</v>
      </c>
      <c r="D182">
        <v>240400</v>
      </c>
      <c r="E182">
        <v>22000</v>
      </c>
      <c r="F182">
        <v>22000</v>
      </c>
      <c r="G182">
        <v>23000</v>
      </c>
      <c r="H182">
        <v>23000</v>
      </c>
      <c r="I182">
        <v>23000</v>
      </c>
      <c r="J182">
        <v>23000</v>
      </c>
      <c r="K182">
        <v>23000</v>
      </c>
    </row>
    <row r="183" spans="1:11">
      <c r="A183" t="s">
        <v>429</v>
      </c>
      <c r="B183" t="s">
        <v>430</v>
      </c>
      <c r="C183" t="s">
        <v>155</v>
      </c>
      <c r="D183">
        <v>521050</v>
      </c>
      <c r="E183">
        <v>34000</v>
      </c>
      <c r="F183">
        <v>36000</v>
      </c>
      <c r="G183">
        <v>46000</v>
      </c>
      <c r="H183">
        <v>42000</v>
      </c>
      <c r="I183">
        <v>41000</v>
      </c>
      <c r="J183">
        <v>41000</v>
      </c>
      <c r="K183">
        <v>47000</v>
      </c>
    </row>
    <row r="184" spans="1:11">
      <c r="A184" t="s">
        <v>431</v>
      </c>
      <c r="B184" t="s">
        <v>432</v>
      </c>
      <c r="C184" t="s">
        <v>155</v>
      </c>
      <c r="D184">
        <v>14700</v>
      </c>
      <c r="E184">
        <v>1000</v>
      </c>
      <c r="F184">
        <v>1000</v>
      </c>
      <c r="G184">
        <v>1000</v>
      </c>
      <c r="H184">
        <v>1000</v>
      </c>
      <c r="I184">
        <v>1000</v>
      </c>
      <c r="J184">
        <v>1000</v>
      </c>
      <c r="K184">
        <v>1000</v>
      </c>
    </row>
    <row r="185" spans="1:11">
      <c r="A185" t="s">
        <v>433</v>
      </c>
      <c r="B185" t="s">
        <v>434</v>
      </c>
      <c r="C185" t="s">
        <v>155</v>
      </c>
      <c r="D185">
        <v>3301800</v>
      </c>
      <c r="E185">
        <v>334500</v>
      </c>
      <c r="F185">
        <v>264500</v>
      </c>
      <c r="G185">
        <v>284500</v>
      </c>
      <c r="H185">
        <v>284500</v>
      </c>
      <c r="I185">
        <v>254500</v>
      </c>
      <c r="J185">
        <v>254500</v>
      </c>
      <c r="K185">
        <v>254500</v>
      </c>
    </row>
    <row r="186" spans="1:4">
      <c r="A186" t="s">
        <v>435</v>
      </c>
      <c r="B186" t="s">
        <v>436</v>
      </c>
      <c r="C186" t="s">
        <v>155</v>
      </c>
      <c r="D186">
        <v>0</v>
      </c>
    </row>
    <row r="187" spans="1:11">
      <c r="A187" t="s">
        <v>437</v>
      </c>
      <c r="B187" t="s">
        <v>438</v>
      </c>
      <c r="C187" t="s">
        <v>155</v>
      </c>
      <c r="D187">
        <v>3438000</v>
      </c>
      <c r="E187">
        <v>100000</v>
      </c>
      <c r="F187">
        <v>100000</v>
      </c>
      <c r="G187">
        <v>100000</v>
      </c>
      <c r="H187">
        <v>90000</v>
      </c>
      <c r="I187">
        <v>90000</v>
      </c>
      <c r="J187">
        <v>90000</v>
      </c>
      <c r="K187">
        <v>90000</v>
      </c>
    </row>
    <row r="188" spans="1:11">
      <c r="A188" t="s">
        <v>439</v>
      </c>
      <c r="B188" t="s">
        <v>440</v>
      </c>
      <c r="C188" t="s">
        <v>155</v>
      </c>
      <c r="D188">
        <v>13801182.7</v>
      </c>
      <c r="E188">
        <v>884000</v>
      </c>
      <c r="F188">
        <v>894000</v>
      </c>
      <c r="G188">
        <v>857570</v>
      </c>
      <c r="H188">
        <v>937970</v>
      </c>
      <c r="I188">
        <v>950370</v>
      </c>
      <c r="J188">
        <v>958850</v>
      </c>
      <c r="K188">
        <v>957330</v>
      </c>
    </row>
    <row r="189" spans="1:11">
      <c r="A189" t="s">
        <v>441</v>
      </c>
      <c r="B189" t="s">
        <v>442</v>
      </c>
      <c r="C189" t="s">
        <v>155</v>
      </c>
      <c r="D189">
        <v>5490700</v>
      </c>
      <c r="E189">
        <v>432000</v>
      </c>
      <c r="F189">
        <v>432000</v>
      </c>
      <c r="G189">
        <v>532000</v>
      </c>
      <c r="H189">
        <v>532000</v>
      </c>
      <c r="I189">
        <v>532000</v>
      </c>
      <c r="J189">
        <v>532000</v>
      </c>
      <c r="K189">
        <v>532000</v>
      </c>
    </row>
    <row r="190" spans="1:11">
      <c r="A190" t="s">
        <v>443</v>
      </c>
      <c r="B190" t="s">
        <v>444</v>
      </c>
      <c r="C190" t="s">
        <v>155</v>
      </c>
      <c r="D190">
        <v>240000</v>
      </c>
      <c r="E190">
        <v>30000</v>
      </c>
      <c r="F190">
        <v>20000</v>
      </c>
      <c r="G190">
        <v>20000</v>
      </c>
      <c r="H190">
        <v>20000</v>
      </c>
      <c r="I190">
        <v>20000</v>
      </c>
      <c r="J190">
        <v>20000</v>
      </c>
      <c r="K190">
        <v>20000</v>
      </c>
    </row>
    <row r="191" spans="1:11">
      <c r="A191" t="s">
        <v>445</v>
      </c>
      <c r="B191" t="s">
        <v>446</v>
      </c>
      <c r="C191" t="s">
        <v>155</v>
      </c>
      <c r="D191">
        <v>4053600</v>
      </c>
      <c r="E191">
        <v>300000</v>
      </c>
      <c r="F191">
        <v>300000</v>
      </c>
      <c r="G191">
        <v>330000</v>
      </c>
      <c r="H191">
        <v>340500</v>
      </c>
      <c r="I191">
        <v>240000</v>
      </c>
      <c r="J191">
        <v>240000</v>
      </c>
      <c r="K191">
        <v>270000</v>
      </c>
    </row>
    <row r="192" spans="1:11">
      <c r="A192" t="s">
        <v>445</v>
      </c>
      <c r="B192" t="s">
        <v>447</v>
      </c>
      <c r="C192" t="s">
        <v>155</v>
      </c>
      <c r="D192">
        <v>3857000</v>
      </c>
      <c r="E192">
        <v>200000</v>
      </c>
      <c r="F192">
        <v>200000</v>
      </c>
      <c r="G192">
        <v>200000</v>
      </c>
      <c r="H192">
        <v>300000</v>
      </c>
      <c r="I192">
        <v>300000</v>
      </c>
      <c r="J192">
        <v>300000</v>
      </c>
      <c r="K192">
        <v>400000</v>
      </c>
    </row>
    <row r="193" spans="1:11">
      <c r="A193" t="s">
        <v>448</v>
      </c>
      <c r="B193" t="s">
        <v>449</v>
      </c>
      <c r="C193" t="s">
        <v>155</v>
      </c>
      <c r="D193">
        <v>1560662.208</v>
      </c>
      <c r="E193">
        <v>91856</v>
      </c>
      <c r="F193">
        <v>108000</v>
      </c>
      <c r="G193">
        <v>108000</v>
      </c>
      <c r="H193">
        <v>110000</v>
      </c>
      <c r="I193">
        <v>110000</v>
      </c>
      <c r="J193">
        <v>105000</v>
      </c>
      <c r="K193">
        <v>83000</v>
      </c>
    </row>
    <row r="194" spans="1:11">
      <c r="A194" t="s">
        <v>448</v>
      </c>
      <c r="B194" t="s">
        <v>155</v>
      </c>
      <c r="C194" t="s">
        <v>155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</row>
    <row r="195" spans="1:11">
      <c r="A195" t="s">
        <v>450</v>
      </c>
      <c r="B195" t="s">
        <v>451</v>
      </c>
      <c r="C195" t="s">
        <v>155</v>
      </c>
      <c r="D195">
        <v>623000</v>
      </c>
      <c r="E195">
        <v>46000</v>
      </c>
      <c r="F195">
        <v>46000</v>
      </c>
      <c r="G195">
        <v>46000</v>
      </c>
      <c r="H195">
        <v>46000</v>
      </c>
      <c r="I195">
        <v>46000</v>
      </c>
      <c r="J195">
        <v>46000</v>
      </c>
      <c r="K195">
        <v>46000</v>
      </c>
    </row>
    <row r="196" spans="1:11">
      <c r="A196" t="s">
        <v>452</v>
      </c>
      <c r="B196" t="s">
        <v>453</v>
      </c>
      <c r="C196" t="s">
        <v>155</v>
      </c>
      <c r="D196">
        <v>2752600</v>
      </c>
      <c r="E196">
        <v>180000</v>
      </c>
      <c r="F196">
        <v>180000</v>
      </c>
      <c r="G196">
        <v>180000</v>
      </c>
      <c r="H196">
        <v>190000</v>
      </c>
      <c r="I196">
        <v>190000</v>
      </c>
      <c r="J196">
        <v>190000</v>
      </c>
      <c r="K196">
        <v>190000</v>
      </c>
    </row>
    <row r="197" spans="1:11">
      <c r="A197" t="s">
        <v>452</v>
      </c>
      <c r="B197" t="s">
        <v>454</v>
      </c>
      <c r="C197" t="s">
        <v>155</v>
      </c>
      <c r="D197">
        <v>2139390</v>
      </c>
      <c r="E197">
        <v>136000</v>
      </c>
      <c r="F197">
        <v>136000</v>
      </c>
      <c r="G197">
        <v>136000</v>
      </c>
      <c r="H197">
        <v>158000</v>
      </c>
      <c r="I197">
        <v>158000</v>
      </c>
      <c r="J197">
        <v>158000</v>
      </c>
      <c r="K197">
        <v>161000</v>
      </c>
    </row>
    <row r="198" spans="1:11">
      <c r="A198" t="s">
        <v>455</v>
      </c>
      <c r="B198" t="s">
        <v>456</v>
      </c>
      <c r="C198" t="s">
        <v>155</v>
      </c>
      <c r="D198">
        <v>3871457.5</v>
      </c>
      <c r="E198">
        <v>196500</v>
      </c>
      <c r="F198">
        <v>200000</v>
      </c>
      <c r="G198">
        <v>200000</v>
      </c>
      <c r="H198">
        <v>300000</v>
      </c>
      <c r="I198">
        <v>300000</v>
      </c>
      <c r="J198">
        <v>300000</v>
      </c>
      <c r="K198">
        <v>300000</v>
      </c>
    </row>
    <row r="199" spans="1:11">
      <c r="A199" t="s">
        <v>457</v>
      </c>
      <c r="B199" t="s">
        <v>458</v>
      </c>
      <c r="C199" t="s">
        <v>155</v>
      </c>
      <c r="D199">
        <v>10137060</v>
      </c>
      <c r="E199">
        <v>705000</v>
      </c>
      <c r="F199">
        <v>765000</v>
      </c>
      <c r="G199">
        <v>1243000</v>
      </c>
      <c r="H199">
        <v>1243000</v>
      </c>
      <c r="I199">
        <v>1293000</v>
      </c>
      <c r="J199">
        <v>1293000</v>
      </c>
      <c r="K199">
        <v>1293000</v>
      </c>
    </row>
    <row r="200" spans="1:11">
      <c r="A200" t="s">
        <v>459</v>
      </c>
      <c r="B200" t="s">
        <v>155</v>
      </c>
      <c r="C200" t="s">
        <v>155</v>
      </c>
      <c r="D200">
        <v>162500</v>
      </c>
      <c r="F200">
        <v>3000</v>
      </c>
      <c r="G200">
        <v>6000</v>
      </c>
      <c r="J200">
        <v>6000</v>
      </c>
      <c r="K200">
        <v>10000</v>
      </c>
    </row>
    <row r="201" spans="1:11">
      <c r="A201" t="s">
        <v>460</v>
      </c>
      <c r="B201" t="s">
        <v>461</v>
      </c>
      <c r="C201" t="s">
        <v>155</v>
      </c>
      <c r="D201">
        <v>121000</v>
      </c>
      <c r="E201">
        <v>2000</v>
      </c>
      <c r="F201">
        <v>2000</v>
      </c>
      <c r="G201">
        <v>2000</v>
      </c>
      <c r="H201">
        <v>2000</v>
      </c>
      <c r="I201">
        <v>2000</v>
      </c>
      <c r="J201">
        <v>5000</v>
      </c>
      <c r="K201">
        <v>5000</v>
      </c>
    </row>
    <row r="202" spans="1:11">
      <c r="A202" t="s">
        <v>462</v>
      </c>
      <c r="B202" t="s">
        <v>463</v>
      </c>
      <c r="C202" t="s">
        <v>155</v>
      </c>
      <c r="D202">
        <v>138460</v>
      </c>
      <c r="E202">
        <v>2000</v>
      </c>
      <c r="F202">
        <v>3000</v>
      </c>
      <c r="G202">
        <v>3000</v>
      </c>
      <c r="H202">
        <v>3000</v>
      </c>
      <c r="I202">
        <v>4000</v>
      </c>
      <c r="J202">
        <v>4000</v>
      </c>
      <c r="K202">
        <v>4000</v>
      </c>
    </row>
    <row r="203" spans="1:11">
      <c r="A203" t="s">
        <v>464</v>
      </c>
      <c r="B203" t="s">
        <v>155</v>
      </c>
      <c r="C203" t="s">
        <v>155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>
      <c r="A204" t="s">
        <v>465</v>
      </c>
      <c r="B204" t="s">
        <v>466</v>
      </c>
      <c r="C204" t="s">
        <v>155</v>
      </c>
      <c r="D204">
        <v>435600</v>
      </c>
      <c r="E204">
        <v>10000</v>
      </c>
      <c r="F204">
        <v>10000</v>
      </c>
      <c r="G204">
        <v>10000</v>
      </c>
      <c r="H204">
        <v>10000</v>
      </c>
      <c r="I204">
        <v>10000</v>
      </c>
      <c r="J204">
        <v>10000</v>
      </c>
      <c r="K204">
        <v>12000</v>
      </c>
    </row>
    <row r="205" spans="1:11">
      <c r="A205" t="s">
        <v>467</v>
      </c>
      <c r="B205" t="s">
        <v>468</v>
      </c>
      <c r="C205" t="s">
        <v>155</v>
      </c>
      <c r="D205">
        <v>1207200</v>
      </c>
      <c r="E205">
        <v>26000</v>
      </c>
      <c r="F205">
        <v>27000</v>
      </c>
      <c r="G205">
        <v>27000</v>
      </c>
      <c r="H205">
        <v>27000</v>
      </c>
      <c r="I205">
        <v>27000</v>
      </c>
      <c r="J205">
        <v>32000</v>
      </c>
      <c r="K205">
        <v>32000</v>
      </c>
    </row>
    <row r="206" spans="1:11">
      <c r="A206" t="s">
        <v>469</v>
      </c>
      <c r="B206" t="s">
        <v>470</v>
      </c>
      <c r="C206" t="s">
        <v>155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4">
      <c r="A207" t="s">
        <v>471</v>
      </c>
      <c r="B207" t="s">
        <v>472</v>
      </c>
      <c r="C207" t="s">
        <v>155</v>
      </c>
      <c r="D207">
        <v>0</v>
      </c>
    </row>
    <row r="208" spans="1:4">
      <c r="A208" t="s">
        <v>473</v>
      </c>
      <c r="B208" t="s">
        <v>474</v>
      </c>
      <c r="C208" t="s">
        <v>155</v>
      </c>
      <c r="D208">
        <v>0</v>
      </c>
    </row>
    <row r="209" spans="1:4">
      <c r="A209" t="s">
        <v>475</v>
      </c>
      <c r="B209" t="s">
        <v>476</v>
      </c>
      <c r="C209" t="s">
        <v>155</v>
      </c>
      <c r="D209">
        <v>0</v>
      </c>
    </row>
    <row r="210" spans="1:11">
      <c r="A210" t="s">
        <v>477</v>
      </c>
      <c r="B210" t="s">
        <v>478</v>
      </c>
      <c r="C210" t="s">
        <v>155</v>
      </c>
      <c r="D210">
        <v>1260000</v>
      </c>
      <c r="E210">
        <v>1000000</v>
      </c>
      <c r="F210">
        <v>600000</v>
      </c>
      <c r="G210">
        <v>1000000</v>
      </c>
      <c r="H210">
        <v>1200000</v>
      </c>
      <c r="I210">
        <v>2000000</v>
      </c>
      <c r="J210">
        <v>1200000</v>
      </c>
      <c r="K210">
        <v>2000000</v>
      </c>
    </row>
    <row r="211" spans="1:11">
      <c r="A211" t="s">
        <v>477</v>
      </c>
      <c r="B211" t="s">
        <v>479</v>
      </c>
      <c r="C211" t="s">
        <v>155</v>
      </c>
      <c r="D211">
        <v>714000</v>
      </c>
      <c r="E211">
        <v>1000000</v>
      </c>
      <c r="F211">
        <v>600000</v>
      </c>
      <c r="G211">
        <v>600000</v>
      </c>
      <c r="H211">
        <v>1000000</v>
      </c>
      <c r="I211">
        <v>500000</v>
      </c>
      <c r="J211">
        <v>600000</v>
      </c>
      <c r="K211">
        <v>800000</v>
      </c>
    </row>
    <row r="212" spans="1:11">
      <c r="A212" t="s">
        <v>480</v>
      </c>
      <c r="B212" t="s">
        <v>481</v>
      </c>
      <c r="C212" t="s">
        <v>155</v>
      </c>
      <c r="D212">
        <v>2377500</v>
      </c>
      <c r="E212">
        <v>2400000</v>
      </c>
      <c r="F212">
        <v>2200000</v>
      </c>
      <c r="G212">
        <v>2400000</v>
      </c>
      <c r="H212">
        <v>3600000</v>
      </c>
      <c r="I212">
        <v>2100000</v>
      </c>
      <c r="J212">
        <v>2400000</v>
      </c>
      <c r="K212">
        <v>3800000</v>
      </c>
    </row>
    <row r="213" spans="1:11">
      <c r="A213" t="s">
        <v>480</v>
      </c>
      <c r="B213" t="s">
        <v>482</v>
      </c>
      <c r="C213" t="s">
        <v>155</v>
      </c>
      <c r="D213">
        <v>624000</v>
      </c>
      <c r="E213">
        <v>800000</v>
      </c>
      <c r="F213">
        <v>800000</v>
      </c>
      <c r="G213">
        <v>800000</v>
      </c>
      <c r="H213">
        <v>800000</v>
      </c>
      <c r="I213">
        <v>400000</v>
      </c>
      <c r="J213">
        <v>400000</v>
      </c>
      <c r="K213">
        <v>800000</v>
      </c>
    </row>
    <row r="214" spans="1:11">
      <c r="A214" t="s">
        <v>483</v>
      </c>
      <c r="B214" t="s">
        <v>484</v>
      </c>
      <c r="C214" t="s">
        <v>155</v>
      </c>
      <c r="D214">
        <v>432000</v>
      </c>
      <c r="E214">
        <v>400000</v>
      </c>
      <c r="F214">
        <v>0</v>
      </c>
      <c r="G214">
        <v>400000</v>
      </c>
      <c r="H214">
        <v>400000</v>
      </c>
      <c r="I214">
        <v>400000</v>
      </c>
      <c r="J214">
        <v>400000</v>
      </c>
      <c r="K214">
        <v>400000</v>
      </c>
    </row>
    <row r="215" spans="1:11">
      <c r="A215" t="s">
        <v>483</v>
      </c>
      <c r="B215" t="s">
        <v>485</v>
      </c>
      <c r="C215" t="s">
        <v>155</v>
      </c>
      <c r="D215">
        <v>327344.94</v>
      </c>
      <c r="E215">
        <v>900000</v>
      </c>
      <c r="F215">
        <v>118583</v>
      </c>
      <c r="G215">
        <v>0</v>
      </c>
      <c r="H215">
        <v>200000</v>
      </c>
      <c r="I215">
        <v>200000</v>
      </c>
      <c r="J215">
        <v>200000</v>
      </c>
      <c r="K215">
        <v>200000</v>
      </c>
    </row>
    <row r="216" spans="1:11">
      <c r="A216" t="s">
        <v>486</v>
      </c>
      <c r="B216" t="s">
        <v>487</v>
      </c>
      <c r="C216" t="s">
        <v>155</v>
      </c>
      <c r="D216">
        <v>238000</v>
      </c>
      <c r="E216">
        <v>100000</v>
      </c>
      <c r="F216">
        <v>50000</v>
      </c>
      <c r="G216">
        <v>50000</v>
      </c>
      <c r="H216">
        <v>80000</v>
      </c>
      <c r="I216">
        <v>100000</v>
      </c>
      <c r="J216">
        <v>100000</v>
      </c>
      <c r="K216">
        <v>200000</v>
      </c>
    </row>
    <row r="217" spans="1:11">
      <c r="A217" t="s">
        <v>488</v>
      </c>
      <c r="B217" t="s">
        <v>489</v>
      </c>
      <c r="C217" t="s">
        <v>155</v>
      </c>
      <c r="D217">
        <v>550800</v>
      </c>
      <c r="E217">
        <v>200000</v>
      </c>
      <c r="F217">
        <v>160000</v>
      </c>
      <c r="G217">
        <v>180000</v>
      </c>
      <c r="H217">
        <v>500000</v>
      </c>
      <c r="I217">
        <v>600000</v>
      </c>
      <c r="J217">
        <v>600000</v>
      </c>
      <c r="K217">
        <v>1000000</v>
      </c>
    </row>
    <row r="218" spans="1:4">
      <c r="A218" t="s">
        <v>490</v>
      </c>
      <c r="B218" t="s">
        <v>491</v>
      </c>
      <c r="C218" t="s">
        <v>155</v>
      </c>
      <c r="D218">
        <v>0</v>
      </c>
    </row>
    <row r="219" spans="1:11">
      <c r="A219" t="s">
        <v>492</v>
      </c>
      <c r="B219" t="s">
        <v>492</v>
      </c>
      <c r="C219" t="s">
        <v>155</v>
      </c>
      <c r="D219">
        <v>1456875</v>
      </c>
      <c r="E219">
        <v>125</v>
      </c>
      <c r="F219">
        <v>125</v>
      </c>
      <c r="G219">
        <v>125</v>
      </c>
      <c r="H219">
        <v>125</v>
      </c>
      <c r="I219">
        <v>125</v>
      </c>
      <c r="J219">
        <v>125</v>
      </c>
      <c r="K219">
        <v>125</v>
      </c>
    </row>
    <row r="220" spans="1:11">
      <c r="A220" t="s">
        <v>493</v>
      </c>
      <c r="B220" t="s">
        <v>494</v>
      </c>
      <c r="C220" t="s">
        <v>155</v>
      </c>
      <c r="D220">
        <v>42500</v>
      </c>
      <c r="I220">
        <v>15000</v>
      </c>
      <c r="J220">
        <v>15000</v>
      </c>
      <c r="K220">
        <v>20000</v>
      </c>
    </row>
    <row r="221" spans="1:11">
      <c r="A221" t="s">
        <v>495</v>
      </c>
      <c r="B221" t="s">
        <v>496</v>
      </c>
      <c r="C221" t="s">
        <v>155</v>
      </c>
      <c r="D221">
        <v>14500</v>
      </c>
      <c r="I221">
        <v>5000</v>
      </c>
      <c r="J221">
        <v>10000</v>
      </c>
      <c r="K221">
        <v>10000</v>
      </c>
    </row>
    <row r="222" spans="1:11">
      <c r="A222" t="s">
        <v>497</v>
      </c>
      <c r="B222" t="s">
        <v>498</v>
      </c>
      <c r="C222" t="s">
        <v>155</v>
      </c>
      <c r="D222">
        <v>429600</v>
      </c>
      <c r="E222">
        <v>10000</v>
      </c>
      <c r="F222">
        <v>51000</v>
      </c>
      <c r="G222">
        <v>51000</v>
      </c>
      <c r="H222">
        <v>101000</v>
      </c>
      <c r="I222">
        <v>105000</v>
      </c>
      <c r="J222">
        <v>105000</v>
      </c>
      <c r="K222">
        <v>105000</v>
      </c>
    </row>
    <row r="223" spans="1:11">
      <c r="A223" t="s">
        <v>497</v>
      </c>
      <c r="B223" t="s">
        <v>155</v>
      </c>
      <c r="C223" t="s">
        <v>155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</row>
    <row r="224" spans="1:11">
      <c r="A224" t="s">
        <v>499</v>
      </c>
      <c r="B224" t="s">
        <v>500</v>
      </c>
      <c r="C224" t="s">
        <v>155</v>
      </c>
      <c r="D224">
        <v>17400</v>
      </c>
      <c r="I224">
        <v>10000</v>
      </c>
      <c r="J224">
        <v>10000</v>
      </c>
      <c r="K224">
        <v>10000</v>
      </c>
    </row>
    <row r="225" spans="1:11">
      <c r="A225" t="s">
        <v>499</v>
      </c>
      <c r="B225" t="s">
        <v>155</v>
      </c>
      <c r="C225" t="s">
        <v>155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</row>
    <row r="226" spans="1:11">
      <c r="A226" t="s">
        <v>501</v>
      </c>
      <c r="B226" t="s">
        <v>155</v>
      </c>
      <c r="C226" t="s">
        <v>155</v>
      </c>
      <c r="D226">
        <v>6570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3000</v>
      </c>
    </row>
    <row r="227" spans="1:11">
      <c r="A227" t="s">
        <v>502</v>
      </c>
      <c r="B227" t="s">
        <v>155</v>
      </c>
      <c r="C227" t="s">
        <v>155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>
      <c r="A228" t="s">
        <v>503</v>
      </c>
      <c r="B228" t="s">
        <v>504</v>
      </c>
      <c r="C228" t="s">
        <v>155</v>
      </c>
      <c r="D228">
        <v>1029500</v>
      </c>
      <c r="E228">
        <v>0</v>
      </c>
      <c r="F228">
        <v>10000</v>
      </c>
      <c r="G228">
        <v>27000</v>
      </c>
      <c r="H228">
        <v>56000</v>
      </c>
      <c r="I228">
        <v>105000</v>
      </c>
      <c r="J228">
        <v>105000</v>
      </c>
      <c r="K228">
        <v>105000</v>
      </c>
    </row>
    <row r="229" spans="1:11">
      <c r="A229" t="s">
        <v>505</v>
      </c>
      <c r="B229" t="s">
        <v>506</v>
      </c>
      <c r="C229" t="s">
        <v>155</v>
      </c>
      <c r="D229">
        <v>240000</v>
      </c>
      <c r="E229">
        <v>2000</v>
      </c>
      <c r="F229">
        <v>4000</v>
      </c>
      <c r="G229">
        <v>4000</v>
      </c>
      <c r="H229">
        <v>10000</v>
      </c>
      <c r="I229">
        <v>20000</v>
      </c>
      <c r="J229">
        <v>20000</v>
      </c>
      <c r="K229">
        <v>20000</v>
      </c>
    </row>
    <row r="230" spans="1:4">
      <c r="A230" t="s">
        <v>507</v>
      </c>
      <c r="B230" t="s">
        <v>155</v>
      </c>
      <c r="C230" t="s">
        <v>155</v>
      </c>
      <c r="D230">
        <v>0</v>
      </c>
    </row>
    <row r="231" spans="1:4">
      <c r="A231" t="s">
        <v>508</v>
      </c>
      <c r="B231" t="s">
        <v>155</v>
      </c>
      <c r="C231" t="s">
        <v>155</v>
      </c>
      <c r="D231">
        <v>0</v>
      </c>
    </row>
    <row r="232" spans="1:11">
      <c r="A232" t="s">
        <v>509</v>
      </c>
      <c r="B232" t="s">
        <v>509</v>
      </c>
      <c r="C232" t="s">
        <v>155</v>
      </c>
      <c r="D232">
        <v>140800</v>
      </c>
      <c r="E232">
        <v>12000</v>
      </c>
      <c r="F232">
        <v>12000</v>
      </c>
      <c r="G232">
        <v>12000</v>
      </c>
      <c r="H232">
        <v>20000</v>
      </c>
      <c r="I232">
        <v>20000</v>
      </c>
      <c r="J232">
        <v>60000</v>
      </c>
      <c r="K232">
        <v>120000</v>
      </c>
    </row>
    <row r="233" spans="1:4">
      <c r="A233" t="s">
        <v>510</v>
      </c>
      <c r="B233" t="s">
        <v>510</v>
      </c>
      <c r="C233" t="s">
        <v>155</v>
      </c>
      <c r="D233">
        <v>0</v>
      </c>
    </row>
    <row r="234" spans="1:11">
      <c r="A234" t="s">
        <v>511</v>
      </c>
      <c r="B234" t="s">
        <v>155</v>
      </c>
      <c r="C234" t="s">
        <v>155</v>
      </c>
      <c r="D234">
        <v>7800</v>
      </c>
      <c r="I234">
        <v>5000</v>
      </c>
      <c r="J234">
        <v>5000</v>
      </c>
      <c r="K234">
        <v>5000</v>
      </c>
    </row>
    <row r="235" spans="1:6">
      <c r="A235" t="s">
        <v>155</v>
      </c>
      <c r="B235" t="s">
        <v>155</v>
      </c>
      <c r="C235" t="s">
        <v>155</v>
      </c>
      <c r="D235">
        <v>0</v>
      </c>
      <c r="E235">
        <v>0</v>
      </c>
      <c r="F235">
        <v>0</v>
      </c>
    </row>
    <row r="236" spans="1:11">
      <c r="A236" t="s">
        <v>512</v>
      </c>
      <c r="B236" t="s">
        <v>513</v>
      </c>
      <c r="C236" t="s">
        <v>155</v>
      </c>
      <c r="D236">
        <v>480000</v>
      </c>
      <c r="F236">
        <v>10000</v>
      </c>
      <c r="G236">
        <v>30000</v>
      </c>
      <c r="H236">
        <v>30000</v>
      </c>
      <c r="I236">
        <v>30000</v>
      </c>
      <c r="J236">
        <v>30000</v>
      </c>
      <c r="K236">
        <v>30000</v>
      </c>
    </row>
    <row r="237" spans="1:11">
      <c r="A237" t="s">
        <v>514</v>
      </c>
      <c r="B237" t="s">
        <v>515</v>
      </c>
      <c r="C237" t="s">
        <v>155</v>
      </c>
      <c r="D237">
        <v>2640000</v>
      </c>
      <c r="F237">
        <v>130000</v>
      </c>
      <c r="G237">
        <v>150000</v>
      </c>
      <c r="H237">
        <v>150000</v>
      </c>
      <c r="I237">
        <v>150000</v>
      </c>
      <c r="J237">
        <v>150000</v>
      </c>
      <c r="K237">
        <v>150000</v>
      </c>
    </row>
    <row r="238" spans="1:11">
      <c r="A238" t="s">
        <v>516</v>
      </c>
      <c r="B238" t="s">
        <v>517</v>
      </c>
      <c r="C238" t="s">
        <v>155</v>
      </c>
      <c r="D238">
        <v>148000</v>
      </c>
      <c r="E238">
        <v>0</v>
      </c>
      <c r="F238">
        <v>0</v>
      </c>
      <c r="G238">
        <v>0</v>
      </c>
      <c r="H238">
        <v>370000</v>
      </c>
      <c r="I238">
        <v>0</v>
      </c>
      <c r="J238">
        <v>0</v>
      </c>
      <c r="K238">
        <v>370000</v>
      </c>
    </row>
    <row r="239" spans="1:11">
      <c r="A239" t="s">
        <v>518</v>
      </c>
      <c r="D239">
        <v>240923403.648</v>
      </c>
      <c r="E239">
        <v>56491395</v>
      </c>
      <c r="F239">
        <v>54339294</v>
      </c>
      <c r="G239">
        <v>56163561</v>
      </c>
      <c r="H239">
        <v>64619997</v>
      </c>
      <c r="I239">
        <v>79049725</v>
      </c>
      <c r="J239">
        <v>80161505</v>
      </c>
      <c r="K239">
        <v>85924485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H7"/>
  <sheetViews>
    <sheetView workbookViewId="0">
      <selection activeCell="E9" sqref="E9"/>
    </sheetView>
  </sheetViews>
  <sheetFormatPr defaultColWidth="9" defaultRowHeight="16.8" outlineLevelRow="6" outlineLevelCol="7"/>
  <cols>
    <col min="1" max="1" width="9.77678571428571" customWidth="1"/>
    <col min="2" max="3" width="14.1071428571429" customWidth="1"/>
    <col min="4" max="8" width="12.8839285714286" customWidth="1"/>
  </cols>
  <sheetData>
    <row r="3" spans="1:8">
      <c r="A3" t="s">
        <v>519</v>
      </c>
      <c r="B3" t="s">
        <v>520</v>
      </c>
      <c r="C3" t="s">
        <v>521</v>
      </c>
      <c r="D3" t="s">
        <v>522</v>
      </c>
      <c r="E3" t="s">
        <v>523</v>
      </c>
      <c r="F3" t="s">
        <v>524</v>
      </c>
      <c r="G3" t="s">
        <v>525</v>
      </c>
      <c r="H3" t="s">
        <v>526</v>
      </c>
    </row>
    <row r="4" ht="13.2" customHeight="1" spans="1:8">
      <c r="A4" s="23" t="s">
        <v>527</v>
      </c>
      <c r="B4">
        <v>7500767.208</v>
      </c>
      <c r="C4">
        <v>7983800</v>
      </c>
      <c r="D4">
        <v>8143647.1</v>
      </c>
      <c r="E4">
        <v>8840629.1</v>
      </c>
      <c r="F4">
        <v>11205451.1</v>
      </c>
      <c r="G4">
        <v>11512765.5</v>
      </c>
      <c r="H4">
        <v>12367303.9</v>
      </c>
    </row>
    <row r="5" spans="1:8">
      <c r="A5" s="23" t="s">
        <v>92</v>
      </c>
      <c r="B5">
        <v>10465639.9</v>
      </c>
      <c r="C5">
        <v>10112394.1</v>
      </c>
      <c r="D5">
        <v>10171010.6</v>
      </c>
      <c r="E5">
        <v>10663000.2</v>
      </c>
      <c r="F5">
        <v>17634870</v>
      </c>
      <c r="G5">
        <v>17559605</v>
      </c>
      <c r="H5">
        <v>18062500</v>
      </c>
    </row>
    <row r="6" spans="1:8">
      <c r="A6" s="23" t="s">
        <v>72</v>
      </c>
      <c r="B6">
        <v>9284555</v>
      </c>
      <c r="C6">
        <v>9463449.94</v>
      </c>
      <c r="D6">
        <v>11023440</v>
      </c>
      <c r="E6">
        <v>11907011</v>
      </c>
      <c r="F6">
        <v>11766210</v>
      </c>
      <c r="G6">
        <v>12172672</v>
      </c>
      <c r="H6">
        <v>13082682</v>
      </c>
    </row>
    <row r="7" spans="1:8">
      <c r="A7" s="23" t="s">
        <v>518</v>
      </c>
      <c r="B7">
        <v>27250962.108</v>
      </c>
      <c r="C7">
        <v>27559644.04</v>
      </c>
      <c r="D7">
        <v>29338097.7</v>
      </c>
      <c r="E7">
        <v>31410640.3</v>
      </c>
      <c r="F7">
        <v>40606531.1</v>
      </c>
      <c r="G7">
        <v>41245042.5</v>
      </c>
      <c r="H7">
        <v>43512485.9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602"/>
  <sheetViews>
    <sheetView tabSelected="1" workbookViewId="0">
      <pane xSplit="8" ySplit="1" topLeftCell="N2" activePane="bottomRight" state="frozen"/>
      <selection/>
      <selection pane="topRight"/>
      <selection pane="bottomLeft"/>
      <selection pane="bottomRight" activeCell="H5" sqref="H5"/>
    </sheetView>
  </sheetViews>
  <sheetFormatPr defaultColWidth="9" defaultRowHeight="16.8"/>
  <cols>
    <col min="1" max="1" width="5.77678571428571" customWidth="1"/>
    <col min="2" max="2" width="30.5535714285714" customWidth="1"/>
    <col min="3" max="3" width="9.10714285714286" hidden="1" customWidth="1"/>
    <col min="4" max="4" width="25.4375" hidden="1" customWidth="1"/>
    <col min="5" max="5" width="9.10714285714286" hidden="1" customWidth="1"/>
    <col min="6" max="6" width="10.5535714285714" hidden="1" customWidth="1"/>
    <col min="7" max="7" width="22.6607142857143" hidden="1" customWidth="1"/>
    <col min="8" max="8" width="30.7767857142857" style="25" customWidth="1"/>
    <col min="9" max="9" width="8.55357142857143" customWidth="1"/>
    <col min="10" max="10" width="6.55357142857143" customWidth="1"/>
    <col min="11" max="11" width="26.3303571428571" customWidth="1" outlineLevel="1"/>
    <col min="12" max="12" width="23" customWidth="1" outlineLevel="1"/>
    <col min="13" max="13" width="13.1071428571429" customWidth="1" outlineLevel="1"/>
    <col min="14" max="14" width="32.6607142857143" customWidth="1" outlineLevel="1"/>
    <col min="15" max="15" width="16.3303571428571" customWidth="1" outlineLevel="1"/>
    <col min="16" max="16" width="11.6607142857143" customWidth="1" outlineLevel="1"/>
    <col min="17" max="17" width="11.6607142857143" style="26" customWidth="1" outlineLevel="1"/>
    <col min="18" max="18" width="17.1071428571429" customWidth="1" outlineLevel="1"/>
    <col min="19" max="23" width="12.7767857142857" customWidth="1" outlineLevel="1"/>
    <col min="24" max="25" width="11.6607142857143" customWidth="1" outlineLevel="1"/>
    <col min="26" max="32" width="12.7767857142857" customWidth="1"/>
    <col min="33" max="35" width="9" customWidth="1"/>
    <col min="36" max="36" width="9.55357142857143" customWidth="1"/>
    <col min="37" max="37" width="9" customWidth="1"/>
    <col min="38" max="38" width="9.55357142857143" customWidth="1"/>
    <col min="39" max="41" width="9" customWidth="1"/>
    <col min="42" max="44" width="10.1071428571429" customWidth="1"/>
    <col min="45" max="45" width="7.55357142857143" customWidth="1"/>
    <col min="46" max="46" width="7.88392857142857" customWidth="1"/>
    <col min="47" max="47" width="15.2232142857143" customWidth="1"/>
    <col min="48" max="48" width="13.1071428571429" customWidth="1"/>
    <col min="49" max="49" width="14.2232142857143" customWidth="1"/>
    <col min="50" max="50" width="19.3303571428571" customWidth="1"/>
    <col min="51" max="51" width="51.6607142857143" customWidth="1"/>
    <col min="52" max="52" width="37.2232142857143" customWidth="1"/>
    <col min="53" max="53" width="5.77678571428571" customWidth="1"/>
    <col min="54" max="54" width="33.5535714285714" customWidth="1"/>
    <col min="55" max="55" width="10" customWidth="1"/>
    <col min="56" max="56" width="9.55357142857143" customWidth="1"/>
    <col min="57" max="61" width="11.6607142857143" customWidth="1"/>
    <col min="62" max="63" width="10" customWidth="1"/>
    <col min="64" max="65" width="11.6607142857143" customWidth="1"/>
    <col min="66" max="71" width="9.55357142857143" customWidth="1"/>
  </cols>
  <sheetData>
    <row r="1" ht="21" customHeight="1" spans="1:71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34" t="s">
        <v>7</v>
      </c>
      <c r="I1" s="27" t="s">
        <v>8</v>
      </c>
      <c r="J1" s="27" t="s">
        <v>9</v>
      </c>
      <c r="K1" s="27" t="s">
        <v>10</v>
      </c>
      <c r="L1" s="38" t="s">
        <v>11</v>
      </c>
      <c r="M1" s="27" t="s">
        <v>12</v>
      </c>
      <c r="N1" s="27" t="s">
        <v>13</v>
      </c>
      <c r="O1" s="27" t="s">
        <v>14</v>
      </c>
      <c r="P1" s="41" t="s">
        <v>15</v>
      </c>
      <c r="Q1" s="44" t="s">
        <v>16</v>
      </c>
      <c r="R1" s="45" t="s">
        <v>17</v>
      </c>
      <c r="S1" s="46" t="s">
        <v>18</v>
      </c>
      <c r="T1" s="38" t="s">
        <v>19</v>
      </c>
      <c r="U1" s="38" t="s">
        <v>20</v>
      </c>
      <c r="V1" s="38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s="38" t="s">
        <v>26</v>
      </c>
      <c r="AB1" s="38" t="s">
        <v>27</v>
      </c>
      <c r="AC1" s="38" t="s">
        <v>28</v>
      </c>
      <c r="AD1" s="38" t="s">
        <v>29</v>
      </c>
      <c r="AE1" s="38" t="s">
        <v>30</v>
      </c>
      <c r="AF1" s="38" t="s">
        <v>31</v>
      </c>
      <c r="AG1" s="54" t="s">
        <v>32</v>
      </c>
      <c r="AH1" s="54" t="s">
        <v>33</v>
      </c>
      <c r="AI1" s="54" t="s">
        <v>34</v>
      </c>
      <c r="AJ1" s="54" t="s">
        <v>35</v>
      </c>
      <c r="AK1" s="54" t="s">
        <v>36</v>
      </c>
      <c r="AL1" s="54" t="s">
        <v>37</v>
      </c>
      <c r="AM1" s="54" t="s">
        <v>38</v>
      </c>
      <c r="AN1" s="54" t="s">
        <v>39</v>
      </c>
      <c r="AO1" s="54" t="s">
        <v>40</v>
      </c>
      <c r="AP1" s="54" t="s">
        <v>41</v>
      </c>
      <c r="AQ1" s="54" t="s">
        <v>42</v>
      </c>
      <c r="AR1" s="54" t="s">
        <v>43</v>
      </c>
      <c r="AS1" s="27" t="s">
        <v>44</v>
      </c>
      <c r="AT1" s="27" t="s">
        <v>45</v>
      </c>
      <c r="AU1" s="27" t="s">
        <v>46</v>
      </c>
      <c r="AV1" s="54" t="s">
        <v>47</v>
      </c>
      <c r="AW1" s="54" t="s">
        <v>48</v>
      </c>
      <c r="AX1" s="54" t="s">
        <v>49</v>
      </c>
      <c r="AY1" s="54" t="s">
        <v>50</v>
      </c>
      <c r="AZ1" s="27" t="s">
        <v>51</v>
      </c>
      <c r="BA1" s="27" t="s">
        <v>52</v>
      </c>
      <c r="BB1" s="27" t="s">
        <v>53</v>
      </c>
      <c r="BC1" s="56" t="s">
        <v>54</v>
      </c>
      <c r="BD1" s="57" t="s">
        <v>55</v>
      </c>
      <c r="BE1" s="57" t="s">
        <v>56</v>
      </c>
      <c r="BF1" s="57" t="s">
        <v>57</v>
      </c>
      <c r="BG1" s="57" t="s">
        <v>58</v>
      </c>
      <c r="BH1" s="57" t="s">
        <v>59</v>
      </c>
      <c r="BI1" s="57" t="s">
        <v>60</v>
      </c>
      <c r="BJ1" s="61" t="s">
        <v>61</v>
      </c>
      <c r="BK1" s="61" t="s">
        <v>62</v>
      </c>
      <c r="BL1" s="62" t="s">
        <v>63</v>
      </c>
      <c r="BM1" s="62" t="s">
        <v>64</v>
      </c>
      <c r="BN1" s="62" t="s">
        <v>65</v>
      </c>
      <c r="BO1" s="62" t="s">
        <v>66</v>
      </c>
      <c r="BP1" s="62" t="s">
        <v>67</v>
      </c>
      <c r="BQ1" s="62" t="s">
        <v>68</v>
      </c>
      <c r="BR1" s="62" t="s">
        <v>69</v>
      </c>
      <c r="BS1" s="62" t="s">
        <v>70</v>
      </c>
    </row>
    <row r="2" spans="1:71">
      <c r="A2" s="28">
        <f>ROW()-1</f>
        <v>1</v>
      </c>
      <c r="B2" s="29" t="s">
        <v>528</v>
      </c>
      <c r="C2" s="30" t="s">
        <v>72</v>
      </c>
      <c r="D2" s="30" t="s">
        <v>529</v>
      </c>
      <c r="E2" s="30" t="s">
        <v>530</v>
      </c>
      <c r="F2" s="30" t="s">
        <v>531</v>
      </c>
      <c r="G2" s="30" t="s">
        <v>371</v>
      </c>
      <c r="H2" s="35" t="s">
        <v>372</v>
      </c>
      <c r="I2" s="30"/>
      <c r="J2" s="30"/>
      <c r="K2" s="30"/>
      <c r="L2" s="39"/>
      <c r="M2" s="30" t="s">
        <v>103</v>
      </c>
      <c r="N2" s="31"/>
      <c r="O2" s="30"/>
      <c r="P2" s="42"/>
      <c r="Q2" s="42">
        <v>2.1</v>
      </c>
      <c r="R2" s="47">
        <f>Q2*T2</f>
        <v>73500</v>
      </c>
      <c r="S2" s="48">
        <v>84000</v>
      </c>
      <c r="T2" s="48">
        <f>SUM(Z2:AF2)</f>
        <v>35000</v>
      </c>
      <c r="U2" s="39"/>
      <c r="V2" s="39"/>
      <c r="W2" s="39">
        <v>5000</v>
      </c>
      <c r="X2" s="39">
        <v>5000</v>
      </c>
      <c r="Y2" s="39">
        <v>5000</v>
      </c>
      <c r="Z2" s="39">
        <v>5000</v>
      </c>
      <c r="AA2" s="39">
        <v>5000</v>
      </c>
      <c r="AB2" s="39">
        <v>5000</v>
      </c>
      <c r="AC2" s="39">
        <v>5000</v>
      </c>
      <c r="AD2" s="39">
        <v>5000</v>
      </c>
      <c r="AE2" s="39">
        <v>5000</v>
      </c>
      <c r="AF2" s="39">
        <v>5000</v>
      </c>
      <c r="AG2" s="39">
        <v>0</v>
      </c>
      <c r="AH2" s="39">
        <v>0</v>
      </c>
      <c r="AI2" s="39">
        <v>0</v>
      </c>
      <c r="AJ2" s="39">
        <v>0</v>
      </c>
      <c r="AK2" s="39">
        <v>0</v>
      </c>
      <c r="AL2" s="39">
        <v>0</v>
      </c>
      <c r="AM2" s="39">
        <v>0</v>
      </c>
      <c r="AN2" s="39"/>
      <c r="AO2" s="39"/>
      <c r="AP2" s="39"/>
      <c r="AQ2" s="39"/>
      <c r="AR2" s="39"/>
      <c r="AS2" s="30"/>
      <c r="AT2" s="30" t="s">
        <v>105</v>
      </c>
      <c r="AU2" s="30" t="s">
        <v>532</v>
      </c>
      <c r="AV2" s="29" t="s">
        <v>117</v>
      </c>
      <c r="AW2" s="30" t="s">
        <v>533</v>
      </c>
      <c r="AX2" s="30" t="s">
        <v>534</v>
      </c>
      <c r="AY2" s="30" t="s">
        <v>535</v>
      </c>
      <c r="AZ2" s="30"/>
      <c r="BA2" s="30"/>
      <c r="BB2" s="30"/>
      <c r="BC2" s="58"/>
      <c r="BD2" s="55"/>
      <c r="BE2" s="55"/>
      <c r="BF2" s="55"/>
      <c r="BG2" s="55"/>
      <c r="BH2" s="55"/>
      <c r="BI2" s="55"/>
      <c r="BJ2" s="59"/>
      <c r="BK2" s="39"/>
      <c r="BL2" s="63">
        <f>$Q2*Y2</f>
        <v>10500</v>
      </c>
      <c r="BM2" s="63">
        <f>$Q2*Z2</f>
        <v>10500</v>
      </c>
      <c r="BN2" s="63">
        <f t="shared" ref="BN2" si="0">$Q2*AA2</f>
        <v>10500</v>
      </c>
      <c r="BO2" s="63">
        <f t="shared" ref="BO2" si="1">$Q2*AB2</f>
        <v>10500</v>
      </c>
      <c r="BP2" s="63">
        <f t="shared" ref="BP2" si="2">$Q2*AC2</f>
        <v>10500</v>
      </c>
      <c r="BQ2" s="63">
        <f t="shared" ref="BQ2" si="3">$Q2*AD2</f>
        <v>10500</v>
      </c>
      <c r="BR2" s="63">
        <f t="shared" ref="BR2" si="4">$Q2*AE2</f>
        <v>10500</v>
      </c>
      <c r="BS2" s="63">
        <f t="shared" ref="BS2" si="5">$Q2*AF2</f>
        <v>10500</v>
      </c>
    </row>
    <row r="3" spans="1:71">
      <c r="A3" s="28">
        <f t="shared" ref="A3:A66" si="6">ROW()-1</f>
        <v>2</v>
      </c>
      <c r="B3" s="29" t="s">
        <v>528</v>
      </c>
      <c r="C3" s="30" t="s">
        <v>72</v>
      </c>
      <c r="D3" s="30" t="s">
        <v>529</v>
      </c>
      <c r="E3" s="30" t="s">
        <v>530</v>
      </c>
      <c r="F3" s="30" t="s">
        <v>531</v>
      </c>
      <c r="G3" s="32" t="s">
        <v>375</v>
      </c>
      <c r="H3" s="35" t="s">
        <v>376</v>
      </c>
      <c r="I3" s="32"/>
      <c r="J3" s="32"/>
      <c r="K3" s="30" t="s">
        <v>536</v>
      </c>
      <c r="L3" s="39">
        <v>500000</v>
      </c>
      <c r="M3" s="30" t="s">
        <v>57</v>
      </c>
      <c r="N3" s="31"/>
      <c r="O3" s="30"/>
      <c r="P3" s="42"/>
      <c r="Q3" s="42">
        <v>2.1</v>
      </c>
      <c r="R3" s="47">
        <f t="shared" ref="R3:R66" si="7">Q3*T3</f>
        <v>1144500</v>
      </c>
      <c r="S3" s="48">
        <v>0</v>
      </c>
      <c r="T3" s="48">
        <f t="shared" ref="T3:T66" si="8">SUM(Z3:AF3)</f>
        <v>545000</v>
      </c>
      <c r="U3" s="39"/>
      <c r="V3" s="39"/>
      <c r="W3" s="39"/>
      <c r="X3" s="39">
        <v>10000</v>
      </c>
      <c r="Y3" s="39">
        <v>25000</v>
      </c>
      <c r="Z3" s="39">
        <v>75000</v>
      </c>
      <c r="AA3" s="39">
        <v>75000</v>
      </c>
      <c r="AB3" s="39">
        <v>75000</v>
      </c>
      <c r="AC3" s="39">
        <v>80000</v>
      </c>
      <c r="AD3" s="39">
        <v>80000</v>
      </c>
      <c r="AE3" s="39">
        <v>80000</v>
      </c>
      <c r="AF3" s="39">
        <v>80000</v>
      </c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0"/>
      <c r="AT3" s="30" t="s">
        <v>105</v>
      </c>
      <c r="AU3" s="30" t="s">
        <v>532</v>
      </c>
      <c r="AV3" s="29" t="s">
        <v>117</v>
      </c>
      <c r="AW3" s="30" t="s">
        <v>533</v>
      </c>
      <c r="AX3" s="30" t="s">
        <v>534</v>
      </c>
      <c r="AY3" s="30" t="s">
        <v>535</v>
      </c>
      <c r="AZ3" s="30"/>
      <c r="BA3" s="30"/>
      <c r="BB3" s="30"/>
      <c r="BC3" s="58"/>
      <c r="BD3" s="55"/>
      <c r="BE3" s="55"/>
      <c r="BF3" s="55"/>
      <c r="BG3" s="55"/>
      <c r="BH3" s="55"/>
      <c r="BI3" s="55"/>
      <c r="BJ3" s="59"/>
      <c r="BK3" s="39"/>
      <c r="BL3" s="63">
        <f t="shared" ref="BL3:BL47" si="9">$Q3*Y3</f>
        <v>52500</v>
      </c>
      <c r="BM3" s="63">
        <f t="shared" ref="BM3:BM66" si="10">$Q3*Z3</f>
        <v>157500</v>
      </c>
      <c r="BN3" s="63">
        <f t="shared" ref="BN3:BN66" si="11">$Q3*AA3</f>
        <v>157500</v>
      </c>
      <c r="BO3" s="63">
        <f t="shared" ref="BO3:BO66" si="12">$Q3*AB3</f>
        <v>157500</v>
      </c>
      <c r="BP3" s="63">
        <f t="shared" ref="BP3:BP66" si="13">$Q3*AC3</f>
        <v>168000</v>
      </c>
      <c r="BQ3" s="63">
        <f t="shared" ref="BQ3:BQ66" si="14">$Q3*AD3</f>
        <v>168000</v>
      </c>
      <c r="BR3" s="63">
        <f t="shared" ref="BR3:BR66" si="15">$Q3*AE3</f>
        <v>168000</v>
      </c>
      <c r="BS3" s="63">
        <f t="shared" ref="BS3:BS66" si="16">$Q3*AF3</f>
        <v>168000</v>
      </c>
    </row>
    <row r="4" spans="1:71">
      <c r="A4" s="28">
        <f t="shared" si="6"/>
        <v>3</v>
      </c>
      <c r="B4" s="29" t="s">
        <v>537</v>
      </c>
      <c r="C4" s="30" t="s">
        <v>72</v>
      </c>
      <c r="D4" s="30" t="s">
        <v>538</v>
      </c>
      <c r="E4" s="30" t="s">
        <v>539</v>
      </c>
      <c r="F4" s="30" t="s">
        <v>540</v>
      </c>
      <c r="G4" s="30" t="s">
        <v>360</v>
      </c>
      <c r="H4" s="35" t="s">
        <v>361</v>
      </c>
      <c r="I4" s="30"/>
      <c r="J4" s="30"/>
      <c r="K4" s="30"/>
      <c r="L4" s="39"/>
      <c r="M4" s="30" t="s">
        <v>103</v>
      </c>
      <c r="N4" s="31"/>
      <c r="O4" s="30"/>
      <c r="P4" s="42"/>
      <c r="Q4" s="42">
        <v>1</v>
      </c>
      <c r="R4" s="47">
        <f t="shared" si="7"/>
        <v>140000</v>
      </c>
      <c r="S4" s="48">
        <v>160000</v>
      </c>
      <c r="T4" s="48">
        <f t="shared" si="8"/>
        <v>140000</v>
      </c>
      <c r="U4" s="39">
        <v>10000</v>
      </c>
      <c r="V4" s="39"/>
      <c r="W4" s="39">
        <v>20000</v>
      </c>
      <c r="X4" s="39">
        <v>20000</v>
      </c>
      <c r="Y4" s="39">
        <v>20000</v>
      </c>
      <c r="Z4" s="39">
        <v>20000</v>
      </c>
      <c r="AA4" s="39">
        <v>20000</v>
      </c>
      <c r="AB4" s="39">
        <v>20000</v>
      </c>
      <c r="AC4" s="39">
        <v>20000</v>
      </c>
      <c r="AD4" s="39">
        <v>20000</v>
      </c>
      <c r="AE4" s="39">
        <v>20000</v>
      </c>
      <c r="AF4" s="39">
        <v>20000</v>
      </c>
      <c r="AG4" s="39">
        <v>0</v>
      </c>
      <c r="AH4" s="39">
        <v>0</v>
      </c>
      <c r="AI4" s="39">
        <v>93498</v>
      </c>
      <c r="AJ4" s="39">
        <v>147000</v>
      </c>
      <c r="AK4" s="39">
        <v>46999</v>
      </c>
      <c r="AL4" s="39">
        <v>121478</v>
      </c>
      <c r="AM4" s="39">
        <v>11000</v>
      </c>
      <c r="AN4" s="39"/>
      <c r="AO4" s="39"/>
      <c r="AP4" s="39"/>
      <c r="AQ4" s="39"/>
      <c r="AR4" s="39"/>
      <c r="AS4" s="30"/>
      <c r="AT4" s="30" t="s">
        <v>105</v>
      </c>
      <c r="AU4" s="30" t="s">
        <v>532</v>
      </c>
      <c r="AV4" s="29" t="s">
        <v>117</v>
      </c>
      <c r="AW4" s="30"/>
      <c r="AX4" s="30"/>
      <c r="AY4" s="30"/>
      <c r="AZ4" s="30"/>
      <c r="BA4" s="30"/>
      <c r="BB4" s="30"/>
      <c r="BC4" s="58"/>
      <c r="BD4" s="55"/>
      <c r="BE4" s="55"/>
      <c r="BF4" s="55"/>
      <c r="BG4" s="55"/>
      <c r="BH4" s="55"/>
      <c r="BI4" s="55"/>
      <c r="BJ4" s="59"/>
      <c r="BK4" s="39"/>
      <c r="BL4" s="63">
        <f t="shared" si="9"/>
        <v>20000</v>
      </c>
      <c r="BM4" s="63">
        <f t="shared" si="10"/>
        <v>20000</v>
      </c>
      <c r="BN4" s="63">
        <f t="shared" si="11"/>
        <v>20000</v>
      </c>
      <c r="BO4" s="63">
        <f t="shared" si="12"/>
        <v>20000</v>
      </c>
      <c r="BP4" s="63">
        <f t="shared" si="13"/>
        <v>20000</v>
      </c>
      <c r="BQ4" s="63">
        <f t="shared" si="14"/>
        <v>20000</v>
      </c>
      <c r="BR4" s="63">
        <f t="shared" si="15"/>
        <v>20000</v>
      </c>
      <c r="BS4" s="63">
        <f t="shared" si="16"/>
        <v>20000</v>
      </c>
    </row>
    <row r="5" spans="1:71">
      <c r="A5" s="28">
        <f t="shared" si="6"/>
        <v>4</v>
      </c>
      <c r="B5" s="29" t="s">
        <v>541</v>
      </c>
      <c r="C5" s="30" t="s">
        <v>72</v>
      </c>
      <c r="D5" s="30" t="s">
        <v>542</v>
      </c>
      <c r="E5" s="30" t="s">
        <v>539</v>
      </c>
      <c r="F5" s="30"/>
      <c r="G5" s="30" t="s">
        <v>490</v>
      </c>
      <c r="H5" s="35" t="s">
        <v>491</v>
      </c>
      <c r="I5" s="30"/>
      <c r="J5" s="30"/>
      <c r="K5" s="30"/>
      <c r="L5" s="39"/>
      <c r="M5" s="30" t="s">
        <v>103</v>
      </c>
      <c r="N5" s="31"/>
      <c r="O5" s="30"/>
      <c r="P5" s="42"/>
      <c r="Q5" s="42">
        <v>4</v>
      </c>
      <c r="R5" s="47">
        <f t="shared" si="7"/>
        <v>0</v>
      </c>
      <c r="S5" s="48">
        <v>0</v>
      </c>
      <c r="T5" s="48">
        <f t="shared" si="8"/>
        <v>0</v>
      </c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>
        <v>0</v>
      </c>
      <c r="AH5" s="39">
        <v>0</v>
      </c>
      <c r="AI5" s="39">
        <v>0</v>
      </c>
      <c r="AJ5" s="39">
        <v>0</v>
      </c>
      <c r="AK5" s="39">
        <v>0</v>
      </c>
      <c r="AL5" s="39">
        <v>0</v>
      </c>
      <c r="AM5" s="39">
        <v>0</v>
      </c>
      <c r="AN5" s="39"/>
      <c r="AO5" s="39"/>
      <c r="AP5" s="39"/>
      <c r="AQ5" s="39"/>
      <c r="AR5" s="39"/>
      <c r="AS5" s="30"/>
      <c r="AT5" s="30" t="s">
        <v>105</v>
      </c>
      <c r="AU5" s="30"/>
      <c r="AV5" s="29" t="s">
        <v>117</v>
      </c>
      <c r="AW5" s="30"/>
      <c r="AX5" s="30"/>
      <c r="AY5" s="30"/>
      <c r="AZ5" s="30"/>
      <c r="BA5" s="30"/>
      <c r="BB5" s="30"/>
      <c r="BC5" s="58"/>
      <c r="BD5" s="55"/>
      <c r="BE5" s="55"/>
      <c r="BF5" s="55"/>
      <c r="BG5" s="55"/>
      <c r="BH5" s="55"/>
      <c r="BI5" s="55"/>
      <c r="BJ5" s="59"/>
      <c r="BK5" s="39"/>
      <c r="BL5" s="63">
        <f t="shared" si="9"/>
        <v>0</v>
      </c>
      <c r="BM5" s="63">
        <f t="shared" si="10"/>
        <v>0</v>
      </c>
      <c r="BN5" s="63">
        <f t="shared" si="11"/>
        <v>0</v>
      </c>
      <c r="BO5" s="63">
        <f t="shared" si="12"/>
        <v>0</v>
      </c>
      <c r="BP5" s="63">
        <f t="shared" si="13"/>
        <v>0</v>
      </c>
      <c r="BQ5" s="63">
        <f t="shared" si="14"/>
        <v>0</v>
      </c>
      <c r="BR5" s="63">
        <f t="shared" si="15"/>
        <v>0</v>
      </c>
      <c r="BS5" s="63">
        <f t="shared" si="16"/>
        <v>0</v>
      </c>
    </row>
    <row r="6" spans="1:71">
      <c r="A6" s="28">
        <f t="shared" si="6"/>
        <v>5</v>
      </c>
      <c r="B6" s="29" t="s">
        <v>543</v>
      </c>
      <c r="C6" s="30" t="s">
        <v>72</v>
      </c>
      <c r="D6" s="30"/>
      <c r="E6" s="30" t="s">
        <v>539</v>
      </c>
      <c r="F6" s="30"/>
      <c r="G6" s="30" t="s">
        <v>415</v>
      </c>
      <c r="H6" s="35" t="s">
        <v>416</v>
      </c>
      <c r="I6" s="30"/>
      <c r="J6" s="30"/>
      <c r="K6" s="30" t="s">
        <v>544</v>
      </c>
      <c r="L6" s="39"/>
      <c r="M6" s="30" t="s">
        <v>57</v>
      </c>
      <c r="N6" s="31"/>
      <c r="O6" s="30"/>
      <c r="P6" s="42"/>
      <c r="Q6" s="42"/>
      <c r="R6" s="47">
        <f t="shared" si="7"/>
        <v>0</v>
      </c>
      <c r="S6" s="48">
        <v>0</v>
      </c>
      <c r="T6" s="48">
        <f t="shared" si="8"/>
        <v>0</v>
      </c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0"/>
      <c r="AT6" s="30" t="s">
        <v>105</v>
      </c>
      <c r="AU6" s="30" t="s">
        <v>545</v>
      </c>
      <c r="AV6" s="29" t="s">
        <v>117</v>
      </c>
      <c r="AW6" s="30" t="s">
        <v>546</v>
      </c>
      <c r="AX6" s="30" t="s">
        <v>547</v>
      </c>
      <c r="AY6" s="30" t="s">
        <v>548</v>
      </c>
      <c r="AZ6" s="30"/>
      <c r="BA6" s="30"/>
      <c r="BB6" s="30"/>
      <c r="BC6" s="58"/>
      <c r="BD6" s="55"/>
      <c r="BE6" s="55"/>
      <c r="BF6" s="55"/>
      <c r="BG6" s="55"/>
      <c r="BH6" s="55"/>
      <c r="BI6" s="55"/>
      <c r="BJ6" s="59"/>
      <c r="BK6" s="39"/>
      <c r="BL6" s="63">
        <f t="shared" si="9"/>
        <v>0</v>
      </c>
      <c r="BM6" s="63">
        <f t="shared" si="10"/>
        <v>0</v>
      </c>
      <c r="BN6" s="63">
        <f t="shared" si="11"/>
        <v>0</v>
      </c>
      <c r="BO6" s="63">
        <f t="shared" si="12"/>
        <v>0</v>
      </c>
      <c r="BP6" s="63">
        <f t="shared" si="13"/>
        <v>0</v>
      </c>
      <c r="BQ6" s="63">
        <f t="shared" si="14"/>
        <v>0</v>
      </c>
      <c r="BR6" s="63">
        <f t="shared" si="15"/>
        <v>0</v>
      </c>
      <c r="BS6" s="63">
        <f t="shared" si="16"/>
        <v>0</v>
      </c>
    </row>
    <row r="7" spans="1:71">
      <c r="A7" s="28">
        <f t="shared" si="6"/>
        <v>6</v>
      </c>
      <c r="B7" s="29" t="s">
        <v>549</v>
      </c>
      <c r="C7" s="30" t="s">
        <v>72</v>
      </c>
      <c r="D7" s="30"/>
      <c r="E7" s="30" t="s">
        <v>539</v>
      </c>
      <c r="F7" s="30"/>
      <c r="G7" s="30" t="s">
        <v>299</v>
      </c>
      <c r="H7" s="35" t="s">
        <v>300</v>
      </c>
      <c r="I7" s="30"/>
      <c r="J7" s="30"/>
      <c r="K7" s="30" t="s">
        <v>550</v>
      </c>
      <c r="L7" s="39">
        <v>1000000</v>
      </c>
      <c r="M7" s="30" t="s">
        <v>57</v>
      </c>
      <c r="N7" s="31"/>
      <c r="O7" s="30" t="s">
        <v>551</v>
      </c>
      <c r="P7" s="42"/>
      <c r="Q7" s="42"/>
      <c r="R7" s="47">
        <f t="shared" si="7"/>
        <v>0</v>
      </c>
      <c r="S7" s="48">
        <v>0</v>
      </c>
      <c r="T7" s="48">
        <f t="shared" si="8"/>
        <v>0</v>
      </c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0" t="s">
        <v>552</v>
      </c>
      <c r="AT7" s="30" t="s">
        <v>105</v>
      </c>
      <c r="AU7" s="30" t="s">
        <v>81</v>
      </c>
      <c r="AV7" s="29" t="s">
        <v>117</v>
      </c>
      <c r="AW7" s="30" t="s">
        <v>553</v>
      </c>
      <c r="AX7" s="30" t="s">
        <v>554</v>
      </c>
      <c r="AY7" s="30" t="s">
        <v>555</v>
      </c>
      <c r="AZ7" s="30"/>
      <c r="BA7" s="30"/>
      <c r="BB7" s="30"/>
      <c r="BC7" s="58"/>
      <c r="BD7" s="55"/>
      <c r="BE7" s="55"/>
      <c r="BF7" s="55"/>
      <c r="BG7" s="55"/>
      <c r="BH7" s="55"/>
      <c r="BI7" s="55"/>
      <c r="BJ7" s="59"/>
      <c r="BK7" s="39"/>
      <c r="BL7" s="63">
        <f t="shared" si="9"/>
        <v>0</v>
      </c>
      <c r="BM7" s="63">
        <f t="shared" si="10"/>
        <v>0</v>
      </c>
      <c r="BN7" s="63">
        <f t="shared" si="11"/>
        <v>0</v>
      </c>
      <c r="BO7" s="63">
        <f t="shared" si="12"/>
        <v>0</v>
      </c>
      <c r="BP7" s="63">
        <f t="shared" si="13"/>
        <v>0</v>
      </c>
      <c r="BQ7" s="63">
        <f t="shared" si="14"/>
        <v>0</v>
      </c>
      <c r="BR7" s="63">
        <f t="shared" si="15"/>
        <v>0</v>
      </c>
      <c r="BS7" s="63">
        <f t="shared" si="16"/>
        <v>0</v>
      </c>
    </row>
    <row r="8" spans="1:71">
      <c r="A8" s="28">
        <f t="shared" si="6"/>
        <v>7</v>
      </c>
      <c r="B8" s="29" t="s">
        <v>556</v>
      </c>
      <c r="C8" s="30" t="s">
        <v>72</v>
      </c>
      <c r="D8" s="30" t="s">
        <v>557</v>
      </c>
      <c r="E8" s="30" t="s">
        <v>539</v>
      </c>
      <c r="F8" s="30" t="s">
        <v>558</v>
      </c>
      <c r="G8" s="30" t="s">
        <v>297</v>
      </c>
      <c r="H8" s="35" t="s">
        <v>298</v>
      </c>
      <c r="I8" s="30"/>
      <c r="J8" s="30"/>
      <c r="K8" s="30" t="s">
        <v>559</v>
      </c>
      <c r="L8" s="39">
        <v>500000</v>
      </c>
      <c r="M8" s="30" t="s">
        <v>560</v>
      </c>
      <c r="N8" s="31"/>
      <c r="O8" s="30" t="s">
        <v>89</v>
      </c>
      <c r="P8" s="42"/>
      <c r="Q8" s="42">
        <v>0.58</v>
      </c>
      <c r="R8" s="47">
        <f t="shared" si="7"/>
        <v>0</v>
      </c>
      <c r="S8" s="48">
        <v>0</v>
      </c>
      <c r="T8" s="48">
        <f t="shared" si="8"/>
        <v>0</v>
      </c>
      <c r="U8" s="39"/>
      <c r="V8" s="39">
        <v>1000</v>
      </c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>
        <v>0</v>
      </c>
      <c r="AH8" s="39">
        <v>0</v>
      </c>
      <c r="AI8" s="39">
        <v>0</v>
      </c>
      <c r="AJ8" s="39">
        <v>0</v>
      </c>
      <c r="AK8" s="39">
        <v>250</v>
      </c>
      <c r="AL8" s="39">
        <v>0</v>
      </c>
      <c r="AM8" s="39">
        <v>0</v>
      </c>
      <c r="AN8" s="39"/>
      <c r="AO8" s="39"/>
      <c r="AP8" s="39"/>
      <c r="AQ8" s="39"/>
      <c r="AR8" s="39"/>
      <c r="AS8" s="30" t="s">
        <v>552</v>
      </c>
      <c r="AT8" s="30" t="s">
        <v>105</v>
      </c>
      <c r="AU8" s="30" t="s">
        <v>81</v>
      </c>
      <c r="AV8" s="29" t="s">
        <v>117</v>
      </c>
      <c r="AW8" s="30" t="s">
        <v>143</v>
      </c>
      <c r="AX8" s="30" t="s">
        <v>561</v>
      </c>
      <c r="AY8" s="30"/>
      <c r="AZ8" s="30" t="s">
        <v>562</v>
      </c>
      <c r="BA8" s="30"/>
      <c r="BB8" s="30"/>
      <c r="BC8" s="58">
        <v>0</v>
      </c>
      <c r="BD8" s="55"/>
      <c r="BE8" s="55"/>
      <c r="BF8" s="55"/>
      <c r="BG8" s="55"/>
      <c r="BH8" s="55"/>
      <c r="BI8" s="55"/>
      <c r="BJ8" s="59"/>
      <c r="BK8" s="39"/>
      <c r="BL8" s="63">
        <f t="shared" si="9"/>
        <v>0</v>
      </c>
      <c r="BM8" s="63">
        <f t="shared" si="10"/>
        <v>0</v>
      </c>
      <c r="BN8" s="63">
        <f t="shared" si="11"/>
        <v>0</v>
      </c>
      <c r="BO8" s="63">
        <f t="shared" si="12"/>
        <v>0</v>
      </c>
      <c r="BP8" s="63">
        <f t="shared" si="13"/>
        <v>0</v>
      </c>
      <c r="BQ8" s="63">
        <f t="shared" si="14"/>
        <v>0</v>
      </c>
      <c r="BR8" s="63">
        <f t="shared" si="15"/>
        <v>0</v>
      </c>
      <c r="BS8" s="63">
        <f t="shared" si="16"/>
        <v>0</v>
      </c>
    </row>
    <row r="9" spans="1:71">
      <c r="A9" s="28">
        <f t="shared" si="6"/>
        <v>8</v>
      </c>
      <c r="B9" s="29" t="s">
        <v>563</v>
      </c>
      <c r="C9" s="30" t="s">
        <v>72</v>
      </c>
      <c r="D9" s="30" t="s">
        <v>564</v>
      </c>
      <c r="E9" s="30" t="s">
        <v>539</v>
      </c>
      <c r="F9" s="30" t="s">
        <v>565</v>
      </c>
      <c r="G9" s="30" t="s">
        <v>261</v>
      </c>
      <c r="H9" s="35" t="s">
        <v>262</v>
      </c>
      <c r="I9" s="30"/>
      <c r="J9" s="30"/>
      <c r="K9" s="30" t="s">
        <v>566</v>
      </c>
      <c r="L9" s="39">
        <v>10000000</v>
      </c>
      <c r="M9" s="30" t="s">
        <v>560</v>
      </c>
      <c r="N9" s="31"/>
      <c r="O9" s="30" t="s">
        <v>567</v>
      </c>
      <c r="P9" s="42">
        <v>0.3</v>
      </c>
      <c r="Q9" s="42">
        <v>0.2</v>
      </c>
      <c r="R9" s="47">
        <f t="shared" si="7"/>
        <v>8000</v>
      </c>
      <c r="S9" s="48">
        <v>8000</v>
      </c>
      <c r="T9" s="48">
        <f t="shared" si="8"/>
        <v>40000</v>
      </c>
      <c r="U9" s="39"/>
      <c r="V9" s="39"/>
      <c r="W9" s="39"/>
      <c r="X9" s="39"/>
      <c r="Y9" s="39"/>
      <c r="Z9" s="39"/>
      <c r="AA9" s="39"/>
      <c r="AB9" s="39"/>
      <c r="AC9" s="39">
        <v>10000</v>
      </c>
      <c r="AD9" s="39">
        <v>10000</v>
      </c>
      <c r="AE9" s="39">
        <v>10000</v>
      </c>
      <c r="AF9" s="39">
        <v>10000</v>
      </c>
      <c r="AG9" s="39">
        <v>0</v>
      </c>
      <c r="AH9" s="39">
        <v>0</v>
      </c>
      <c r="AI9" s="39">
        <v>0</v>
      </c>
      <c r="AJ9" s="39">
        <v>0</v>
      </c>
      <c r="AK9" s="39">
        <v>0</v>
      </c>
      <c r="AL9" s="39">
        <v>0</v>
      </c>
      <c r="AM9" s="39">
        <v>0</v>
      </c>
      <c r="AN9" s="39"/>
      <c r="AO9" s="39"/>
      <c r="AP9" s="39"/>
      <c r="AQ9" s="39"/>
      <c r="AR9" s="39"/>
      <c r="AS9" s="30" t="s">
        <v>99</v>
      </c>
      <c r="AT9" s="30" t="s">
        <v>105</v>
      </c>
      <c r="AU9" s="30" t="s">
        <v>81</v>
      </c>
      <c r="AV9" s="29" t="s">
        <v>117</v>
      </c>
      <c r="AW9" s="30" t="s">
        <v>553</v>
      </c>
      <c r="AX9" s="30" t="s">
        <v>554</v>
      </c>
      <c r="AY9" s="30" t="s">
        <v>568</v>
      </c>
      <c r="AZ9" s="30"/>
      <c r="BA9" s="30"/>
      <c r="BB9" s="30"/>
      <c r="BC9" s="58">
        <v>0</v>
      </c>
      <c r="BD9" s="55"/>
      <c r="BE9" s="55"/>
      <c r="BF9" s="55"/>
      <c r="BG9" s="55"/>
      <c r="BH9" s="55"/>
      <c r="BI9" s="55"/>
      <c r="BJ9" s="59"/>
      <c r="BK9" s="39"/>
      <c r="BL9" s="63">
        <f t="shared" si="9"/>
        <v>0</v>
      </c>
      <c r="BM9" s="63">
        <f t="shared" si="10"/>
        <v>0</v>
      </c>
      <c r="BN9" s="63">
        <f t="shared" si="11"/>
        <v>0</v>
      </c>
      <c r="BO9" s="63">
        <f t="shared" si="12"/>
        <v>0</v>
      </c>
      <c r="BP9" s="63">
        <f t="shared" si="13"/>
        <v>2000</v>
      </c>
      <c r="BQ9" s="63">
        <f t="shared" si="14"/>
        <v>2000</v>
      </c>
      <c r="BR9" s="63">
        <f t="shared" si="15"/>
        <v>2000</v>
      </c>
      <c r="BS9" s="63">
        <f t="shared" si="16"/>
        <v>2000</v>
      </c>
    </row>
    <row r="10" spans="1:71">
      <c r="A10" s="28">
        <f t="shared" si="6"/>
        <v>9</v>
      </c>
      <c r="B10" s="29" t="s">
        <v>563</v>
      </c>
      <c r="C10" s="30" t="s">
        <v>72</v>
      </c>
      <c r="D10" s="30" t="s">
        <v>564</v>
      </c>
      <c r="E10" s="30" t="s">
        <v>539</v>
      </c>
      <c r="F10" s="30" t="s">
        <v>565</v>
      </c>
      <c r="G10" s="30" t="s">
        <v>509</v>
      </c>
      <c r="H10" s="35" t="s">
        <v>509</v>
      </c>
      <c r="I10" s="30"/>
      <c r="J10" s="30"/>
      <c r="K10" s="30" t="s">
        <v>566</v>
      </c>
      <c r="L10" s="39">
        <v>10000000</v>
      </c>
      <c r="M10" s="30" t="s">
        <v>569</v>
      </c>
      <c r="N10" s="31" t="s">
        <v>570</v>
      </c>
      <c r="O10" s="30" t="s">
        <v>571</v>
      </c>
      <c r="P10" s="42"/>
      <c r="Q10" s="42">
        <v>0</v>
      </c>
      <c r="R10" s="47">
        <f t="shared" si="7"/>
        <v>0</v>
      </c>
      <c r="S10" s="48">
        <v>0</v>
      </c>
      <c r="T10" s="48">
        <f t="shared" si="8"/>
        <v>0</v>
      </c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>
        <v>0</v>
      </c>
      <c r="AH10" s="39">
        <v>0</v>
      </c>
      <c r="AI10" s="39">
        <v>0</v>
      </c>
      <c r="AJ10" s="39">
        <v>0</v>
      </c>
      <c r="AK10" s="39">
        <v>0</v>
      </c>
      <c r="AL10" s="39">
        <v>0</v>
      </c>
      <c r="AM10" s="39">
        <v>0</v>
      </c>
      <c r="AN10" s="39"/>
      <c r="AO10" s="39"/>
      <c r="AP10" s="39"/>
      <c r="AQ10" s="39"/>
      <c r="AR10" s="39"/>
      <c r="AS10" s="30" t="s">
        <v>572</v>
      </c>
      <c r="AT10" s="30" t="s">
        <v>105</v>
      </c>
      <c r="AU10" s="30" t="s">
        <v>573</v>
      </c>
      <c r="AV10" s="29" t="s">
        <v>117</v>
      </c>
      <c r="AW10" s="30" t="s">
        <v>553</v>
      </c>
      <c r="AX10" s="30" t="s">
        <v>554</v>
      </c>
      <c r="AY10" s="30" t="s">
        <v>568</v>
      </c>
      <c r="AZ10" s="30"/>
      <c r="BA10" s="30"/>
      <c r="BB10" s="30"/>
      <c r="BC10" s="58">
        <v>0</v>
      </c>
      <c r="BD10" s="55"/>
      <c r="BE10" s="55"/>
      <c r="BF10" s="55"/>
      <c r="BG10" s="55"/>
      <c r="BH10" s="55"/>
      <c r="BI10" s="55"/>
      <c r="BJ10" s="59"/>
      <c r="BK10" s="39"/>
      <c r="BL10" s="63">
        <f t="shared" si="9"/>
        <v>0</v>
      </c>
      <c r="BM10" s="63">
        <f t="shared" si="10"/>
        <v>0</v>
      </c>
      <c r="BN10" s="63">
        <f t="shared" si="11"/>
        <v>0</v>
      </c>
      <c r="BO10" s="63">
        <f t="shared" si="12"/>
        <v>0</v>
      </c>
      <c r="BP10" s="63">
        <f t="shared" si="13"/>
        <v>0</v>
      </c>
      <c r="BQ10" s="63">
        <f t="shared" si="14"/>
        <v>0</v>
      </c>
      <c r="BR10" s="63">
        <f t="shared" si="15"/>
        <v>0</v>
      </c>
      <c r="BS10" s="63">
        <f t="shared" si="16"/>
        <v>0</v>
      </c>
    </row>
    <row r="11" spans="1:71">
      <c r="A11" s="28">
        <f t="shared" si="6"/>
        <v>10</v>
      </c>
      <c r="B11" s="29" t="s">
        <v>574</v>
      </c>
      <c r="C11" s="30" t="s">
        <v>92</v>
      </c>
      <c r="D11" s="30" t="s">
        <v>575</v>
      </c>
      <c r="E11" s="30" t="s">
        <v>539</v>
      </c>
      <c r="F11" s="30" t="s">
        <v>576</v>
      </c>
      <c r="G11" s="30" t="s">
        <v>245</v>
      </c>
      <c r="H11" s="35" t="s">
        <v>246</v>
      </c>
      <c r="I11" s="30"/>
      <c r="J11" s="30"/>
      <c r="K11" s="30" t="s">
        <v>577</v>
      </c>
      <c r="L11" s="39">
        <v>400000</v>
      </c>
      <c r="M11" s="30" t="s">
        <v>79</v>
      </c>
      <c r="N11" s="31"/>
      <c r="O11" s="30" t="s">
        <v>578</v>
      </c>
      <c r="P11" s="42"/>
      <c r="Q11" s="42">
        <v>0.52</v>
      </c>
      <c r="R11" s="47">
        <f t="shared" si="7"/>
        <v>31200</v>
      </c>
      <c r="S11" s="48">
        <v>39000</v>
      </c>
      <c r="T11" s="48">
        <f t="shared" si="8"/>
        <v>60000</v>
      </c>
      <c r="U11" s="39">
        <v>45000</v>
      </c>
      <c r="V11" s="39">
        <v>45000</v>
      </c>
      <c r="W11" s="39">
        <v>0</v>
      </c>
      <c r="X11" s="39">
        <v>15000</v>
      </c>
      <c r="Y11" s="39">
        <v>15000</v>
      </c>
      <c r="Z11" s="39">
        <v>15000</v>
      </c>
      <c r="AA11" s="39">
        <v>15000</v>
      </c>
      <c r="AB11" s="39"/>
      <c r="AC11" s="39">
        <v>15000</v>
      </c>
      <c r="AD11" s="39"/>
      <c r="AE11" s="39"/>
      <c r="AF11" s="39">
        <v>15000</v>
      </c>
      <c r="AG11" s="39">
        <v>0</v>
      </c>
      <c r="AH11" s="39">
        <v>0</v>
      </c>
      <c r="AI11" s="39">
        <v>0</v>
      </c>
      <c r="AJ11" s="39">
        <v>21000</v>
      </c>
      <c r="AK11" s="39">
        <v>36000</v>
      </c>
      <c r="AL11" s="39">
        <v>69000</v>
      </c>
      <c r="AM11" s="39">
        <v>0</v>
      </c>
      <c r="AN11" s="39"/>
      <c r="AO11" s="39"/>
      <c r="AP11" s="39"/>
      <c r="AQ11" s="39"/>
      <c r="AR11" s="39"/>
      <c r="AS11" s="30" t="s">
        <v>99</v>
      </c>
      <c r="AT11" s="30" t="s">
        <v>105</v>
      </c>
      <c r="AU11" s="30" t="s">
        <v>81</v>
      </c>
      <c r="AV11" s="29" t="s">
        <v>117</v>
      </c>
      <c r="AW11" s="30" t="s">
        <v>143</v>
      </c>
      <c r="AX11" s="30" t="s">
        <v>561</v>
      </c>
      <c r="AY11" s="30"/>
      <c r="AZ11" s="30"/>
      <c r="BA11" s="30"/>
      <c r="BB11" s="30"/>
      <c r="BC11" s="58">
        <v>1</v>
      </c>
      <c r="BD11" s="55"/>
      <c r="BE11" s="55"/>
      <c r="BF11" s="55"/>
      <c r="BG11" s="55"/>
      <c r="BH11" s="55"/>
      <c r="BI11" s="55"/>
      <c r="BJ11" s="59"/>
      <c r="BK11" s="39"/>
      <c r="BL11" s="63">
        <f t="shared" si="9"/>
        <v>7800</v>
      </c>
      <c r="BM11" s="63">
        <f t="shared" si="10"/>
        <v>7800</v>
      </c>
      <c r="BN11" s="63">
        <f t="shared" si="11"/>
        <v>7800</v>
      </c>
      <c r="BO11" s="63">
        <f t="shared" si="12"/>
        <v>0</v>
      </c>
      <c r="BP11" s="63">
        <f t="shared" si="13"/>
        <v>7800</v>
      </c>
      <c r="BQ11" s="63">
        <f t="shared" si="14"/>
        <v>0</v>
      </c>
      <c r="BR11" s="63">
        <f t="shared" si="15"/>
        <v>0</v>
      </c>
      <c r="BS11" s="63">
        <f t="shared" si="16"/>
        <v>7800</v>
      </c>
    </row>
    <row r="12" spans="1:71">
      <c r="A12" s="28">
        <f t="shared" si="6"/>
        <v>11</v>
      </c>
      <c r="B12" s="29" t="s">
        <v>574</v>
      </c>
      <c r="C12" s="30" t="s">
        <v>92</v>
      </c>
      <c r="D12" s="30" t="s">
        <v>575</v>
      </c>
      <c r="E12" s="30" t="s">
        <v>539</v>
      </c>
      <c r="F12" s="30" t="s">
        <v>576</v>
      </c>
      <c r="G12" s="32" t="s">
        <v>236</v>
      </c>
      <c r="H12" s="35" t="s">
        <v>237</v>
      </c>
      <c r="I12" s="32"/>
      <c r="J12" s="32"/>
      <c r="K12" s="30" t="s">
        <v>579</v>
      </c>
      <c r="L12" s="39">
        <v>400000</v>
      </c>
      <c r="M12" s="30" t="s">
        <v>114</v>
      </c>
      <c r="N12" s="31"/>
      <c r="O12" s="30" t="s">
        <v>580</v>
      </c>
      <c r="P12" s="42"/>
      <c r="Q12" s="42">
        <v>0.52</v>
      </c>
      <c r="R12" s="47">
        <f t="shared" si="7"/>
        <v>3120</v>
      </c>
      <c r="S12" s="48">
        <v>3120</v>
      </c>
      <c r="T12" s="48">
        <f t="shared" si="8"/>
        <v>6000</v>
      </c>
      <c r="U12" s="39"/>
      <c r="V12" s="39"/>
      <c r="W12" s="39"/>
      <c r="X12" s="39"/>
      <c r="Y12" s="39"/>
      <c r="Z12" s="39"/>
      <c r="AA12" s="39">
        <v>6000</v>
      </c>
      <c r="AB12" s="39"/>
      <c r="AC12" s="39"/>
      <c r="AD12" s="39"/>
      <c r="AE12" s="39"/>
      <c r="AF12" s="39"/>
      <c r="AG12" s="39">
        <v>0</v>
      </c>
      <c r="AH12" s="39">
        <v>0</v>
      </c>
      <c r="AI12" s="39">
        <v>0</v>
      </c>
      <c r="AJ12" s="39">
        <v>0</v>
      </c>
      <c r="AK12" s="39">
        <v>0</v>
      </c>
      <c r="AL12" s="39">
        <v>0</v>
      </c>
      <c r="AM12" s="39">
        <v>0</v>
      </c>
      <c r="AN12" s="39"/>
      <c r="AO12" s="39"/>
      <c r="AP12" s="39"/>
      <c r="AQ12" s="39"/>
      <c r="AR12" s="39"/>
      <c r="AS12" s="30" t="s">
        <v>99</v>
      </c>
      <c r="AT12" s="30" t="s">
        <v>105</v>
      </c>
      <c r="AU12" s="30" t="s">
        <v>81</v>
      </c>
      <c r="AV12" s="29" t="s">
        <v>581</v>
      </c>
      <c r="AW12" s="30" t="s">
        <v>582</v>
      </c>
      <c r="AX12" s="30" t="s">
        <v>583</v>
      </c>
      <c r="AY12" s="30"/>
      <c r="AZ12" s="30"/>
      <c r="BA12" s="30"/>
      <c r="BB12" s="30"/>
      <c r="BC12" s="58">
        <v>3</v>
      </c>
      <c r="BD12" s="55"/>
      <c r="BE12" s="55"/>
      <c r="BF12" s="55"/>
      <c r="BG12" s="55"/>
      <c r="BH12" s="55"/>
      <c r="BI12" s="55"/>
      <c r="BJ12" s="59"/>
      <c r="BK12" s="39"/>
      <c r="BL12" s="63">
        <f t="shared" si="9"/>
        <v>0</v>
      </c>
      <c r="BM12" s="63">
        <f t="shared" si="10"/>
        <v>0</v>
      </c>
      <c r="BN12" s="63">
        <f t="shared" si="11"/>
        <v>3120</v>
      </c>
      <c r="BO12" s="63">
        <f t="shared" si="12"/>
        <v>0</v>
      </c>
      <c r="BP12" s="63">
        <f t="shared" si="13"/>
        <v>0</v>
      </c>
      <c r="BQ12" s="63">
        <f t="shared" si="14"/>
        <v>0</v>
      </c>
      <c r="BR12" s="63">
        <f t="shared" si="15"/>
        <v>0</v>
      </c>
      <c r="BS12" s="63">
        <f t="shared" si="16"/>
        <v>0</v>
      </c>
    </row>
    <row r="13" spans="1:71">
      <c r="A13" s="28">
        <f t="shared" si="6"/>
        <v>12</v>
      </c>
      <c r="B13" s="29" t="s">
        <v>574</v>
      </c>
      <c r="C13" s="30" t="s">
        <v>92</v>
      </c>
      <c r="D13" s="30" t="s">
        <v>575</v>
      </c>
      <c r="E13" s="30" t="s">
        <v>539</v>
      </c>
      <c r="F13" s="30" t="s">
        <v>576</v>
      </c>
      <c r="G13" s="32" t="s">
        <v>210</v>
      </c>
      <c r="H13" s="35" t="s">
        <v>211</v>
      </c>
      <c r="I13" s="32"/>
      <c r="J13" s="32"/>
      <c r="K13" s="30" t="s">
        <v>584</v>
      </c>
      <c r="L13" s="39">
        <v>300000</v>
      </c>
      <c r="M13" s="30" t="s">
        <v>114</v>
      </c>
      <c r="N13" s="31" t="s">
        <v>585</v>
      </c>
      <c r="O13" s="30">
        <v>0</v>
      </c>
      <c r="P13" s="42"/>
      <c r="Q13" s="42">
        <v>0.3</v>
      </c>
      <c r="R13" s="47">
        <f t="shared" si="7"/>
        <v>0</v>
      </c>
      <c r="S13" s="48">
        <v>0</v>
      </c>
      <c r="T13" s="48">
        <f t="shared" si="8"/>
        <v>0</v>
      </c>
      <c r="U13" s="39"/>
      <c r="V13" s="39"/>
      <c r="W13" s="39">
        <v>6000</v>
      </c>
      <c r="X13" s="39">
        <v>6000</v>
      </c>
      <c r="Y13" s="39"/>
      <c r="Z13" s="39"/>
      <c r="AA13" s="39"/>
      <c r="AB13" s="39"/>
      <c r="AC13" s="39"/>
      <c r="AD13" s="39"/>
      <c r="AE13" s="39"/>
      <c r="AF13" s="39"/>
      <c r="AG13" s="39">
        <v>0</v>
      </c>
      <c r="AH13" s="39">
        <v>0</v>
      </c>
      <c r="AI13" s="39">
        <v>0</v>
      </c>
      <c r="AJ13" s="39">
        <v>0</v>
      </c>
      <c r="AK13" s="39">
        <v>0</v>
      </c>
      <c r="AL13" s="39">
        <v>0</v>
      </c>
      <c r="AM13" s="39">
        <v>0</v>
      </c>
      <c r="AN13" s="39"/>
      <c r="AO13" s="39"/>
      <c r="AP13" s="39"/>
      <c r="AQ13" s="39"/>
      <c r="AR13" s="39"/>
      <c r="AS13" s="30" t="s">
        <v>99</v>
      </c>
      <c r="AT13" s="30" t="s">
        <v>105</v>
      </c>
      <c r="AU13" s="30" t="s">
        <v>81</v>
      </c>
      <c r="AV13" s="29" t="s">
        <v>581</v>
      </c>
      <c r="AW13" s="30" t="s">
        <v>582</v>
      </c>
      <c r="AX13" s="30" t="s">
        <v>586</v>
      </c>
      <c r="AY13" s="30"/>
      <c r="AZ13" s="30"/>
      <c r="BA13" s="30"/>
      <c r="BB13" s="30"/>
      <c r="BC13" s="58">
        <v>3</v>
      </c>
      <c r="BD13" s="55"/>
      <c r="BE13" s="55"/>
      <c r="BF13" s="55"/>
      <c r="BG13" s="55"/>
      <c r="BH13" s="55"/>
      <c r="BI13" s="55"/>
      <c r="BJ13" s="59"/>
      <c r="BK13" s="39"/>
      <c r="BL13" s="63">
        <f t="shared" si="9"/>
        <v>0</v>
      </c>
      <c r="BM13" s="63">
        <f t="shared" si="10"/>
        <v>0</v>
      </c>
      <c r="BN13" s="63">
        <f t="shared" si="11"/>
        <v>0</v>
      </c>
      <c r="BO13" s="63">
        <f t="shared" si="12"/>
        <v>0</v>
      </c>
      <c r="BP13" s="63">
        <f t="shared" si="13"/>
        <v>0</v>
      </c>
      <c r="BQ13" s="63">
        <f t="shared" si="14"/>
        <v>0</v>
      </c>
      <c r="BR13" s="63">
        <f t="shared" si="15"/>
        <v>0</v>
      </c>
      <c r="BS13" s="63">
        <f t="shared" si="16"/>
        <v>0</v>
      </c>
    </row>
    <row r="14" spans="1:71">
      <c r="A14" s="28">
        <f t="shared" si="6"/>
        <v>13</v>
      </c>
      <c r="B14" s="29" t="s">
        <v>574</v>
      </c>
      <c r="C14" s="30" t="s">
        <v>92</v>
      </c>
      <c r="D14" s="30" t="s">
        <v>575</v>
      </c>
      <c r="E14" s="30" t="s">
        <v>539</v>
      </c>
      <c r="F14" s="30" t="s">
        <v>576</v>
      </c>
      <c r="G14" s="32" t="s">
        <v>210</v>
      </c>
      <c r="H14" s="35" t="s">
        <v>211</v>
      </c>
      <c r="I14" s="32"/>
      <c r="J14" s="32"/>
      <c r="K14" s="30" t="s">
        <v>587</v>
      </c>
      <c r="L14" s="39">
        <v>1000000</v>
      </c>
      <c r="M14" s="30"/>
      <c r="N14" s="31"/>
      <c r="O14" s="30"/>
      <c r="P14" s="42"/>
      <c r="Q14" s="42"/>
      <c r="R14" s="47">
        <f t="shared" si="7"/>
        <v>0</v>
      </c>
      <c r="S14" s="48">
        <v>0</v>
      </c>
      <c r="T14" s="48">
        <f t="shared" si="8"/>
        <v>0</v>
      </c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>
        <v>0</v>
      </c>
      <c r="AH14" s="39">
        <v>0</v>
      </c>
      <c r="AI14" s="39">
        <v>0</v>
      </c>
      <c r="AJ14" s="39">
        <v>0</v>
      </c>
      <c r="AK14" s="39">
        <v>0</v>
      </c>
      <c r="AL14" s="39">
        <v>0</v>
      </c>
      <c r="AM14" s="39">
        <v>0</v>
      </c>
      <c r="AN14" s="39"/>
      <c r="AO14" s="39"/>
      <c r="AP14" s="39"/>
      <c r="AQ14" s="39"/>
      <c r="AR14" s="39"/>
      <c r="AS14" s="30" t="s">
        <v>99</v>
      </c>
      <c r="AT14" s="30" t="s">
        <v>105</v>
      </c>
      <c r="AU14" s="30" t="s">
        <v>81</v>
      </c>
      <c r="AV14" s="29" t="s">
        <v>581</v>
      </c>
      <c r="AW14" s="30" t="s">
        <v>588</v>
      </c>
      <c r="AX14" s="30"/>
      <c r="AY14" s="30"/>
      <c r="AZ14" s="30"/>
      <c r="BA14" s="30"/>
      <c r="BB14" s="30"/>
      <c r="BC14" s="58">
        <v>1</v>
      </c>
      <c r="BD14" s="55"/>
      <c r="BE14" s="55"/>
      <c r="BF14" s="55"/>
      <c r="BG14" s="55"/>
      <c r="BH14" s="55"/>
      <c r="BI14" s="55"/>
      <c r="BJ14" s="59"/>
      <c r="BK14" s="39"/>
      <c r="BL14" s="63">
        <f t="shared" si="9"/>
        <v>0</v>
      </c>
      <c r="BM14" s="63">
        <f t="shared" si="10"/>
        <v>0</v>
      </c>
      <c r="BN14" s="63">
        <f t="shared" si="11"/>
        <v>0</v>
      </c>
      <c r="BO14" s="63">
        <f t="shared" si="12"/>
        <v>0</v>
      </c>
      <c r="BP14" s="63">
        <f t="shared" si="13"/>
        <v>0</v>
      </c>
      <c r="BQ14" s="63">
        <f t="shared" si="14"/>
        <v>0</v>
      </c>
      <c r="BR14" s="63">
        <f t="shared" si="15"/>
        <v>0</v>
      </c>
      <c r="BS14" s="63">
        <f t="shared" si="16"/>
        <v>0</v>
      </c>
    </row>
    <row r="15" spans="1:71">
      <c r="A15" s="28">
        <f t="shared" si="6"/>
        <v>14</v>
      </c>
      <c r="B15" s="29" t="s">
        <v>574</v>
      </c>
      <c r="C15" s="30" t="s">
        <v>92</v>
      </c>
      <c r="D15" s="30" t="s">
        <v>575</v>
      </c>
      <c r="E15" s="30" t="s">
        <v>539</v>
      </c>
      <c r="F15" s="30" t="s">
        <v>576</v>
      </c>
      <c r="G15" s="30" t="s">
        <v>245</v>
      </c>
      <c r="H15" s="35" t="s">
        <v>246</v>
      </c>
      <c r="I15" s="30"/>
      <c r="J15" s="30"/>
      <c r="K15" s="30" t="s">
        <v>589</v>
      </c>
      <c r="L15" s="39">
        <v>200000</v>
      </c>
      <c r="M15" s="30" t="s">
        <v>57</v>
      </c>
      <c r="N15" s="31" t="s">
        <v>590</v>
      </c>
      <c r="O15" s="30" t="s">
        <v>89</v>
      </c>
      <c r="P15" s="42"/>
      <c r="Q15" s="42">
        <v>0.52</v>
      </c>
      <c r="R15" s="47">
        <f t="shared" si="7"/>
        <v>0</v>
      </c>
      <c r="S15" s="48">
        <v>0</v>
      </c>
      <c r="T15" s="48">
        <f t="shared" si="8"/>
        <v>0</v>
      </c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>
        <v>0</v>
      </c>
      <c r="AH15" s="39">
        <v>0</v>
      </c>
      <c r="AI15" s="39">
        <v>0</v>
      </c>
      <c r="AJ15" s="39">
        <v>21000</v>
      </c>
      <c r="AK15" s="39">
        <v>36000</v>
      </c>
      <c r="AL15" s="39">
        <v>69000</v>
      </c>
      <c r="AM15" s="39">
        <v>0</v>
      </c>
      <c r="AN15" s="39"/>
      <c r="AO15" s="39"/>
      <c r="AP15" s="39"/>
      <c r="AQ15" s="39"/>
      <c r="AR15" s="39"/>
      <c r="AS15" s="30" t="s">
        <v>99</v>
      </c>
      <c r="AT15" s="30" t="s">
        <v>105</v>
      </c>
      <c r="AU15" s="30" t="s">
        <v>81</v>
      </c>
      <c r="AV15" s="29" t="s">
        <v>117</v>
      </c>
      <c r="AW15" s="30" t="s">
        <v>143</v>
      </c>
      <c r="AX15" s="30" t="s">
        <v>561</v>
      </c>
      <c r="AY15" s="30"/>
      <c r="AZ15" s="30"/>
      <c r="BA15" s="30"/>
      <c r="BB15" s="30"/>
      <c r="BC15" s="58">
        <v>1</v>
      </c>
      <c r="BD15" s="55"/>
      <c r="BE15" s="55"/>
      <c r="BF15" s="55"/>
      <c r="BG15" s="55"/>
      <c r="BH15" s="55"/>
      <c r="BI15" s="55"/>
      <c r="BJ15" s="59"/>
      <c r="BK15" s="39"/>
      <c r="BL15" s="63">
        <f t="shared" si="9"/>
        <v>0</v>
      </c>
      <c r="BM15" s="63">
        <f t="shared" si="10"/>
        <v>0</v>
      </c>
      <c r="BN15" s="63">
        <f t="shared" si="11"/>
        <v>0</v>
      </c>
      <c r="BO15" s="63">
        <f t="shared" si="12"/>
        <v>0</v>
      </c>
      <c r="BP15" s="63">
        <f t="shared" si="13"/>
        <v>0</v>
      </c>
      <c r="BQ15" s="63">
        <f t="shared" si="14"/>
        <v>0</v>
      </c>
      <c r="BR15" s="63">
        <f t="shared" si="15"/>
        <v>0</v>
      </c>
      <c r="BS15" s="63">
        <f t="shared" si="16"/>
        <v>0</v>
      </c>
    </row>
    <row r="16" spans="1:71">
      <c r="A16" s="28">
        <f t="shared" si="6"/>
        <v>15</v>
      </c>
      <c r="B16" s="29" t="s">
        <v>574</v>
      </c>
      <c r="C16" s="30" t="s">
        <v>92</v>
      </c>
      <c r="D16" s="30" t="s">
        <v>575</v>
      </c>
      <c r="E16" s="30" t="s">
        <v>539</v>
      </c>
      <c r="F16" s="30" t="s">
        <v>576</v>
      </c>
      <c r="G16" s="32" t="s">
        <v>199</v>
      </c>
      <c r="H16" s="35" t="s">
        <v>200</v>
      </c>
      <c r="I16" s="32"/>
      <c r="J16" s="32"/>
      <c r="K16" s="30" t="s">
        <v>591</v>
      </c>
      <c r="L16" s="39">
        <v>4000000</v>
      </c>
      <c r="M16" s="30" t="s">
        <v>56</v>
      </c>
      <c r="N16" s="31" t="s">
        <v>592</v>
      </c>
      <c r="O16" s="30" t="s">
        <v>593</v>
      </c>
      <c r="P16" s="42"/>
      <c r="Q16" s="42">
        <v>0.15</v>
      </c>
      <c r="R16" s="47">
        <f t="shared" si="7"/>
        <v>0</v>
      </c>
      <c r="S16" s="48">
        <v>0</v>
      </c>
      <c r="T16" s="48">
        <f t="shared" si="8"/>
        <v>0</v>
      </c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39">
        <v>0</v>
      </c>
      <c r="AM16" s="39">
        <v>0</v>
      </c>
      <c r="AN16" s="39"/>
      <c r="AO16" s="39"/>
      <c r="AP16" s="39"/>
      <c r="AQ16" s="39"/>
      <c r="AR16" s="39"/>
      <c r="AS16" s="30" t="s">
        <v>99</v>
      </c>
      <c r="AT16" s="30" t="s">
        <v>105</v>
      </c>
      <c r="AU16" s="30" t="s">
        <v>81</v>
      </c>
      <c r="AV16" s="29" t="s">
        <v>581</v>
      </c>
      <c r="AW16" s="30" t="s">
        <v>582</v>
      </c>
      <c r="AX16" s="30" t="s">
        <v>583</v>
      </c>
      <c r="AY16" s="30"/>
      <c r="AZ16" s="30"/>
      <c r="BA16" s="30"/>
      <c r="BB16" s="30"/>
      <c r="BC16" s="58">
        <v>2</v>
      </c>
      <c r="BD16" s="55"/>
      <c r="BE16" s="55"/>
      <c r="BF16" s="55"/>
      <c r="BG16" s="55"/>
      <c r="BH16" s="55"/>
      <c r="BI16" s="55"/>
      <c r="BJ16" s="59"/>
      <c r="BK16" s="39"/>
      <c r="BL16" s="63">
        <f t="shared" si="9"/>
        <v>0</v>
      </c>
      <c r="BM16" s="63">
        <f t="shared" si="10"/>
        <v>0</v>
      </c>
      <c r="BN16" s="63">
        <f t="shared" si="11"/>
        <v>0</v>
      </c>
      <c r="BO16" s="63">
        <f t="shared" si="12"/>
        <v>0</v>
      </c>
      <c r="BP16" s="63">
        <f t="shared" si="13"/>
        <v>0</v>
      </c>
      <c r="BQ16" s="63">
        <f t="shared" si="14"/>
        <v>0</v>
      </c>
      <c r="BR16" s="63">
        <f t="shared" si="15"/>
        <v>0</v>
      </c>
      <c r="BS16" s="63">
        <f t="shared" si="16"/>
        <v>0</v>
      </c>
    </row>
    <row r="17" spans="1:71">
      <c r="A17" s="28">
        <f t="shared" si="6"/>
        <v>16</v>
      </c>
      <c r="B17" s="29" t="s">
        <v>574</v>
      </c>
      <c r="C17" s="30" t="s">
        <v>92</v>
      </c>
      <c r="D17" s="30" t="s">
        <v>575</v>
      </c>
      <c r="E17" s="30" t="s">
        <v>539</v>
      </c>
      <c r="F17" s="30" t="s">
        <v>576</v>
      </c>
      <c r="G17" s="33" t="s">
        <v>218</v>
      </c>
      <c r="H17" s="35" t="s">
        <v>219</v>
      </c>
      <c r="I17" s="33"/>
      <c r="J17" s="33"/>
      <c r="K17" s="30" t="s">
        <v>594</v>
      </c>
      <c r="L17" s="39">
        <v>500000</v>
      </c>
      <c r="M17" s="30" t="s">
        <v>56</v>
      </c>
      <c r="N17" s="31" t="s">
        <v>595</v>
      </c>
      <c r="O17" s="30" t="s">
        <v>89</v>
      </c>
      <c r="P17" s="42"/>
      <c r="Q17" s="42"/>
      <c r="R17" s="47">
        <f t="shared" si="7"/>
        <v>0</v>
      </c>
      <c r="S17" s="48">
        <v>0</v>
      </c>
      <c r="T17" s="48">
        <f t="shared" si="8"/>
        <v>0</v>
      </c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0" t="s">
        <v>99</v>
      </c>
      <c r="AT17" s="30" t="s">
        <v>105</v>
      </c>
      <c r="AU17" s="30" t="s">
        <v>81</v>
      </c>
      <c r="AV17" s="29" t="s">
        <v>581</v>
      </c>
      <c r="AW17" s="30" t="s">
        <v>582</v>
      </c>
      <c r="AX17" s="30" t="s">
        <v>583</v>
      </c>
      <c r="AY17" s="30"/>
      <c r="AZ17" s="30"/>
      <c r="BA17" s="30"/>
      <c r="BB17" s="30"/>
      <c r="BC17" s="58">
        <v>1</v>
      </c>
      <c r="BD17" s="55"/>
      <c r="BE17" s="55"/>
      <c r="BF17" s="55"/>
      <c r="BG17" s="55"/>
      <c r="BH17" s="55"/>
      <c r="BI17" s="55"/>
      <c r="BJ17" s="59"/>
      <c r="BK17" s="39"/>
      <c r="BL17" s="63">
        <f t="shared" si="9"/>
        <v>0</v>
      </c>
      <c r="BM17" s="63">
        <f t="shared" si="10"/>
        <v>0</v>
      </c>
      <c r="BN17" s="63">
        <f t="shared" si="11"/>
        <v>0</v>
      </c>
      <c r="BO17" s="63">
        <f t="shared" si="12"/>
        <v>0</v>
      </c>
      <c r="BP17" s="63">
        <f t="shared" si="13"/>
        <v>0</v>
      </c>
      <c r="BQ17" s="63">
        <f t="shared" si="14"/>
        <v>0</v>
      </c>
      <c r="BR17" s="63">
        <f t="shared" si="15"/>
        <v>0</v>
      </c>
      <c r="BS17" s="63">
        <f t="shared" si="16"/>
        <v>0</v>
      </c>
    </row>
    <row r="18" spans="1:71">
      <c r="A18" s="28">
        <f t="shared" si="6"/>
        <v>17</v>
      </c>
      <c r="B18" s="29" t="s">
        <v>596</v>
      </c>
      <c r="C18" s="30" t="s">
        <v>527</v>
      </c>
      <c r="D18" s="30" t="s">
        <v>596</v>
      </c>
      <c r="E18" s="30" t="s">
        <v>530</v>
      </c>
      <c r="F18" s="30" t="s">
        <v>89</v>
      </c>
      <c r="G18" s="30" t="s">
        <v>371</v>
      </c>
      <c r="H18" s="35" t="s">
        <v>373</v>
      </c>
      <c r="I18" s="30"/>
      <c r="J18" s="30"/>
      <c r="K18" s="30" t="s">
        <v>536</v>
      </c>
      <c r="L18" s="40">
        <v>15000000</v>
      </c>
      <c r="M18" s="39" t="s">
        <v>103</v>
      </c>
      <c r="N18" s="39"/>
      <c r="O18" s="39">
        <v>0</v>
      </c>
      <c r="P18" s="39"/>
      <c r="Q18" s="49">
        <v>1.95</v>
      </c>
      <c r="R18" s="47">
        <f t="shared" ref="R18" si="17">Q18*T18</f>
        <v>1950000</v>
      </c>
      <c r="S18" s="48">
        <v>13845000</v>
      </c>
      <c r="T18" s="48">
        <f t="shared" ref="T18" si="18">SUM(Z18:AF18)</f>
        <v>1000000</v>
      </c>
      <c r="U18" s="39">
        <v>800000</v>
      </c>
      <c r="V18" s="39">
        <v>700000</v>
      </c>
      <c r="W18" s="39">
        <v>800000</v>
      </c>
      <c r="X18" s="39">
        <v>250000</v>
      </c>
      <c r="Y18" s="39">
        <v>250000</v>
      </c>
      <c r="Z18" s="39"/>
      <c r="AA18" s="39"/>
      <c r="AB18" s="39"/>
      <c r="AC18" s="39">
        <v>250000</v>
      </c>
      <c r="AD18" s="39">
        <v>250000</v>
      </c>
      <c r="AE18" s="39">
        <v>250000</v>
      </c>
      <c r="AF18" s="39">
        <v>250000</v>
      </c>
      <c r="AG18" s="39"/>
      <c r="AH18" s="39"/>
      <c r="AI18" s="39"/>
      <c r="AJ18" s="39"/>
      <c r="AK18" s="30"/>
      <c r="AL18" s="30"/>
      <c r="AM18" s="30"/>
      <c r="AN18" s="29"/>
      <c r="AO18" s="30"/>
      <c r="AP18" s="30"/>
      <c r="AQ18" s="30"/>
      <c r="AR18" s="30"/>
      <c r="AS18" s="30" t="s">
        <v>572</v>
      </c>
      <c r="AT18" s="30" t="s">
        <v>105</v>
      </c>
      <c r="AU18" s="30" t="s">
        <v>532</v>
      </c>
      <c r="AV18" s="55" t="s">
        <v>117</v>
      </c>
      <c r="AW18" s="55" t="s">
        <v>533</v>
      </c>
      <c r="AX18" s="55" t="s">
        <v>597</v>
      </c>
      <c r="AY18" s="55" t="s">
        <v>598</v>
      </c>
      <c r="AZ18" s="55"/>
      <c r="BA18" s="55"/>
      <c r="BB18" s="59"/>
      <c r="BC18" s="39">
        <v>3</v>
      </c>
      <c r="BD18" s="33"/>
      <c r="BE18" s="33"/>
      <c r="BF18" s="33"/>
      <c r="BG18" s="33"/>
      <c r="BH18" s="33"/>
      <c r="BI18" s="33"/>
      <c r="BJ18" s="33"/>
      <c r="BK18" s="33"/>
      <c r="BL18" s="63">
        <f t="shared" ref="BL18" si="19">$Q18*Y18</f>
        <v>487500</v>
      </c>
      <c r="BM18" s="63">
        <f t="shared" si="10"/>
        <v>0</v>
      </c>
      <c r="BN18" s="63">
        <f t="shared" si="11"/>
        <v>0</v>
      </c>
      <c r="BO18" s="63">
        <f t="shared" si="12"/>
        <v>0</v>
      </c>
      <c r="BP18" s="63">
        <f t="shared" si="13"/>
        <v>487500</v>
      </c>
      <c r="BQ18" s="63">
        <f t="shared" si="14"/>
        <v>487500</v>
      </c>
      <c r="BR18" s="63">
        <f t="shared" si="15"/>
        <v>487500</v>
      </c>
      <c r="BS18" s="63">
        <f t="shared" si="16"/>
        <v>487500</v>
      </c>
    </row>
    <row r="19" spans="1:71">
      <c r="A19" s="28">
        <f t="shared" si="6"/>
        <v>18</v>
      </c>
      <c r="B19" s="29" t="s">
        <v>596</v>
      </c>
      <c r="C19" s="30" t="s">
        <v>527</v>
      </c>
      <c r="D19" s="30" t="s">
        <v>596</v>
      </c>
      <c r="E19" s="30" t="s">
        <v>530</v>
      </c>
      <c r="F19" s="30" t="s">
        <v>89</v>
      </c>
      <c r="G19" s="30" t="s">
        <v>599</v>
      </c>
      <c r="H19" s="35" t="s">
        <v>374</v>
      </c>
      <c r="I19" s="30"/>
      <c r="J19" s="30"/>
      <c r="K19" s="30" t="s">
        <v>536</v>
      </c>
      <c r="L19" s="40">
        <v>15000000</v>
      </c>
      <c r="M19" s="39" t="s">
        <v>103</v>
      </c>
      <c r="N19" s="39"/>
      <c r="O19" s="39">
        <v>0</v>
      </c>
      <c r="P19" s="39"/>
      <c r="Q19" s="49">
        <v>1.95</v>
      </c>
      <c r="R19" s="47">
        <f t="shared" si="7"/>
        <v>8775000</v>
      </c>
      <c r="S19" s="48">
        <v>13845000</v>
      </c>
      <c r="T19" s="48">
        <f t="shared" si="8"/>
        <v>4500000</v>
      </c>
      <c r="U19" s="39">
        <v>800000</v>
      </c>
      <c r="V19" s="39">
        <v>700000</v>
      </c>
      <c r="W19" s="39">
        <v>800000</v>
      </c>
      <c r="X19" s="39">
        <v>750000</v>
      </c>
      <c r="Y19" s="39">
        <v>750000</v>
      </c>
      <c r="Z19" s="39">
        <v>500000</v>
      </c>
      <c r="AA19" s="39">
        <v>500000</v>
      </c>
      <c r="AB19" s="39">
        <v>500000</v>
      </c>
      <c r="AC19" s="39">
        <v>750000</v>
      </c>
      <c r="AD19" s="39">
        <v>750000</v>
      </c>
      <c r="AE19" s="39">
        <v>750000</v>
      </c>
      <c r="AF19" s="39">
        <v>750000</v>
      </c>
      <c r="AG19" s="39"/>
      <c r="AH19" s="39"/>
      <c r="AI19" s="39"/>
      <c r="AJ19" s="39"/>
      <c r="AK19" s="30"/>
      <c r="AL19" s="30"/>
      <c r="AM19" s="30"/>
      <c r="AN19" s="29"/>
      <c r="AO19" s="30"/>
      <c r="AP19" s="30"/>
      <c r="AQ19" s="30"/>
      <c r="AR19" s="30"/>
      <c r="AS19" s="30" t="s">
        <v>572</v>
      </c>
      <c r="AT19" s="30" t="s">
        <v>105</v>
      </c>
      <c r="AU19" s="30" t="s">
        <v>532</v>
      </c>
      <c r="AV19" s="55" t="s">
        <v>117</v>
      </c>
      <c r="AW19" s="55" t="s">
        <v>533</v>
      </c>
      <c r="AX19" s="55" t="s">
        <v>597</v>
      </c>
      <c r="AY19" s="55" t="s">
        <v>598</v>
      </c>
      <c r="AZ19" s="55"/>
      <c r="BA19" s="55"/>
      <c r="BB19" s="59"/>
      <c r="BC19" s="39">
        <v>3</v>
      </c>
      <c r="BD19" s="33"/>
      <c r="BE19" s="33"/>
      <c r="BF19" s="33"/>
      <c r="BG19" s="33"/>
      <c r="BH19" s="33"/>
      <c r="BI19" s="33"/>
      <c r="BJ19" s="33"/>
      <c r="BK19" s="33"/>
      <c r="BL19" s="63">
        <f t="shared" si="9"/>
        <v>1462500</v>
      </c>
      <c r="BM19" s="63">
        <f t="shared" si="10"/>
        <v>975000</v>
      </c>
      <c r="BN19" s="63">
        <f t="shared" si="11"/>
        <v>975000</v>
      </c>
      <c r="BO19" s="63">
        <f t="shared" si="12"/>
        <v>975000</v>
      </c>
      <c r="BP19" s="63">
        <f t="shared" si="13"/>
        <v>1462500</v>
      </c>
      <c r="BQ19" s="63">
        <f t="shared" si="14"/>
        <v>1462500</v>
      </c>
      <c r="BR19" s="63">
        <f t="shared" si="15"/>
        <v>1462500</v>
      </c>
      <c r="BS19" s="63">
        <f t="shared" si="16"/>
        <v>1462500</v>
      </c>
    </row>
    <row r="20" spans="1:71">
      <c r="A20" s="28">
        <f t="shared" si="6"/>
        <v>19</v>
      </c>
      <c r="B20" s="29" t="s">
        <v>600</v>
      </c>
      <c r="C20" s="30" t="s">
        <v>527</v>
      </c>
      <c r="D20" s="30" t="s">
        <v>601</v>
      </c>
      <c r="E20" s="30" t="s">
        <v>539</v>
      </c>
      <c r="F20" s="30" t="s">
        <v>602</v>
      </c>
      <c r="G20" s="30" t="s">
        <v>295</v>
      </c>
      <c r="H20" s="35" t="s">
        <v>296</v>
      </c>
      <c r="I20" s="30"/>
      <c r="J20" s="30"/>
      <c r="K20" s="30" t="s">
        <v>550</v>
      </c>
      <c r="L20" s="39">
        <v>2000000</v>
      </c>
      <c r="M20" s="30" t="s">
        <v>103</v>
      </c>
      <c r="N20" s="31"/>
      <c r="O20" s="30"/>
      <c r="P20" s="42"/>
      <c r="Q20" s="42">
        <v>0.51</v>
      </c>
      <c r="R20" s="47">
        <f t="shared" si="7"/>
        <v>4386000</v>
      </c>
      <c r="S20" s="48">
        <v>2703000</v>
      </c>
      <c r="T20" s="48">
        <f t="shared" si="8"/>
        <v>8600000</v>
      </c>
      <c r="U20" s="39">
        <v>400000</v>
      </c>
      <c r="V20" s="39">
        <v>400000</v>
      </c>
      <c r="W20" s="39">
        <v>600000</v>
      </c>
      <c r="X20" s="39">
        <v>650000</v>
      </c>
      <c r="Y20" s="39">
        <v>700000</v>
      </c>
      <c r="Z20" s="39">
        <v>800000</v>
      </c>
      <c r="AA20" s="39">
        <v>1300000</v>
      </c>
      <c r="AB20" s="39">
        <v>1300000</v>
      </c>
      <c r="AC20" s="39">
        <v>1300000</v>
      </c>
      <c r="AD20" s="39">
        <v>1300000</v>
      </c>
      <c r="AE20" s="39">
        <v>1300000</v>
      </c>
      <c r="AF20" s="39">
        <v>1300000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0"/>
      <c r="AT20" s="30" t="s">
        <v>105</v>
      </c>
      <c r="AU20" s="30" t="s">
        <v>81</v>
      </c>
      <c r="AV20" s="29" t="s">
        <v>117</v>
      </c>
      <c r="AW20" s="30" t="s">
        <v>553</v>
      </c>
      <c r="AX20" s="30" t="s">
        <v>554</v>
      </c>
      <c r="AY20" s="30" t="s">
        <v>555</v>
      </c>
      <c r="AZ20" s="30"/>
      <c r="BA20" s="30"/>
      <c r="BB20" s="30"/>
      <c r="BC20" s="58"/>
      <c r="BD20" s="55"/>
      <c r="BE20" s="55"/>
      <c r="BF20" s="55"/>
      <c r="BG20" s="55"/>
      <c r="BH20" s="55"/>
      <c r="BI20" s="55"/>
      <c r="BJ20" s="59"/>
      <c r="BK20" s="39"/>
      <c r="BL20" s="63">
        <f t="shared" si="9"/>
        <v>357000</v>
      </c>
      <c r="BM20" s="63">
        <f t="shared" si="10"/>
        <v>408000</v>
      </c>
      <c r="BN20" s="63">
        <f t="shared" si="11"/>
        <v>663000</v>
      </c>
      <c r="BO20" s="63">
        <f t="shared" si="12"/>
        <v>663000</v>
      </c>
      <c r="BP20" s="63">
        <f t="shared" si="13"/>
        <v>663000</v>
      </c>
      <c r="BQ20" s="63">
        <f t="shared" si="14"/>
        <v>663000</v>
      </c>
      <c r="BR20" s="63">
        <f t="shared" si="15"/>
        <v>663000</v>
      </c>
      <c r="BS20" s="63">
        <f t="shared" si="16"/>
        <v>663000</v>
      </c>
    </row>
    <row r="21" spans="1:71">
      <c r="A21" s="28">
        <f t="shared" si="6"/>
        <v>20</v>
      </c>
      <c r="B21" s="29" t="s">
        <v>600</v>
      </c>
      <c r="C21" s="30" t="s">
        <v>527</v>
      </c>
      <c r="D21" s="30" t="s">
        <v>601</v>
      </c>
      <c r="E21" s="30" t="s">
        <v>539</v>
      </c>
      <c r="F21" s="30" t="s">
        <v>602</v>
      </c>
      <c r="G21" s="30" t="s">
        <v>276</v>
      </c>
      <c r="H21" s="35" t="s">
        <v>277</v>
      </c>
      <c r="I21" s="30"/>
      <c r="J21" s="30"/>
      <c r="K21" s="30" t="s">
        <v>550</v>
      </c>
      <c r="L21" s="39">
        <v>1500000</v>
      </c>
      <c r="M21" s="30" t="s">
        <v>103</v>
      </c>
      <c r="N21" s="31"/>
      <c r="O21" s="30"/>
      <c r="P21" s="42"/>
      <c r="Q21" s="42">
        <v>0.5</v>
      </c>
      <c r="R21" s="47">
        <f t="shared" si="7"/>
        <v>800000</v>
      </c>
      <c r="S21" s="48">
        <v>600000</v>
      </c>
      <c r="T21" s="48">
        <f t="shared" si="8"/>
        <v>1600000</v>
      </c>
      <c r="U21" s="39">
        <v>200000</v>
      </c>
      <c r="V21" s="39">
        <v>200000</v>
      </c>
      <c r="W21" s="39">
        <v>200000</v>
      </c>
      <c r="X21" s="39">
        <v>150000</v>
      </c>
      <c r="Y21" s="39">
        <v>150000</v>
      </c>
      <c r="Z21" s="39">
        <v>200000</v>
      </c>
      <c r="AA21" s="39">
        <v>250000</v>
      </c>
      <c r="AB21" s="39">
        <v>250000</v>
      </c>
      <c r="AC21" s="39">
        <v>250000</v>
      </c>
      <c r="AD21" s="39">
        <v>250000</v>
      </c>
      <c r="AE21" s="39">
        <v>200000</v>
      </c>
      <c r="AF21" s="39">
        <v>200000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0"/>
      <c r="AT21" s="30" t="s">
        <v>105</v>
      </c>
      <c r="AU21" s="30" t="s">
        <v>81</v>
      </c>
      <c r="AV21" s="29" t="s">
        <v>117</v>
      </c>
      <c r="AW21" s="30" t="s">
        <v>553</v>
      </c>
      <c r="AX21" s="30" t="s">
        <v>554</v>
      </c>
      <c r="AY21" s="30" t="s">
        <v>555</v>
      </c>
      <c r="AZ21" s="30"/>
      <c r="BA21" s="30"/>
      <c r="BB21" s="30"/>
      <c r="BC21" s="58"/>
      <c r="BD21" s="55"/>
      <c r="BE21" s="55"/>
      <c r="BF21" s="55"/>
      <c r="BG21" s="55"/>
      <c r="BH21" s="55"/>
      <c r="BI21" s="55"/>
      <c r="BJ21" s="59"/>
      <c r="BK21" s="39"/>
      <c r="BL21" s="63">
        <f t="shared" si="9"/>
        <v>75000</v>
      </c>
      <c r="BM21" s="63">
        <f t="shared" si="10"/>
        <v>100000</v>
      </c>
      <c r="BN21" s="63">
        <f t="shared" si="11"/>
        <v>125000</v>
      </c>
      <c r="BO21" s="63">
        <f t="shared" si="12"/>
        <v>125000</v>
      </c>
      <c r="BP21" s="63">
        <f t="shared" si="13"/>
        <v>125000</v>
      </c>
      <c r="BQ21" s="63">
        <f t="shared" si="14"/>
        <v>125000</v>
      </c>
      <c r="BR21" s="63">
        <f t="shared" si="15"/>
        <v>100000</v>
      </c>
      <c r="BS21" s="63">
        <f t="shared" si="16"/>
        <v>100000</v>
      </c>
    </row>
    <row r="22" spans="1:71">
      <c r="A22" s="28">
        <f t="shared" si="6"/>
        <v>21</v>
      </c>
      <c r="B22" s="29" t="s">
        <v>600</v>
      </c>
      <c r="C22" s="30" t="s">
        <v>527</v>
      </c>
      <c r="D22" s="30" t="s">
        <v>601</v>
      </c>
      <c r="E22" s="30" t="s">
        <v>539</v>
      </c>
      <c r="F22" s="30" t="s">
        <v>602</v>
      </c>
      <c r="G22" s="30" t="s">
        <v>297</v>
      </c>
      <c r="H22" s="35" t="s">
        <v>298</v>
      </c>
      <c r="I22" s="30"/>
      <c r="J22" s="30"/>
      <c r="K22" s="30" t="s">
        <v>550</v>
      </c>
      <c r="L22" s="39">
        <v>500000</v>
      </c>
      <c r="M22" s="30" t="s">
        <v>103</v>
      </c>
      <c r="N22" s="31"/>
      <c r="O22" s="30"/>
      <c r="P22" s="42"/>
      <c r="Q22" s="42">
        <v>0.51</v>
      </c>
      <c r="R22" s="47">
        <f t="shared" si="7"/>
        <v>214200</v>
      </c>
      <c r="S22" s="48">
        <v>163200</v>
      </c>
      <c r="T22" s="48">
        <f t="shared" si="8"/>
        <v>420000</v>
      </c>
      <c r="U22" s="39">
        <v>40000</v>
      </c>
      <c r="V22" s="39">
        <v>40000</v>
      </c>
      <c r="W22" s="39">
        <v>40000</v>
      </c>
      <c r="X22" s="39">
        <v>40000</v>
      </c>
      <c r="Y22" s="39">
        <v>40000</v>
      </c>
      <c r="Z22" s="39">
        <v>60000</v>
      </c>
      <c r="AA22" s="39">
        <v>60000</v>
      </c>
      <c r="AB22" s="39">
        <v>60000</v>
      </c>
      <c r="AC22" s="39">
        <v>60000</v>
      </c>
      <c r="AD22" s="39">
        <v>60000</v>
      </c>
      <c r="AE22" s="39">
        <v>60000</v>
      </c>
      <c r="AF22" s="39">
        <v>60000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0"/>
      <c r="AT22" s="30" t="s">
        <v>105</v>
      </c>
      <c r="AU22" s="30" t="s">
        <v>81</v>
      </c>
      <c r="AV22" s="29" t="s">
        <v>117</v>
      </c>
      <c r="AW22" s="30" t="s">
        <v>553</v>
      </c>
      <c r="AX22" s="30" t="s">
        <v>554</v>
      </c>
      <c r="AY22" s="30" t="s">
        <v>555</v>
      </c>
      <c r="AZ22" s="30"/>
      <c r="BA22" s="30"/>
      <c r="BB22" s="30"/>
      <c r="BC22" s="58"/>
      <c r="BD22" s="55"/>
      <c r="BE22" s="55"/>
      <c r="BF22" s="55"/>
      <c r="BG22" s="55"/>
      <c r="BH22" s="55"/>
      <c r="BI22" s="55"/>
      <c r="BJ22" s="59"/>
      <c r="BK22" s="39"/>
      <c r="BL22" s="63">
        <f t="shared" si="9"/>
        <v>20400</v>
      </c>
      <c r="BM22" s="63">
        <f t="shared" si="10"/>
        <v>30600</v>
      </c>
      <c r="BN22" s="63">
        <f t="shared" si="11"/>
        <v>30600</v>
      </c>
      <c r="BO22" s="63">
        <f t="shared" si="12"/>
        <v>30600</v>
      </c>
      <c r="BP22" s="63">
        <f t="shared" si="13"/>
        <v>30600</v>
      </c>
      <c r="BQ22" s="63">
        <f t="shared" si="14"/>
        <v>30600</v>
      </c>
      <c r="BR22" s="63">
        <f t="shared" si="15"/>
        <v>30600</v>
      </c>
      <c r="BS22" s="63">
        <f t="shared" si="16"/>
        <v>30600</v>
      </c>
    </row>
    <row r="23" spans="1:71">
      <c r="A23" s="28">
        <f t="shared" si="6"/>
        <v>22</v>
      </c>
      <c r="B23" s="29" t="s">
        <v>603</v>
      </c>
      <c r="C23" s="30" t="s">
        <v>92</v>
      </c>
      <c r="D23" s="30" t="s">
        <v>557</v>
      </c>
      <c r="E23" s="30" t="s">
        <v>539</v>
      </c>
      <c r="F23" s="30" t="s">
        <v>558</v>
      </c>
      <c r="G23" s="32" t="s">
        <v>195</v>
      </c>
      <c r="H23" s="35" t="s">
        <v>196</v>
      </c>
      <c r="I23" s="32"/>
      <c r="J23" s="32"/>
      <c r="K23" s="30" t="s">
        <v>604</v>
      </c>
      <c r="L23" s="39">
        <v>4000000</v>
      </c>
      <c r="M23" s="30" t="s">
        <v>56</v>
      </c>
      <c r="N23" s="31" t="s">
        <v>605</v>
      </c>
      <c r="O23" s="30" t="s">
        <v>606</v>
      </c>
      <c r="P23" s="42"/>
      <c r="Q23" s="42">
        <v>0.138</v>
      </c>
      <c r="R23" s="47">
        <f t="shared" si="7"/>
        <v>0</v>
      </c>
      <c r="S23" s="48">
        <v>0</v>
      </c>
      <c r="T23" s="48">
        <f t="shared" si="8"/>
        <v>0</v>
      </c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>
        <v>0</v>
      </c>
      <c r="AH23" s="39">
        <v>0</v>
      </c>
      <c r="AI23" s="39">
        <v>0</v>
      </c>
      <c r="AJ23" s="39">
        <v>0</v>
      </c>
      <c r="AK23" s="39">
        <v>0</v>
      </c>
      <c r="AL23" s="39">
        <v>0</v>
      </c>
      <c r="AM23" s="39">
        <v>0</v>
      </c>
      <c r="AN23" s="39"/>
      <c r="AO23" s="39"/>
      <c r="AP23" s="39"/>
      <c r="AQ23" s="39"/>
      <c r="AR23" s="39"/>
      <c r="AS23" s="30" t="s">
        <v>99</v>
      </c>
      <c r="AT23" s="30" t="s">
        <v>105</v>
      </c>
      <c r="AU23" s="30" t="s">
        <v>81</v>
      </c>
      <c r="AV23" s="29" t="s">
        <v>581</v>
      </c>
      <c r="AW23" s="30" t="s">
        <v>588</v>
      </c>
      <c r="AX23" s="30" t="s">
        <v>607</v>
      </c>
      <c r="AY23" s="30" t="s">
        <v>608</v>
      </c>
      <c r="AZ23" s="30"/>
      <c r="BA23" s="30"/>
      <c r="BB23" s="30"/>
      <c r="BC23" s="58">
        <v>1</v>
      </c>
      <c r="BD23" s="55"/>
      <c r="BE23" s="55"/>
      <c r="BF23" s="55"/>
      <c r="BG23" s="55"/>
      <c r="BH23" s="55"/>
      <c r="BI23" s="55"/>
      <c r="BJ23" s="59"/>
      <c r="BK23" s="39"/>
      <c r="BL23" s="63">
        <f t="shared" si="9"/>
        <v>0</v>
      </c>
      <c r="BM23" s="63">
        <f t="shared" si="10"/>
        <v>0</v>
      </c>
      <c r="BN23" s="63">
        <f t="shared" si="11"/>
        <v>0</v>
      </c>
      <c r="BO23" s="63">
        <f t="shared" si="12"/>
        <v>0</v>
      </c>
      <c r="BP23" s="63">
        <f t="shared" si="13"/>
        <v>0</v>
      </c>
      <c r="BQ23" s="63">
        <f t="shared" si="14"/>
        <v>0</v>
      </c>
      <c r="BR23" s="63">
        <f t="shared" si="15"/>
        <v>0</v>
      </c>
      <c r="BS23" s="63">
        <f t="shared" si="16"/>
        <v>0</v>
      </c>
    </row>
    <row r="24" spans="1:71">
      <c r="A24" s="28">
        <f t="shared" si="6"/>
        <v>23</v>
      </c>
      <c r="B24" s="29" t="s">
        <v>603</v>
      </c>
      <c r="C24" s="30" t="s">
        <v>92</v>
      </c>
      <c r="D24" s="30" t="s">
        <v>557</v>
      </c>
      <c r="E24" s="30" t="s">
        <v>539</v>
      </c>
      <c r="F24" s="30" t="s">
        <v>558</v>
      </c>
      <c r="G24" s="30" t="s">
        <v>283</v>
      </c>
      <c r="H24" s="35" t="s">
        <v>284</v>
      </c>
      <c r="I24" s="30"/>
      <c r="J24" s="30"/>
      <c r="K24" s="30" t="s">
        <v>604</v>
      </c>
      <c r="L24" s="39">
        <v>4000000</v>
      </c>
      <c r="M24" s="30" t="s">
        <v>56</v>
      </c>
      <c r="N24" s="31" t="s">
        <v>605</v>
      </c>
      <c r="O24" s="30"/>
      <c r="P24" s="42"/>
      <c r="Q24" s="42">
        <v>0.598</v>
      </c>
      <c r="R24" s="47">
        <f t="shared" si="7"/>
        <v>0</v>
      </c>
      <c r="S24" s="48">
        <v>0</v>
      </c>
      <c r="T24" s="48">
        <f t="shared" si="8"/>
        <v>0</v>
      </c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>
        <v>0</v>
      </c>
      <c r="AH24" s="39">
        <v>0</v>
      </c>
      <c r="AI24" s="39">
        <v>0</v>
      </c>
      <c r="AJ24" s="39">
        <v>0</v>
      </c>
      <c r="AK24" s="39">
        <v>0</v>
      </c>
      <c r="AL24" s="39">
        <v>0</v>
      </c>
      <c r="AM24" s="39">
        <v>0</v>
      </c>
      <c r="AN24" s="39"/>
      <c r="AO24" s="39"/>
      <c r="AP24" s="39"/>
      <c r="AQ24" s="39"/>
      <c r="AR24" s="39"/>
      <c r="AS24" s="30" t="s">
        <v>99</v>
      </c>
      <c r="AT24" s="30" t="s">
        <v>105</v>
      </c>
      <c r="AU24" s="30" t="s">
        <v>81</v>
      </c>
      <c r="AV24" s="29" t="s">
        <v>581</v>
      </c>
      <c r="AW24" s="30" t="s">
        <v>588</v>
      </c>
      <c r="AX24" s="30" t="s">
        <v>607</v>
      </c>
      <c r="AY24" s="30"/>
      <c r="AZ24" s="30"/>
      <c r="BA24" s="30"/>
      <c r="BB24" s="30"/>
      <c r="BC24" s="58">
        <v>1</v>
      </c>
      <c r="BD24" s="55"/>
      <c r="BE24" s="55"/>
      <c r="BF24" s="55"/>
      <c r="BG24" s="55"/>
      <c r="BH24" s="55"/>
      <c r="BI24" s="55"/>
      <c r="BJ24" s="59"/>
      <c r="BK24" s="39"/>
      <c r="BL24" s="63">
        <f t="shared" si="9"/>
        <v>0</v>
      </c>
      <c r="BM24" s="63">
        <f t="shared" si="10"/>
        <v>0</v>
      </c>
      <c r="BN24" s="63">
        <f t="shared" si="11"/>
        <v>0</v>
      </c>
      <c r="BO24" s="63">
        <f t="shared" si="12"/>
        <v>0</v>
      </c>
      <c r="BP24" s="63">
        <f t="shared" si="13"/>
        <v>0</v>
      </c>
      <c r="BQ24" s="63">
        <f t="shared" si="14"/>
        <v>0</v>
      </c>
      <c r="BR24" s="63">
        <f t="shared" si="15"/>
        <v>0</v>
      </c>
      <c r="BS24" s="63">
        <f t="shared" si="16"/>
        <v>0</v>
      </c>
    </row>
    <row r="25" spans="1:71">
      <c r="A25" s="28">
        <f t="shared" si="6"/>
        <v>24</v>
      </c>
      <c r="B25" s="30" t="s">
        <v>609</v>
      </c>
      <c r="C25" s="30" t="s">
        <v>527</v>
      </c>
      <c r="D25" s="30" t="s">
        <v>610</v>
      </c>
      <c r="E25" s="30" t="s">
        <v>539</v>
      </c>
      <c r="F25" s="30" t="s">
        <v>611</v>
      </c>
      <c r="G25" s="30" t="s">
        <v>297</v>
      </c>
      <c r="H25" s="35" t="s">
        <v>298</v>
      </c>
      <c r="I25" s="30"/>
      <c r="J25" s="30"/>
      <c r="K25" s="30" t="s">
        <v>612</v>
      </c>
      <c r="L25" s="39">
        <v>6000000</v>
      </c>
      <c r="M25" s="30" t="s">
        <v>103</v>
      </c>
      <c r="N25" s="30" t="s">
        <v>613</v>
      </c>
      <c r="O25" s="30" t="s">
        <v>614</v>
      </c>
      <c r="P25" s="42"/>
      <c r="Q25" s="42">
        <v>0.615</v>
      </c>
      <c r="R25" s="47">
        <f t="shared" si="7"/>
        <v>0</v>
      </c>
      <c r="S25" s="48">
        <v>0</v>
      </c>
      <c r="T25" s="48">
        <f t="shared" si="8"/>
        <v>0</v>
      </c>
      <c r="U25" s="30"/>
      <c r="V25" s="30"/>
      <c r="W25" s="30"/>
      <c r="X25" s="30"/>
      <c r="Y25" s="30"/>
      <c r="Z25" s="30"/>
      <c r="AA25" s="52"/>
      <c r="AB25" s="52"/>
      <c r="AC25" s="52"/>
      <c r="AD25" s="52"/>
      <c r="AE25" s="52"/>
      <c r="AF25" s="52"/>
      <c r="AG25" s="39">
        <v>0</v>
      </c>
      <c r="AH25" s="39">
        <v>0</v>
      </c>
      <c r="AI25" s="39">
        <v>0</v>
      </c>
      <c r="AJ25" s="39">
        <v>0</v>
      </c>
      <c r="AK25" s="39">
        <v>0</v>
      </c>
      <c r="AL25" s="39">
        <v>0</v>
      </c>
      <c r="AM25" s="39">
        <v>0</v>
      </c>
      <c r="AN25" s="39"/>
      <c r="AO25" s="39"/>
      <c r="AP25" s="39"/>
      <c r="AQ25" s="39"/>
      <c r="AR25" s="39"/>
      <c r="AS25" s="30" t="s">
        <v>93</v>
      </c>
      <c r="AT25" s="30" t="s">
        <v>105</v>
      </c>
      <c r="AU25" s="30" t="s">
        <v>81</v>
      </c>
      <c r="AV25" s="30" t="s">
        <v>117</v>
      </c>
      <c r="AW25" s="30" t="s">
        <v>553</v>
      </c>
      <c r="AX25" s="30" t="s">
        <v>554</v>
      </c>
      <c r="AY25" s="30" t="s">
        <v>555</v>
      </c>
      <c r="AZ25" s="30" t="s">
        <v>615</v>
      </c>
      <c r="BA25" s="30"/>
      <c r="BB25" s="30"/>
      <c r="BC25" s="58"/>
      <c r="BD25" s="30"/>
      <c r="BE25" s="30"/>
      <c r="BF25" s="30"/>
      <c r="BG25" s="30"/>
      <c r="BH25" s="30"/>
      <c r="BI25" s="30"/>
      <c r="BJ25" s="64"/>
      <c r="BK25" s="39"/>
      <c r="BL25" s="63">
        <f t="shared" si="9"/>
        <v>0</v>
      </c>
      <c r="BM25" s="63">
        <f t="shared" si="10"/>
        <v>0</v>
      </c>
      <c r="BN25" s="63">
        <f t="shared" si="11"/>
        <v>0</v>
      </c>
      <c r="BO25" s="63">
        <f t="shared" si="12"/>
        <v>0</v>
      </c>
      <c r="BP25" s="63">
        <f t="shared" si="13"/>
        <v>0</v>
      </c>
      <c r="BQ25" s="63">
        <f t="shared" si="14"/>
        <v>0</v>
      </c>
      <c r="BR25" s="63">
        <f t="shared" si="15"/>
        <v>0</v>
      </c>
      <c r="BS25" s="63">
        <f t="shared" si="16"/>
        <v>0</v>
      </c>
    </row>
    <row r="26" spans="1:71">
      <c r="A26" s="28">
        <f t="shared" si="6"/>
        <v>25</v>
      </c>
      <c r="B26" s="30" t="s">
        <v>609</v>
      </c>
      <c r="C26" s="30" t="s">
        <v>527</v>
      </c>
      <c r="D26" s="30" t="s">
        <v>610</v>
      </c>
      <c r="E26" s="30" t="s">
        <v>539</v>
      </c>
      <c r="F26" s="30" t="s">
        <v>611</v>
      </c>
      <c r="G26" s="30" t="s">
        <v>301</v>
      </c>
      <c r="H26" s="36" t="s">
        <v>302</v>
      </c>
      <c r="I26" s="30"/>
      <c r="J26" s="30"/>
      <c r="K26" s="30" t="s">
        <v>612</v>
      </c>
      <c r="L26" s="39">
        <v>100000</v>
      </c>
      <c r="M26" s="30" t="s">
        <v>103</v>
      </c>
      <c r="N26" s="30" t="s">
        <v>89</v>
      </c>
      <c r="O26" s="30" t="s">
        <v>614</v>
      </c>
      <c r="P26" s="42"/>
      <c r="Q26" s="42">
        <v>0.58</v>
      </c>
      <c r="R26" s="47">
        <f t="shared" si="7"/>
        <v>203000</v>
      </c>
      <c r="S26" s="48">
        <v>232000</v>
      </c>
      <c r="T26" s="48">
        <f t="shared" si="8"/>
        <v>350000</v>
      </c>
      <c r="U26" s="52"/>
      <c r="V26" s="52"/>
      <c r="W26" s="52">
        <v>100000</v>
      </c>
      <c r="X26" s="52">
        <v>50000</v>
      </c>
      <c r="Y26" s="52">
        <v>50000</v>
      </c>
      <c r="Z26" s="52">
        <v>50000</v>
      </c>
      <c r="AA26" s="52">
        <v>50000</v>
      </c>
      <c r="AB26" s="52">
        <v>50000</v>
      </c>
      <c r="AC26" s="52">
        <v>50000</v>
      </c>
      <c r="AD26" s="52">
        <v>50000</v>
      </c>
      <c r="AE26" s="52">
        <v>50000</v>
      </c>
      <c r="AF26" s="52">
        <v>50000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0" t="s">
        <v>93</v>
      </c>
      <c r="AT26" s="30" t="s">
        <v>105</v>
      </c>
      <c r="AU26" s="30" t="s">
        <v>81</v>
      </c>
      <c r="AV26" s="30" t="s">
        <v>117</v>
      </c>
      <c r="AW26" s="30" t="s">
        <v>553</v>
      </c>
      <c r="AX26" s="30" t="s">
        <v>554</v>
      </c>
      <c r="AY26" s="30" t="s">
        <v>555</v>
      </c>
      <c r="AZ26" s="30" t="s">
        <v>615</v>
      </c>
      <c r="BA26" s="30"/>
      <c r="BB26" s="30"/>
      <c r="BC26" s="58"/>
      <c r="BD26" s="30"/>
      <c r="BE26" s="30"/>
      <c r="BF26" s="30"/>
      <c r="BG26" s="30"/>
      <c r="BH26" s="30"/>
      <c r="BI26" s="30"/>
      <c r="BJ26" s="64"/>
      <c r="BK26" s="39"/>
      <c r="BL26" s="63">
        <f t="shared" si="9"/>
        <v>29000</v>
      </c>
      <c r="BM26" s="63">
        <f t="shared" si="10"/>
        <v>29000</v>
      </c>
      <c r="BN26" s="63">
        <f t="shared" si="11"/>
        <v>29000</v>
      </c>
      <c r="BO26" s="63">
        <f t="shared" si="12"/>
        <v>29000</v>
      </c>
      <c r="BP26" s="63">
        <f t="shared" si="13"/>
        <v>29000</v>
      </c>
      <c r="BQ26" s="63">
        <f t="shared" si="14"/>
        <v>29000</v>
      </c>
      <c r="BR26" s="63">
        <f t="shared" si="15"/>
        <v>29000</v>
      </c>
      <c r="BS26" s="63">
        <f t="shared" si="16"/>
        <v>29000</v>
      </c>
    </row>
    <row r="27" spans="1:71">
      <c r="A27" s="28">
        <f t="shared" si="6"/>
        <v>26</v>
      </c>
      <c r="B27" s="30" t="s">
        <v>609</v>
      </c>
      <c r="C27" s="30" t="s">
        <v>527</v>
      </c>
      <c r="D27" s="30" t="s">
        <v>610</v>
      </c>
      <c r="E27" s="30" t="s">
        <v>539</v>
      </c>
      <c r="F27" s="30" t="s">
        <v>611</v>
      </c>
      <c r="G27" s="30" t="s">
        <v>297</v>
      </c>
      <c r="H27" s="35" t="s">
        <v>298</v>
      </c>
      <c r="I27" s="30"/>
      <c r="J27" s="30"/>
      <c r="K27" s="30" t="s">
        <v>550</v>
      </c>
      <c r="L27" s="39">
        <v>100000</v>
      </c>
      <c r="M27" s="30" t="s">
        <v>103</v>
      </c>
      <c r="N27" s="30" t="s">
        <v>616</v>
      </c>
      <c r="O27" s="30" t="s">
        <v>614</v>
      </c>
      <c r="P27" s="42"/>
      <c r="Q27" s="42">
        <v>0.615</v>
      </c>
      <c r="R27" s="47">
        <f t="shared" si="7"/>
        <v>0</v>
      </c>
      <c r="S27" s="48">
        <v>0</v>
      </c>
      <c r="T27" s="48">
        <f t="shared" si="8"/>
        <v>0</v>
      </c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>
        <v>0</v>
      </c>
      <c r="AH27" s="39">
        <v>0</v>
      </c>
      <c r="AI27" s="39">
        <v>0</v>
      </c>
      <c r="AJ27" s="39">
        <v>0</v>
      </c>
      <c r="AK27" s="39">
        <v>0</v>
      </c>
      <c r="AL27" s="39">
        <v>0</v>
      </c>
      <c r="AM27" s="39">
        <v>0</v>
      </c>
      <c r="AN27" s="39"/>
      <c r="AO27" s="39"/>
      <c r="AP27" s="39"/>
      <c r="AQ27" s="39"/>
      <c r="AR27" s="39"/>
      <c r="AS27" s="30" t="s">
        <v>93</v>
      </c>
      <c r="AT27" s="30" t="s">
        <v>105</v>
      </c>
      <c r="AU27" s="30" t="s">
        <v>81</v>
      </c>
      <c r="AV27" s="30" t="s">
        <v>117</v>
      </c>
      <c r="AW27" s="30" t="s">
        <v>143</v>
      </c>
      <c r="AX27" s="30" t="s">
        <v>554</v>
      </c>
      <c r="AY27" s="30" t="s">
        <v>555</v>
      </c>
      <c r="AZ27" s="30" t="s">
        <v>617</v>
      </c>
      <c r="BA27" s="30"/>
      <c r="BB27" s="30"/>
      <c r="BC27" s="58">
        <v>1</v>
      </c>
      <c r="BD27" s="30"/>
      <c r="BE27" s="30"/>
      <c r="BF27" s="30"/>
      <c r="BG27" s="30"/>
      <c r="BH27" s="30"/>
      <c r="BI27" s="30"/>
      <c r="BJ27" s="64"/>
      <c r="BK27" s="39"/>
      <c r="BL27" s="63">
        <f t="shared" si="9"/>
        <v>0</v>
      </c>
      <c r="BM27" s="63">
        <f t="shared" si="10"/>
        <v>0</v>
      </c>
      <c r="BN27" s="63">
        <f t="shared" si="11"/>
        <v>0</v>
      </c>
      <c r="BO27" s="63">
        <f t="shared" si="12"/>
        <v>0</v>
      </c>
      <c r="BP27" s="63">
        <f t="shared" si="13"/>
        <v>0</v>
      </c>
      <c r="BQ27" s="63">
        <f t="shared" si="14"/>
        <v>0</v>
      </c>
      <c r="BR27" s="63">
        <f t="shared" si="15"/>
        <v>0</v>
      </c>
      <c r="BS27" s="63">
        <f t="shared" si="16"/>
        <v>0</v>
      </c>
    </row>
    <row r="28" spans="1:71">
      <c r="A28" s="28">
        <f t="shared" si="6"/>
        <v>27</v>
      </c>
      <c r="B28" s="30" t="s">
        <v>609</v>
      </c>
      <c r="C28" s="30" t="s">
        <v>527</v>
      </c>
      <c r="D28" s="30" t="s">
        <v>610</v>
      </c>
      <c r="E28" s="30" t="s">
        <v>539</v>
      </c>
      <c r="F28" s="30" t="s">
        <v>611</v>
      </c>
      <c r="G28" s="30" t="s">
        <v>297</v>
      </c>
      <c r="H28" s="35" t="s">
        <v>298</v>
      </c>
      <c r="I28" s="30"/>
      <c r="J28" s="30"/>
      <c r="K28" s="30" t="s">
        <v>550</v>
      </c>
      <c r="L28" s="39">
        <v>1000000</v>
      </c>
      <c r="M28" s="30" t="s">
        <v>618</v>
      </c>
      <c r="N28" s="30" t="s">
        <v>619</v>
      </c>
      <c r="O28" s="30" t="s">
        <v>620</v>
      </c>
      <c r="P28" s="42"/>
      <c r="Q28" s="42">
        <v>0.615</v>
      </c>
      <c r="R28" s="47">
        <f t="shared" si="7"/>
        <v>3382500</v>
      </c>
      <c r="S28" s="48">
        <v>2521500</v>
      </c>
      <c r="T28" s="48">
        <f t="shared" si="8"/>
        <v>5500000</v>
      </c>
      <c r="U28" s="39"/>
      <c r="V28" s="39"/>
      <c r="W28" s="39"/>
      <c r="X28" s="39"/>
      <c r="Y28" s="39"/>
      <c r="Z28" s="39">
        <v>500000</v>
      </c>
      <c r="AA28" s="39">
        <v>800000</v>
      </c>
      <c r="AB28" s="39">
        <v>800000</v>
      </c>
      <c r="AC28" s="39">
        <v>800000</v>
      </c>
      <c r="AD28" s="39">
        <v>800000</v>
      </c>
      <c r="AE28" s="39">
        <v>800000</v>
      </c>
      <c r="AF28" s="39">
        <v>1000000</v>
      </c>
      <c r="AG28" s="39">
        <v>0</v>
      </c>
      <c r="AH28" s="39">
        <v>0</v>
      </c>
      <c r="AI28" s="39">
        <v>0</v>
      </c>
      <c r="AJ28" s="39">
        <v>0</v>
      </c>
      <c r="AK28" s="39">
        <v>0</v>
      </c>
      <c r="AL28" s="39">
        <v>0</v>
      </c>
      <c r="AM28" s="39">
        <v>0</v>
      </c>
      <c r="AN28" s="39"/>
      <c r="AO28" s="39"/>
      <c r="AP28" s="39"/>
      <c r="AQ28" s="39"/>
      <c r="AR28" s="39"/>
      <c r="AS28" s="30" t="s">
        <v>93</v>
      </c>
      <c r="AT28" s="30" t="s">
        <v>105</v>
      </c>
      <c r="AU28" s="30" t="s">
        <v>81</v>
      </c>
      <c r="AV28" s="30" t="s">
        <v>117</v>
      </c>
      <c r="AW28" s="30" t="s">
        <v>143</v>
      </c>
      <c r="AX28" s="30" t="s">
        <v>554</v>
      </c>
      <c r="AY28" s="30" t="s">
        <v>555</v>
      </c>
      <c r="AZ28" s="30"/>
      <c r="BA28" s="30"/>
      <c r="BB28" s="30"/>
      <c r="BC28" s="58">
        <v>1</v>
      </c>
      <c r="BD28" s="30"/>
      <c r="BE28" s="30"/>
      <c r="BF28" s="30"/>
      <c r="BG28" s="30"/>
      <c r="BH28" s="30"/>
      <c r="BI28" s="30"/>
      <c r="BJ28" s="64"/>
      <c r="BK28" s="39"/>
      <c r="BL28" s="63">
        <f t="shared" si="9"/>
        <v>0</v>
      </c>
      <c r="BM28" s="63">
        <f t="shared" si="10"/>
        <v>307500</v>
      </c>
      <c r="BN28" s="63">
        <f t="shared" si="11"/>
        <v>492000</v>
      </c>
      <c r="BO28" s="63">
        <f t="shared" si="12"/>
        <v>492000</v>
      </c>
      <c r="BP28" s="63">
        <f t="shared" si="13"/>
        <v>492000</v>
      </c>
      <c r="BQ28" s="63">
        <f t="shared" si="14"/>
        <v>492000</v>
      </c>
      <c r="BR28" s="63">
        <f t="shared" si="15"/>
        <v>492000</v>
      </c>
      <c r="BS28" s="63">
        <f t="shared" si="16"/>
        <v>615000</v>
      </c>
    </row>
    <row r="29" spans="1:71">
      <c r="A29" s="28">
        <f t="shared" si="6"/>
        <v>28</v>
      </c>
      <c r="B29" s="30" t="s">
        <v>609</v>
      </c>
      <c r="C29" s="30" t="s">
        <v>527</v>
      </c>
      <c r="D29" s="30" t="s">
        <v>610</v>
      </c>
      <c r="E29" s="30" t="s">
        <v>539</v>
      </c>
      <c r="F29" s="30" t="s">
        <v>611</v>
      </c>
      <c r="G29" s="30" t="s">
        <v>278</v>
      </c>
      <c r="H29" s="35" t="s">
        <v>279</v>
      </c>
      <c r="I29" s="30"/>
      <c r="J29" s="30"/>
      <c r="K29" s="30" t="s">
        <v>550</v>
      </c>
      <c r="L29" s="39"/>
      <c r="M29" s="30" t="s">
        <v>103</v>
      </c>
      <c r="N29" s="30" t="s">
        <v>103</v>
      </c>
      <c r="O29" s="30"/>
      <c r="P29" s="42"/>
      <c r="Q29" s="42">
        <v>0.55</v>
      </c>
      <c r="R29" s="47">
        <f t="shared" si="7"/>
        <v>110000</v>
      </c>
      <c r="S29" s="48">
        <v>660000</v>
      </c>
      <c r="T29" s="48">
        <f t="shared" si="8"/>
        <v>200000</v>
      </c>
      <c r="U29" s="39">
        <v>500000</v>
      </c>
      <c r="V29" s="39">
        <v>200000</v>
      </c>
      <c r="W29" s="39">
        <v>300000</v>
      </c>
      <c r="X29" s="39">
        <v>0</v>
      </c>
      <c r="Y29" s="39"/>
      <c r="Z29" s="39"/>
      <c r="AA29" s="39"/>
      <c r="AB29" s="39"/>
      <c r="AC29" s="39"/>
      <c r="AD29" s="39"/>
      <c r="AE29" s="39"/>
      <c r="AF29" s="39">
        <v>200000</v>
      </c>
      <c r="AG29" s="39">
        <v>0</v>
      </c>
      <c r="AH29" s="39">
        <v>0</v>
      </c>
      <c r="AI29" s="39">
        <v>0</v>
      </c>
      <c r="AJ29" s="39">
        <v>0</v>
      </c>
      <c r="AK29" s="39">
        <v>0</v>
      </c>
      <c r="AL29" s="39">
        <v>0</v>
      </c>
      <c r="AM29" s="39">
        <v>0</v>
      </c>
      <c r="AN29" s="39"/>
      <c r="AO29" s="39"/>
      <c r="AP29" s="39"/>
      <c r="AQ29" s="39"/>
      <c r="AR29" s="39"/>
      <c r="AS29" s="30" t="s">
        <v>93</v>
      </c>
      <c r="AT29" s="30" t="s">
        <v>105</v>
      </c>
      <c r="AU29" s="30" t="s">
        <v>81</v>
      </c>
      <c r="AV29" s="30" t="s">
        <v>117</v>
      </c>
      <c r="AW29" s="30" t="s">
        <v>143</v>
      </c>
      <c r="AX29" s="30" t="s">
        <v>554</v>
      </c>
      <c r="AY29" s="30" t="s">
        <v>555</v>
      </c>
      <c r="AZ29" s="30"/>
      <c r="BA29" s="30"/>
      <c r="BB29" s="30"/>
      <c r="BC29" s="58">
        <v>1</v>
      </c>
      <c r="BD29" s="30"/>
      <c r="BE29" s="30"/>
      <c r="BF29" s="30"/>
      <c r="BG29" s="30"/>
      <c r="BH29" s="30"/>
      <c r="BI29" s="30"/>
      <c r="BJ29" s="64"/>
      <c r="BK29" s="39"/>
      <c r="BL29" s="63">
        <f t="shared" si="9"/>
        <v>0</v>
      </c>
      <c r="BM29" s="63">
        <f t="shared" si="10"/>
        <v>0</v>
      </c>
      <c r="BN29" s="63">
        <f t="shared" si="11"/>
        <v>0</v>
      </c>
      <c r="BO29" s="63">
        <f t="shared" si="12"/>
        <v>0</v>
      </c>
      <c r="BP29" s="63">
        <f t="shared" si="13"/>
        <v>0</v>
      </c>
      <c r="BQ29" s="63">
        <f t="shared" si="14"/>
        <v>0</v>
      </c>
      <c r="BR29" s="63">
        <f t="shared" si="15"/>
        <v>0</v>
      </c>
      <c r="BS29" s="63">
        <f t="shared" si="16"/>
        <v>110000</v>
      </c>
    </row>
    <row r="30" spans="1:71">
      <c r="A30" s="28">
        <f t="shared" si="6"/>
        <v>29</v>
      </c>
      <c r="B30" s="30" t="s">
        <v>621</v>
      </c>
      <c r="C30" s="30" t="s">
        <v>527</v>
      </c>
      <c r="D30" s="30" t="s">
        <v>610</v>
      </c>
      <c r="E30" s="30" t="s">
        <v>539</v>
      </c>
      <c r="F30" s="30" t="s">
        <v>611</v>
      </c>
      <c r="G30" s="30" t="s">
        <v>510</v>
      </c>
      <c r="H30" s="35" t="s">
        <v>510</v>
      </c>
      <c r="I30" s="30"/>
      <c r="J30" s="30"/>
      <c r="K30" s="30" t="s">
        <v>622</v>
      </c>
      <c r="L30" s="39">
        <v>500000</v>
      </c>
      <c r="M30" s="30" t="s">
        <v>618</v>
      </c>
      <c r="N30" s="30" t="s">
        <v>623</v>
      </c>
      <c r="O30" s="30" t="s">
        <v>624</v>
      </c>
      <c r="P30" s="42"/>
      <c r="Q30" s="42"/>
      <c r="R30" s="47">
        <f t="shared" si="7"/>
        <v>0</v>
      </c>
      <c r="S30" s="48">
        <v>0</v>
      </c>
      <c r="T30" s="48">
        <f t="shared" si="8"/>
        <v>0</v>
      </c>
      <c r="U30" s="53"/>
      <c r="V30" s="53"/>
      <c r="W30" s="53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0" t="s">
        <v>93</v>
      </c>
      <c r="AT30" s="30" t="s">
        <v>105</v>
      </c>
      <c r="AU30" s="30" t="s">
        <v>573</v>
      </c>
      <c r="AV30" s="30" t="s">
        <v>117</v>
      </c>
      <c r="AW30" s="30" t="s">
        <v>143</v>
      </c>
      <c r="AX30" s="30" t="s">
        <v>554</v>
      </c>
      <c r="AY30" s="30" t="s">
        <v>622</v>
      </c>
      <c r="AZ30" s="30" t="s">
        <v>625</v>
      </c>
      <c r="BA30" s="30"/>
      <c r="BB30" s="30"/>
      <c r="BC30" s="58">
        <v>1</v>
      </c>
      <c r="BD30" s="30"/>
      <c r="BE30" s="30"/>
      <c r="BF30" s="30"/>
      <c r="BG30" s="30"/>
      <c r="BH30" s="30"/>
      <c r="BI30" s="30"/>
      <c r="BJ30" s="64"/>
      <c r="BK30" s="39"/>
      <c r="BL30" s="63">
        <f t="shared" si="9"/>
        <v>0</v>
      </c>
      <c r="BM30" s="63">
        <f t="shared" si="10"/>
        <v>0</v>
      </c>
      <c r="BN30" s="63">
        <f t="shared" si="11"/>
        <v>0</v>
      </c>
      <c r="BO30" s="63">
        <f t="shared" si="12"/>
        <v>0</v>
      </c>
      <c r="BP30" s="63">
        <f t="shared" si="13"/>
        <v>0</v>
      </c>
      <c r="BQ30" s="63">
        <f t="shared" si="14"/>
        <v>0</v>
      </c>
      <c r="BR30" s="63">
        <f t="shared" si="15"/>
        <v>0</v>
      </c>
      <c r="BS30" s="63">
        <f t="shared" si="16"/>
        <v>0</v>
      </c>
    </row>
    <row r="31" spans="1:71">
      <c r="A31" s="28">
        <f t="shared" si="6"/>
        <v>30</v>
      </c>
      <c r="B31" s="31" t="s">
        <v>626</v>
      </c>
      <c r="C31" s="30" t="s">
        <v>72</v>
      </c>
      <c r="D31" s="30" t="s">
        <v>627</v>
      </c>
      <c r="E31" s="30" t="s">
        <v>99</v>
      </c>
      <c r="F31" s="30"/>
      <c r="G31" s="30" t="s">
        <v>292</v>
      </c>
      <c r="H31" s="35" t="s">
        <v>293</v>
      </c>
      <c r="I31" s="30"/>
      <c r="J31" s="30"/>
      <c r="K31" s="30" t="s">
        <v>628</v>
      </c>
      <c r="L31" s="40"/>
      <c r="M31" s="39" t="s">
        <v>103</v>
      </c>
      <c r="N31" s="31" t="s">
        <v>629</v>
      </c>
      <c r="O31" s="30" t="s">
        <v>630</v>
      </c>
      <c r="P31" s="43"/>
      <c r="Q31" s="42">
        <v>0.28</v>
      </c>
      <c r="R31" s="47">
        <f t="shared" si="7"/>
        <v>140000</v>
      </c>
      <c r="S31" s="48">
        <v>224000</v>
      </c>
      <c r="T31" s="48">
        <f t="shared" si="8"/>
        <v>500000</v>
      </c>
      <c r="U31" s="39"/>
      <c r="V31" s="39"/>
      <c r="W31" s="39"/>
      <c r="X31" s="39"/>
      <c r="Y31" s="39">
        <v>100000</v>
      </c>
      <c r="Z31" s="39">
        <v>100000</v>
      </c>
      <c r="AA31" s="39"/>
      <c r="AB31" s="39"/>
      <c r="AC31" s="39">
        <v>100000</v>
      </c>
      <c r="AD31" s="39">
        <v>100000</v>
      </c>
      <c r="AE31" s="39">
        <v>100000</v>
      </c>
      <c r="AF31" s="39">
        <v>100000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0"/>
      <c r="AT31" s="30" t="s">
        <v>105</v>
      </c>
      <c r="AU31" s="30" t="s">
        <v>81</v>
      </c>
      <c r="AV31" s="30" t="s">
        <v>106</v>
      </c>
      <c r="AW31" s="30" t="s">
        <v>107</v>
      </c>
      <c r="AX31" s="30" t="s">
        <v>108</v>
      </c>
      <c r="AY31" s="33"/>
      <c r="AZ31" s="30"/>
      <c r="BA31" s="30"/>
      <c r="BB31" s="30"/>
      <c r="BC31" s="58"/>
      <c r="BD31" s="30"/>
      <c r="BE31" s="30"/>
      <c r="BF31" s="30"/>
      <c r="BG31" s="30"/>
      <c r="BH31" s="30"/>
      <c r="BI31" s="30"/>
      <c r="BJ31" s="29"/>
      <c r="BK31" s="29"/>
      <c r="BL31" s="63">
        <f t="shared" si="9"/>
        <v>28000</v>
      </c>
      <c r="BM31" s="63">
        <f t="shared" si="10"/>
        <v>28000</v>
      </c>
      <c r="BN31" s="63">
        <f t="shared" si="11"/>
        <v>0</v>
      </c>
      <c r="BO31" s="63">
        <f t="shared" si="12"/>
        <v>0</v>
      </c>
      <c r="BP31" s="63">
        <f t="shared" si="13"/>
        <v>28000</v>
      </c>
      <c r="BQ31" s="63">
        <f t="shared" si="14"/>
        <v>28000</v>
      </c>
      <c r="BR31" s="63">
        <f t="shared" si="15"/>
        <v>28000</v>
      </c>
      <c r="BS31" s="63">
        <f t="shared" si="16"/>
        <v>28000</v>
      </c>
    </row>
    <row r="32" spans="1:71">
      <c r="A32" s="28">
        <f t="shared" si="6"/>
        <v>31</v>
      </c>
      <c r="B32" s="31" t="s">
        <v>97</v>
      </c>
      <c r="C32" s="30" t="s">
        <v>72</v>
      </c>
      <c r="D32" s="30" t="s">
        <v>98</v>
      </c>
      <c r="E32" s="30" t="s">
        <v>99</v>
      </c>
      <c r="F32" s="30"/>
      <c r="G32" s="32" t="s">
        <v>236</v>
      </c>
      <c r="H32" s="35" t="s">
        <v>237</v>
      </c>
      <c r="I32" s="32"/>
      <c r="J32" s="32"/>
      <c r="K32" s="30" t="s">
        <v>102</v>
      </c>
      <c r="L32" s="40"/>
      <c r="M32" s="39" t="s">
        <v>103</v>
      </c>
      <c r="N32" s="31" t="s">
        <v>104</v>
      </c>
      <c r="O32" s="30" t="s">
        <v>89</v>
      </c>
      <c r="P32" s="43"/>
      <c r="Q32" s="42">
        <v>0.3</v>
      </c>
      <c r="R32" s="47">
        <f t="shared" si="7"/>
        <v>180000</v>
      </c>
      <c r="S32" s="48">
        <v>288000</v>
      </c>
      <c r="T32" s="48">
        <f t="shared" si="8"/>
        <v>600000</v>
      </c>
      <c r="U32" s="39">
        <v>120000</v>
      </c>
      <c r="V32" s="39">
        <v>60000</v>
      </c>
      <c r="W32" s="39">
        <v>120000</v>
      </c>
      <c r="X32" s="39">
        <v>60000</v>
      </c>
      <c r="Y32" s="39">
        <v>120000</v>
      </c>
      <c r="Z32" s="39"/>
      <c r="AA32" s="39"/>
      <c r="AB32" s="39">
        <v>120000</v>
      </c>
      <c r="AC32" s="39">
        <v>120000</v>
      </c>
      <c r="AD32" s="39">
        <v>120000</v>
      </c>
      <c r="AE32" s="39">
        <v>120000</v>
      </c>
      <c r="AF32" s="39">
        <v>120000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0"/>
      <c r="AT32" s="30" t="s">
        <v>105</v>
      </c>
      <c r="AU32" s="30" t="s">
        <v>81</v>
      </c>
      <c r="AV32" s="30" t="s">
        <v>106</v>
      </c>
      <c r="AW32" s="30" t="s">
        <v>107</v>
      </c>
      <c r="AX32" s="30" t="s">
        <v>108</v>
      </c>
      <c r="AY32" s="30"/>
      <c r="AZ32" s="30"/>
      <c r="BA32" s="30"/>
      <c r="BB32" s="30"/>
      <c r="BC32" s="58"/>
      <c r="BD32" s="30"/>
      <c r="BE32" s="30"/>
      <c r="BF32" s="30"/>
      <c r="BG32" s="30"/>
      <c r="BH32" s="30"/>
      <c r="BI32" s="30"/>
      <c r="BJ32" s="29"/>
      <c r="BK32" s="29"/>
      <c r="BL32" s="63">
        <f t="shared" si="9"/>
        <v>36000</v>
      </c>
      <c r="BM32" s="63">
        <f t="shared" si="10"/>
        <v>0</v>
      </c>
      <c r="BN32" s="63">
        <f t="shared" si="11"/>
        <v>0</v>
      </c>
      <c r="BO32" s="63">
        <f t="shared" si="12"/>
        <v>36000</v>
      </c>
      <c r="BP32" s="63">
        <f t="shared" si="13"/>
        <v>36000</v>
      </c>
      <c r="BQ32" s="63">
        <f t="shared" si="14"/>
        <v>36000</v>
      </c>
      <c r="BR32" s="63">
        <f t="shared" si="15"/>
        <v>36000</v>
      </c>
      <c r="BS32" s="63">
        <f t="shared" si="16"/>
        <v>36000</v>
      </c>
    </row>
    <row r="33" spans="1:71">
      <c r="A33" s="28">
        <f t="shared" si="6"/>
        <v>32</v>
      </c>
      <c r="B33" s="31" t="s">
        <v>97</v>
      </c>
      <c r="C33" s="30" t="s">
        <v>72</v>
      </c>
      <c r="D33" s="30" t="s">
        <v>98</v>
      </c>
      <c r="E33" s="30" t="s">
        <v>99</v>
      </c>
      <c r="F33" s="30"/>
      <c r="G33" s="32" t="s">
        <v>225</v>
      </c>
      <c r="H33" s="35" t="s">
        <v>226</v>
      </c>
      <c r="I33" s="32"/>
      <c r="J33" s="32"/>
      <c r="K33" s="30" t="s">
        <v>102</v>
      </c>
      <c r="L33" s="40"/>
      <c r="M33" s="39" t="s">
        <v>103</v>
      </c>
      <c r="N33" s="31" t="s">
        <v>104</v>
      </c>
      <c r="O33" s="30" t="s">
        <v>89</v>
      </c>
      <c r="P33" s="43"/>
      <c r="Q33" s="42">
        <v>0.3</v>
      </c>
      <c r="R33" s="47">
        <f t="shared" si="7"/>
        <v>180000</v>
      </c>
      <c r="S33" s="48">
        <v>288000</v>
      </c>
      <c r="T33" s="48">
        <f t="shared" si="8"/>
        <v>600000</v>
      </c>
      <c r="U33" s="39">
        <v>120000</v>
      </c>
      <c r="V33" s="39">
        <v>60000</v>
      </c>
      <c r="W33" s="39">
        <v>120000</v>
      </c>
      <c r="X33" s="39">
        <v>60000</v>
      </c>
      <c r="Y33" s="39">
        <v>120000</v>
      </c>
      <c r="Z33" s="39"/>
      <c r="AA33" s="39"/>
      <c r="AB33" s="39">
        <v>120000</v>
      </c>
      <c r="AC33" s="39">
        <v>120000</v>
      </c>
      <c r="AD33" s="39">
        <v>120000</v>
      </c>
      <c r="AE33" s="39">
        <v>120000</v>
      </c>
      <c r="AF33" s="39">
        <v>120000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0"/>
      <c r="AT33" s="30" t="s">
        <v>105</v>
      </c>
      <c r="AU33" s="30" t="s">
        <v>81</v>
      </c>
      <c r="AV33" s="30" t="s">
        <v>106</v>
      </c>
      <c r="AW33" s="30" t="s">
        <v>107</v>
      </c>
      <c r="AX33" s="30" t="s">
        <v>108</v>
      </c>
      <c r="AY33" s="30"/>
      <c r="AZ33" s="30"/>
      <c r="BA33" s="30"/>
      <c r="BB33" s="30"/>
      <c r="BC33" s="58"/>
      <c r="BD33" s="30"/>
      <c r="BE33" s="30"/>
      <c r="BF33" s="30"/>
      <c r="BG33" s="30"/>
      <c r="BH33" s="30"/>
      <c r="BI33" s="30"/>
      <c r="BJ33" s="29"/>
      <c r="BK33" s="29"/>
      <c r="BL33" s="63">
        <f t="shared" si="9"/>
        <v>36000</v>
      </c>
      <c r="BM33" s="63">
        <f t="shared" si="10"/>
        <v>0</v>
      </c>
      <c r="BN33" s="63">
        <f t="shared" si="11"/>
        <v>0</v>
      </c>
      <c r="BO33" s="63">
        <f t="shared" si="12"/>
        <v>36000</v>
      </c>
      <c r="BP33" s="63">
        <f t="shared" si="13"/>
        <v>36000</v>
      </c>
      <c r="BQ33" s="63">
        <f t="shared" si="14"/>
        <v>36000</v>
      </c>
      <c r="BR33" s="63">
        <f t="shared" si="15"/>
        <v>36000</v>
      </c>
      <c r="BS33" s="63">
        <f t="shared" si="16"/>
        <v>36000</v>
      </c>
    </row>
    <row r="34" spans="1:71">
      <c r="A34" s="28">
        <f t="shared" si="6"/>
        <v>33</v>
      </c>
      <c r="B34" s="31" t="s">
        <v>97</v>
      </c>
      <c r="C34" s="30" t="s">
        <v>72</v>
      </c>
      <c r="D34" s="30" t="s">
        <v>98</v>
      </c>
      <c r="E34" s="30" t="s">
        <v>99</v>
      </c>
      <c r="F34" s="30"/>
      <c r="G34" s="32" t="s">
        <v>165</v>
      </c>
      <c r="H34" s="35" t="s">
        <v>166</v>
      </c>
      <c r="I34" s="32"/>
      <c r="J34" s="32"/>
      <c r="K34" s="30" t="s">
        <v>102</v>
      </c>
      <c r="L34" s="40"/>
      <c r="M34" s="39" t="s">
        <v>103</v>
      </c>
      <c r="N34" s="31" t="s">
        <v>104</v>
      </c>
      <c r="O34" s="30" t="s">
        <v>89</v>
      </c>
      <c r="P34" s="43"/>
      <c r="Q34" s="42">
        <v>0.25</v>
      </c>
      <c r="R34" s="47">
        <f t="shared" si="7"/>
        <v>37500</v>
      </c>
      <c r="S34" s="48">
        <v>60000</v>
      </c>
      <c r="T34" s="48">
        <f t="shared" si="8"/>
        <v>150000</v>
      </c>
      <c r="U34" s="39">
        <v>30000</v>
      </c>
      <c r="V34" s="39">
        <v>30000</v>
      </c>
      <c r="W34" s="39">
        <v>30000</v>
      </c>
      <c r="X34" s="39">
        <v>30000</v>
      </c>
      <c r="Y34" s="39">
        <v>30000</v>
      </c>
      <c r="Z34" s="39"/>
      <c r="AA34" s="39"/>
      <c r="AB34" s="39">
        <v>30000</v>
      </c>
      <c r="AC34" s="39">
        <v>30000</v>
      </c>
      <c r="AD34" s="39">
        <v>30000</v>
      </c>
      <c r="AE34" s="39">
        <v>30000</v>
      </c>
      <c r="AF34" s="39">
        <v>30000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0"/>
      <c r="AT34" s="30" t="s">
        <v>105</v>
      </c>
      <c r="AU34" s="30" t="s">
        <v>81</v>
      </c>
      <c r="AV34" s="30" t="s">
        <v>106</v>
      </c>
      <c r="AW34" s="30" t="s">
        <v>107</v>
      </c>
      <c r="AX34" s="30" t="s">
        <v>108</v>
      </c>
      <c r="AY34" s="30"/>
      <c r="AZ34" s="30"/>
      <c r="BA34" s="30"/>
      <c r="BB34" s="30"/>
      <c r="BC34" s="58"/>
      <c r="BD34" s="30"/>
      <c r="BE34" s="30"/>
      <c r="BF34" s="30"/>
      <c r="BG34" s="30"/>
      <c r="BH34" s="30"/>
      <c r="BI34" s="30"/>
      <c r="BJ34" s="29"/>
      <c r="BK34" s="29"/>
      <c r="BL34" s="63">
        <f t="shared" si="9"/>
        <v>7500</v>
      </c>
      <c r="BM34" s="63">
        <f t="shared" si="10"/>
        <v>0</v>
      </c>
      <c r="BN34" s="63">
        <f t="shared" si="11"/>
        <v>0</v>
      </c>
      <c r="BO34" s="63">
        <f t="shared" si="12"/>
        <v>7500</v>
      </c>
      <c r="BP34" s="63">
        <f t="shared" si="13"/>
        <v>7500</v>
      </c>
      <c r="BQ34" s="63">
        <f t="shared" si="14"/>
        <v>7500</v>
      </c>
      <c r="BR34" s="63">
        <f t="shared" si="15"/>
        <v>7500</v>
      </c>
      <c r="BS34" s="63">
        <f t="shared" si="16"/>
        <v>7500</v>
      </c>
    </row>
    <row r="35" spans="1:71">
      <c r="A35" s="28">
        <f t="shared" si="6"/>
        <v>34</v>
      </c>
      <c r="B35" s="31" t="s">
        <v>97</v>
      </c>
      <c r="C35" s="30" t="s">
        <v>72</v>
      </c>
      <c r="D35" s="30" t="s">
        <v>98</v>
      </c>
      <c r="E35" s="30" t="s">
        <v>99</v>
      </c>
      <c r="F35" s="30"/>
      <c r="G35" s="32" t="s">
        <v>100</v>
      </c>
      <c r="H35" s="35" t="s">
        <v>101</v>
      </c>
      <c r="I35" s="32"/>
      <c r="J35" s="32"/>
      <c r="K35" s="30" t="s">
        <v>102</v>
      </c>
      <c r="L35" s="40"/>
      <c r="M35" s="39" t="s">
        <v>103</v>
      </c>
      <c r="N35" s="31" t="s">
        <v>104</v>
      </c>
      <c r="O35" s="30" t="s">
        <v>89</v>
      </c>
      <c r="P35" s="43"/>
      <c r="Q35" s="42">
        <v>0.25</v>
      </c>
      <c r="R35" s="47">
        <f t="shared" si="7"/>
        <v>37500</v>
      </c>
      <c r="S35" s="48">
        <v>60000</v>
      </c>
      <c r="T35" s="48">
        <f t="shared" si="8"/>
        <v>150000</v>
      </c>
      <c r="U35" s="39">
        <v>30000</v>
      </c>
      <c r="V35" s="39">
        <v>30000</v>
      </c>
      <c r="W35" s="39">
        <v>30000</v>
      </c>
      <c r="X35" s="39">
        <v>30000</v>
      </c>
      <c r="Y35" s="39">
        <v>30000</v>
      </c>
      <c r="Z35" s="39"/>
      <c r="AA35" s="39"/>
      <c r="AB35" s="39">
        <v>30000</v>
      </c>
      <c r="AC35" s="39">
        <v>30000</v>
      </c>
      <c r="AD35" s="39">
        <v>30000</v>
      </c>
      <c r="AE35" s="39">
        <v>30000</v>
      </c>
      <c r="AF35" s="39">
        <v>30000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0"/>
      <c r="AT35" s="30" t="s">
        <v>105</v>
      </c>
      <c r="AU35" s="30" t="s">
        <v>81</v>
      </c>
      <c r="AV35" s="30" t="s">
        <v>106</v>
      </c>
      <c r="AW35" s="30" t="s">
        <v>107</v>
      </c>
      <c r="AX35" s="30" t="s">
        <v>108</v>
      </c>
      <c r="AY35" s="30"/>
      <c r="AZ35" s="30"/>
      <c r="BA35" s="30"/>
      <c r="BB35" s="30"/>
      <c r="BC35" s="58"/>
      <c r="BD35" s="30"/>
      <c r="BE35" s="30"/>
      <c r="BF35" s="30"/>
      <c r="BG35" s="30"/>
      <c r="BH35" s="30"/>
      <c r="BI35" s="30"/>
      <c r="BJ35" s="29"/>
      <c r="BK35" s="29"/>
      <c r="BL35" s="63">
        <f t="shared" si="9"/>
        <v>7500</v>
      </c>
      <c r="BM35" s="63">
        <f t="shared" si="10"/>
        <v>0</v>
      </c>
      <c r="BN35" s="63">
        <f t="shared" si="11"/>
        <v>0</v>
      </c>
      <c r="BO35" s="63">
        <f t="shared" si="12"/>
        <v>7500</v>
      </c>
      <c r="BP35" s="63">
        <f t="shared" si="13"/>
        <v>7500</v>
      </c>
      <c r="BQ35" s="63">
        <f t="shared" si="14"/>
        <v>7500</v>
      </c>
      <c r="BR35" s="63">
        <f t="shared" si="15"/>
        <v>7500</v>
      </c>
      <c r="BS35" s="63">
        <f t="shared" si="16"/>
        <v>7500</v>
      </c>
    </row>
    <row r="36" spans="1:71">
      <c r="A36" s="28">
        <f t="shared" si="6"/>
        <v>35</v>
      </c>
      <c r="B36" s="32" t="s">
        <v>631</v>
      </c>
      <c r="C36" s="30" t="s">
        <v>72</v>
      </c>
      <c r="D36" s="33" t="s">
        <v>632</v>
      </c>
      <c r="E36" s="30" t="s">
        <v>99</v>
      </c>
      <c r="F36" s="30"/>
      <c r="G36" s="33" t="s">
        <v>165</v>
      </c>
      <c r="H36" s="35" t="s">
        <v>166</v>
      </c>
      <c r="I36" s="33"/>
      <c r="J36" s="33"/>
      <c r="K36" s="33" t="s">
        <v>628</v>
      </c>
      <c r="L36" s="39"/>
      <c r="M36" s="30" t="s">
        <v>114</v>
      </c>
      <c r="N36" s="33" t="s">
        <v>633</v>
      </c>
      <c r="O36" s="33" t="s">
        <v>634</v>
      </c>
      <c r="P36" s="43"/>
      <c r="Q36" s="50">
        <v>0.35</v>
      </c>
      <c r="R36" s="47">
        <f t="shared" si="7"/>
        <v>31500</v>
      </c>
      <c r="S36" s="48">
        <v>42000</v>
      </c>
      <c r="T36" s="48">
        <f t="shared" si="8"/>
        <v>90000</v>
      </c>
      <c r="U36" s="39"/>
      <c r="V36" s="39"/>
      <c r="W36" s="39">
        <v>30000</v>
      </c>
      <c r="X36" s="39"/>
      <c r="Y36" s="39">
        <v>30000</v>
      </c>
      <c r="Z36" s="52"/>
      <c r="AA36" s="39">
        <v>30000</v>
      </c>
      <c r="AB36" s="52"/>
      <c r="AC36" s="39">
        <v>30000</v>
      </c>
      <c r="AD36" s="52"/>
      <c r="AE36" s="52"/>
      <c r="AF36" s="39">
        <v>30000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30" t="s">
        <v>93</v>
      </c>
      <c r="AT36" s="30" t="s">
        <v>105</v>
      </c>
      <c r="AU36" s="30" t="s">
        <v>81</v>
      </c>
      <c r="AV36" s="32" t="s">
        <v>106</v>
      </c>
      <c r="AW36" s="30" t="s">
        <v>107</v>
      </c>
      <c r="AX36" s="30" t="s">
        <v>108</v>
      </c>
      <c r="AY36" s="30"/>
      <c r="AZ36" s="30"/>
      <c r="BA36" s="30"/>
      <c r="BB36" s="30"/>
      <c r="BC36" s="58">
        <v>4</v>
      </c>
      <c r="BD36" s="33"/>
      <c r="BE36" s="60">
        <v>45017</v>
      </c>
      <c r="BF36" s="60">
        <v>45017</v>
      </c>
      <c r="BG36" s="60">
        <v>45031</v>
      </c>
      <c r="BH36" s="60">
        <v>45047</v>
      </c>
      <c r="BI36" s="60"/>
      <c r="BJ36" s="64"/>
      <c r="BK36" s="52">
        <v>3</v>
      </c>
      <c r="BL36" s="63">
        <f t="shared" si="9"/>
        <v>10500</v>
      </c>
      <c r="BM36" s="63">
        <f t="shared" si="10"/>
        <v>0</v>
      </c>
      <c r="BN36" s="63">
        <f t="shared" si="11"/>
        <v>10500</v>
      </c>
      <c r="BO36" s="63">
        <f t="shared" si="12"/>
        <v>0</v>
      </c>
      <c r="BP36" s="63">
        <f t="shared" si="13"/>
        <v>10500</v>
      </c>
      <c r="BQ36" s="63">
        <f t="shared" si="14"/>
        <v>0</v>
      </c>
      <c r="BR36" s="63">
        <f t="shared" si="15"/>
        <v>0</v>
      </c>
      <c r="BS36" s="63">
        <f t="shared" si="16"/>
        <v>10500</v>
      </c>
    </row>
    <row r="37" spans="1:71">
      <c r="A37" s="28">
        <f t="shared" si="6"/>
        <v>36</v>
      </c>
      <c r="B37" s="32" t="s">
        <v>635</v>
      </c>
      <c r="C37" s="30" t="s">
        <v>72</v>
      </c>
      <c r="D37" s="33" t="s">
        <v>632</v>
      </c>
      <c r="E37" s="30" t="s">
        <v>99</v>
      </c>
      <c r="F37" s="30"/>
      <c r="G37" s="32" t="s">
        <v>76</v>
      </c>
      <c r="H37" s="35" t="s">
        <v>170</v>
      </c>
      <c r="I37" s="32"/>
      <c r="J37" s="32"/>
      <c r="K37" s="33" t="s">
        <v>636</v>
      </c>
      <c r="L37" s="39"/>
      <c r="M37" s="30" t="s">
        <v>79</v>
      </c>
      <c r="N37" s="33" t="s">
        <v>637</v>
      </c>
      <c r="O37" s="33" t="s">
        <v>89</v>
      </c>
      <c r="P37" s="43"/>
      <c r="Q37" s="50">
        <v>0.3</v>
      </c>
      <c r="R37" s="47">
        <f t="shared" si="7"/>
        <v>0</v>
      </c>
      <c r="S37" s="48">
        <v>0</v>
      </c>
      <c r="T37" s="48">
        <f t="shared" si="8"/>
        <v>0</v>
      </c>
      <c r="U37" s="39"/>
      <c r="V37" s="39"/>
      <c r="W37" s="39"/>
      <c r="X37" s="39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31"/>
      <c r="AO37" s="31"/>
      <c r="AP37" s="31"/>
      <c r="AQ37" s="31"/>
      <c r="AR37" s="31"/>
      <c r="AS37" s="30" t="s">
        <v>93</v>
      </c>
      <c r="AT37" s="30" t="s">
        <v>105</v>
      </c>
      <c r="AU37" s="30" t="s">
        <v>81</v>
      </c>
      <c r="AV37" s="30" t="s">
        <v>106</v>
      </c>
      <c r="AW37" s="30" t="s">
        <v>638</v>
      </c>
      <c r="AX37" s="30"/>
      <c r="AY37" s="30"/>
      <c r="AZ37" s="30"/>
      <c r="BA37" s="30"/>
      <c r="BB37" s="30"/>
      <c r="BC37" s="58"/>
      <c r="BD37" s="30"/>
      <c r="BE37" s="30"/>
      <c r="BF37" s="30"/>
      <c r="BG37" s="30"/>
      <c r="BH37" s="30"/>
      <c r="BI37" s="30"/>
      <c r="BJ37" s="29"/>
      <c r="BK37" s="29"/>
      <c r="BL37" s="63">
        <f t="shared" si="9"/>
        <v>0</v>
      </c>
      <c r="BM37" s="63">
        <f t="shared" si="10"/>
        <v>0</v>
      </c>
      <c r="BN37" s="63">
        <f t="shared" si="11"/>
        <v>0</v>
      </c>
      <c r="BO37" s="63">
        <f t="shared" si="12"/>
        <v>0</v>
      </c>
      <c r="BP37" s="63">
        <f t="shared" si="13"/>
        <v>0</v>
      </c>
      <c r="BQ37" s="63">
        <f t="shared" si="14"/>
        <v>0</v>
      </c>
      <c r="BR37" s="63">
        <f t="shared" si="15"/>
        <v>0</v>
      </c>
      <c r="BS37" s="63">
        <f t="shared" si="16"/>
        <v>0</v>
      </c>
    </row>
    <row r="38" spans="1:71">
      <c r="A38" s="28">
        <f t="shared" si="6"/>
        <v>37</v>
      </c>
      <c r="B38" s="32" t="s">
        <v>639</v>
      </c>
      <c r="C38" s="30" t="s">
        <v>72</v>
      </c>
      <c r="D38" s="33" t="s">
        <v>632</v>
      </c>
      <c r="E38" s="30" t="s">
        <v>99</v>
      </c>
      <c r="F38" s="30"/>
      <c r="G38" s="32" t="s">
        <v>199</v>
      </c>
      <c r="H38" s="35" t="s">
        <v>200</v>
      </c>
      <c r="I38" s="32"/>
      <c r="J38" s="32"/>
      <c r="K38" s="33" t="s">
        <v>640</v>
      </c>
      <c r="L38" s="39"/>
      <c r="M38" s="30" t="s">
        <v>114</v>
      </c>
      <c r="N38" s="33" t="s">
        <v>641</v>
      </c>
      <c r="O38" s="33" t="s">
        <v>89</v>
      </c>
      <c r="P38" s="43"/>
      <c r="Q38" s="50">
        <v>0.18</v>
      </c>
      <c r="R38" s="47">
        <f t="shared" si="7"/>
        <v>3780</v>
      </c>
      <c r="S38" s="48">
        <v>3780</v>
      </c>
      <c r="T38" s="48">
        <f t="shared" si="8"/>
        <v>21000</v>
      </c>
      <c r="U38" s="39">
        <v>3000</v>
      </c>
      <c r="V38" s="39">
        <v>3000</v>
      </c>
      <c r="W38" s="39">
        <v>3000</v>
      </c>
      <c r="X38" s="39">
        <v>3000</v>
      </c>
      <c r="Y38" s="52"/>
      <c r="Z38" s="39">
        <v>3000</v>
      </c>
      <c r="AA38" s="39">
        <v>3000</v>
      </c>
      <c r="AB38" s="39">
        <v>3000</v>
      </c>
      <c r="AC38" s="39">
        <v>3000</v>
      </c>
      <c r="AD38" s="39">
        <v>3000</v>
      </c>
      <c r="AE38" s="39">
        <v>3000</v>
      </c>
      <c r="AF38" s="39">
        <v>3000</v>
      </c>
      <c r="AG38" s="52"/>
      <c r="AH38" s="52"/>
      <c r="AI38" s="52"/>
      <c r="AJ38" s="52"/>
      <c r="AK38" s="52"/>
      <c r="AL38" s="52"/>
      <c r="AM38" s="52"/>
      <c r="AN38" s="31"/>
      <c r="AO38" s="31"/>
      <c r="AP38" s="31"/>
      <c r="AQ38" s="31"/>
      <c r="AR38" s="31"/>
      <c r="AS38" s="30" t="s">
        <v>93</v>
      </c>
      <c r="AT38" s="30" t="s">
        <v>105</v>
      </c>
      <c r="AU38" s="30" t="s">
        <v>81</v>
      </c>
      <c r="AV38" s="32" t="s">
        <v>106</v>
      </c>
      <c r="AW38" s="32" t="s">
        <v>638</v>
      </c>
      <c r="AX38" s="31"/>
      <c r="AY38" s="30"/>
      <c r="AZ38" s="30"/>
      <c r="BA38" s="30"/>
      <c r="BB38" s="30"/>
      <c r="BC38" s="58"/>
      <c r="BD38" s="30"/>
      <c r="BE38" s="30"/>
      <c r="BF38" s="30"/>
      <c r="BG38" s="30"/>
      <c r="BH38" s="30"/>
      <c r="BI38" s="30"/>
      <c r="BJ38" s="29"/>
      <c r="BK38" s="29"/>
      <c r="BL38" s="63">
        <f t="shared" si="9"/>
        <v>0</v>
      </c>
      <c r="BM38" s="63">
        <f t="shared" si="10"/>
        <v>540</v>
      </c>
      <c r="BN38" s="63">
        <f t="shared" si="11"/>
        <v>540</v>
      </c>
      <c r="BO38" s="63">
        <f t="shared" si="12"/>
        <v>540</v>
      </c>
      <c r="BP38" s="63">
        <f t="shared" si="13"/>
        <v>540</v>
      </c>
      <c r="BQ38" s="63">
        <f t="shared" si="14"/>
        <v>540</v>
      </c>
      <c r="BR38" s="63">
        <f t="shared" si="15"/>
        <v>540</v>
      </c>
      <c r="BS38" s="63">
        <f t="shared" si="16"/>
        <v>540</v>
      </c>
    </row>
    <row r="39" spans="1:71">
      <c r="A39" s="28">
        <f t="shared" si="6"/>
        <v>38</v>
      </c>
      <c r="B39" s="32" t="s">
        <v>642</v>
      </c>
      <c r="C39" s="30" t="s">
        <v>72</v>
      </c>
      <c r="D39" s="33" t="s">
        <v>632</v>
      </c>
      <c r="E39" s="30" t="s">
        <v>99</v>
      </c>
      <c r="F39" s="30"/>
      <c r="G39" s="32" t="s">
        <v>263</v>
      </c>
      <c r="H39" s="35" t="s">
        <v>265</v>
      </c>
      <c r="I39" s="32"/>
      <c r="J39" s="32"/>
      <c r="K39" s="31" t="s">
        <v>643</v>
      </c>
      <c r="L39" s="39"/>
      <c r="M39" s="30" t="s">
        <v>57</v>
      </c>
      <c r="N39" s="33" t="s">
        <v>644</v>
      </c>
      <c r="O39" s="33" t="s">
        <v>89</v>
      </c>
      <c r="P39" s="43"/>
      <c r="Q39" s="50">
        <v>0.3</v>
      </c>
      <c r="R39" s="47">
        <f t="shared" si="7"/>
        <v>0</v>
      </c>
      <c r="S39" s="48">
        <v>0</v>
      </c>
      <c r="T39" s="48">
        <f t="shared" si="8"/>
        <v>0</v>
      </c>
      <c r="U39" s="39"/>
      <c r="V39" s="39"/>
      <c r="W39" s="39"/>
      <c r="X39" s="39"/>
      <c r="Y39" s="52"/>
      <c r="Z39" s="52"/>
      <c r="AA39" s="52"/>
      <c r="AB39" s="52"/>
      <c r="AC39" s="52"/>
      <c r="AD39" s="52"/>
      <c r="AE39" s="52"/>
      <c r="AF39" s="52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0" t="s">
        <v>93</v>
      </c>
      <c r="AT39" s="30" t="s">
        <v>105</v>
      </c>
      <c r="AU39" s="30" t="s">
        <v>81</v>
      </c>
      <c r="AV39" s="32" t="s">
        <v>106</v>
      </c>
      <c r="AW39" s="30" t="s">
        <v>107</v>
      </c>
      <c r="AX39" s="30" t="s">
        <v>645</v>
      </c>
      <c r="AY39" s="30" t="s">
        <v>646</v>
      </c>
      <c r="AZ39" s="30"/>
      <c r="BA39" s="30"/>
      <c r="BB39" s="30"/>
      <c r="BC39" s="58"/>
      <c r="BD39" s="30"/>
      <c r="BE39" s="30"/>
      <c r="BF39" s="30"/>
      <c r="BG39" s="30"/>
      <c r="BH39" s="30"/>
      <c r="BI39" s="30"/>
      <c r="BJ39" s="29"/>
      <c r="BK39" s="29"/>
      <c r="BL39" s="63">
        <f t="shared" si="9"/>
        <v>0</v>
      </c>
      <c r="BM39" s="63">
        <f t="shared" si="10"/>
        <v>0</v>
      </c>
      <c r="BN39" s="63">
        <f t="shared" si="11"/>
        <v>0</v>
      </c>
      <c r="BO39" s="63">
        <f t="shared" si="12"/>
        <v>0</v>
      </c>
      <c r="BP39" s="63">
        <f t="shared" si="13"/>
        <v>0</v>
      </c>
      <c r="BQ39" s="63">
        <f t="shared" si="14"/>
        <v>0</v>
      </c>
      <c r="BR39" s="63">
        <f t="shared" si="15"/>
        <v>0</v>
      </c>
      <c r="BS39" s="63">
        <f t="shared" si="16"/>
        <v>0</v>
      </c>
    </row>
    <row r="40" spans="1:71">
      <c r="A40" s="28">
        <f t="shared" si="6"/>
        <v>39</v>
      </c>
      <c r="B40" s="33" t="s">
        <v>647</v>
      </c>
      <c r="C40" s="30" t="s">
        <v>72</v>
      </c>
      <c r="D40" s="33" t="s">
        <v>632</v>
      </c>
      <c r="E40" s="30" t="s">
        <v>99</v>
      </c>
      <c r="F40" s="30"/>
      <c r="G40" s="32" t="s">
        <v>210</v>
      </c>
      <c r="H40" s="35" t="s">
        <v>211</v>
      </c>
      <c r="I40" s="32"/>
      <c r="J40" s="32"/>
      <c r="K40" s="31" t="s">
        <v>643</v>
      </c>
      <c r="L40" s="39"/>
      <c r="M40" s="30" t="s">
        <v>56</v>
      </c>
      <c r="N40" s="33" t="s">
        <v>648</v>
      </c>
      <c r="O40" s="33" t="s">
        <v>89</v>
      </c>
      <c r="P40" s="43"/>
      <c r="Q40" s="50">
        <v>0.18</v>
      </c>
      <c r="R40" s="47">
        <f t="shared" si="7"/>
        <v>126000</v>
      </c>
      <c r="S40" s="48">
        <v>144000</v>
      </c>
      <c r="T40" s="48">
        <f t="shared" si="8"/>
        <v>700000</v>
      </c>
      <c r="U40" s="39">
        <v>100000</v>
      </c>
      <c r="V40" s="39">
        <v>100000</v>
      </c>
      <c r="W40" s="39">
        <v>100000</v>
      </c>
      <c r="X40" s="39">
        <v>100000</v>
      </c>
      <c r="Y40" s="39">
        <v>100000</v>
      </c>
      <c r="Z40" s="39">
        <v>100000</v>
      </c>
      <c r="AA40" s="39">
        <v>100000</v>
      </c>
      <c r="AB40" s="39">
        <v>100000</v>
      </c>
      <c r="AC40" s="39">
        <v>100000</v>
      </c>
      <c r="AD40" s="39">
        <v>100000</v>
      </c>
      <c r="AE40" s="39">
        <v>100000</v>
      </c>
      <c r="AF40" s="39">
        <v>100000</v>
      </c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0" t="s">
        <v>93</v>
      </c>
      <c r="AT40" s="30" t="s">
        <v>105</v>
      </c>
      <c r="AU40" s="30" t="s">
        <v>81</v>
      </c>
      <c r="AV40" s="32" t="s">
        <v>106</v>
      </c>
      <c r="AW40" s="30" t="s">
        <v>638</v>
      </c>
      <c r="AX40" s="30" t="s">
        <v>649</v>
      </c>
      <c r="AY40" s="30"/>
      <c r="AZ40" s="30"/>
      <c r="BA40" s="30"/>
      <c r="BB40" s="30"/>
      <c r="BC40" s="58"/>
      <c r="BD40" s="30"/>
      <c r="BE40" s="30"/>
      <c r="BF40" s="30"/>
      <c r="BG40" s="30"/>
      <c r="BH40" s="30"/>
      <c r="BI40" s="30"/>
      <c r="BJ40" s="29"/>
      <c r="BK40" s="29"/>
      <c r="BL40" s="63">
        <f t="shared" si="9"/>
        <v>18000</v>
      </c>
      <c r="BM40" s="63">
        <f t="shared" si="10"/>
        <v>18000</v>
      </c>
      <c r="BN40" s="63">
        <f t="shared" si="11"/>
        <v>18000</v>
      </c>
      <c r="BO40" s="63">
        <f t="shared" si="12"/>
        <v>18000</v>
      </c>
      <c r="BP40" s="63">
        <f t="shared" si="13"/>
        <v>18000</v>
      </c>
      <c r="BQ40" s="63">
        <f t="shared" si="14"/>
        <v>18000</v>
      </c>
      <c r="BR40" s="63">
        <f t="shared" si="15"/>
        <v>18000</v>
      </c>
      <c r="BS40" s="63">
        <f t="shared" si="16"/>
        <v>18000</v>
      </c>
    </row>
    <row r="41" spans="1:71">
      <c r="A41" s="28">
        <f t="shared" si="6"/>
        <v>40</v>
      </c>
      <c r="B41" s="32" t="s">
        <v>650</v>
      </c>
      <c r="C41" s="30" t="s">
        <v>72</v>
      </c>
      <c r="D41" s="33" t="s">
        <v>632</v>
      </c>
      <c r="E41" s="30" t="s">
        <v>99</v>
      </c>
      <c r="F41" s="30"/>
      <c r="G41" s="33" t="s">
        <v>210</v>
      </c>
      <c r="H41" s="35" t="s">
        <v>211</v>
      </c>
      <c r="I41" s="33"/>
      <c r="J41" s="33"/>
      <c r="K41" s="33" t="s">
        <v>643</v>
      </c>
      <c r="L41" s="39"/>
      <c r="M41" s="30" t="s">
        <v>79</v>
      </c>
      <c r="N41" s="33" t="s">
        <v>651</v>
      </c>
      <c r="O41" s="33" t="s">
        <v>89</v>
      </c>
      <c r="P41" s="43"/>
      <c r="Q41" s="50">
        <v>0.135</v>
      </c>
      <c r="R41" s="47">
        <f t="shared" si="7"/>
        <v>0</v>
      </c>
      <c r="S41" s="48">
        <v>0</v>
      </c>
      <c r="T41" s="48">
        <f t="shared" si="8"/>
        <v>0</v>
      </c>
      <c r="U41" s="39"/>
      <c r="V41" s="39"/>
      <c r="W41" s="39"/>
      <c r="X41" s="39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31"/>
      <c r="AO41" s="31"/>
      <c r="AP41" s="31"/>
      <c r="AQ41" s="31"/>
      <c r="AR41" s="31"/>
      <c r="AS41" s="30" t="s">
        <v>93</v>
      </c>
      <c r="AT41" s="30" t="s">
        <v>105</v>
      </c>
      <c r="AU41" s="30" t="s">
        <v>81</v>
      </c>
      <c r="AV41" s="32" t="s">
        <v>106</v>
      </c>
      <c r="AW41" s="30" t="s">
        <v>107</v>
      </c>
      <c r="AX41" s="30" t="s">
        <v>645</v>
      </c>
      <c r="AY41" s="30" t="s">
        <v>646</v>
      </c>
      <c r="AZ41" s="30"/>
      <c r="BA41" s="30"/>
      <c r="BB41" s="30"/>
      <c r="BC41" s="58"/>
      <c r="BD41" s="30"/>
      <c r="BE41" s="30"/>
      <c r="BF41" s="30"/>
      <c r="BG41" s="30"/>
      <c r="BH41" s="30"/>
      <c r="BI41" s="30"/>
      <c r="BJ41" s="29"/>
      <c r="BK41" s="29"/>
      <c r="BL41" s="63">
        <f t="shared" si="9"/>
        <v>0</v>
      </c>
      <c r="BM41" s="63">
        <f t="shared" si="10"/>
        <v>0</v>
      </c>
      <c r="BN41" s="63">
        <f t="shared" si="11"/>
        <v>0</v>
      </c>
      <c r="BO41" s="63">
        <f t="shared" si="12"/>
        <v>0</v>
      </c>
      <c r="BP41" s="63">
        <f t="shared" si="13"/>
        <v>0</v>
      </c>
      <c r="BQ41" s="63">
        <f t="shared" si="14"/>
        <v>0</v>
      </c>
      <c r="BR41" s="63">
        <f t="shared" si="15"/>
        <v>0</v>
      </c>
      <c r="BS41" s="63">
        <f t="shared" si="16"/>
        <v>0</v>
      </c>
    </row>
    <row r="42" spans="1:71">
      <c r="A42" s="28">
        <f t="shared" si="6"/>
        <v>41</v>
      </c>
      <c r="B42" s="33" t="s">
        <v>652</v>
      </c>
      <c r="C42" s="30" t="s">
        <v>72</v>
      </c>
      <c r="D42" s="33" t="s">
        <v>632</v>
      </c>
      <c r="E42" s="30" t="s">
        <v>99</v>
      </c>
      <c r="F42" s="30"/>
      <c r="G42" s="33" t="s">
        <v>218</v>
      </c>
      <c r="H42" s="35" t="s">
        <v>219</v>
      </c>
      <c r="I42" s="33"/>
      <c r="J42" s="33"/>
      <c r="K42" s="33" t="s">
        <v>653</v>
      </c>
      <c r="L42" s="39"/>
      <c r="M42" s="30" t="s">
        <v>79</v>
      </c>
      <c r="N42" s="33" t="s">
        <v>654</v>
      </c>
      <c r="O42" s="33" t="s">
        <v>89</v>
      </c>
      <c r="P42" s="43"/>
      <c r="Q42" s="50">
        <v>0.2</v>
      </c>
      <c r="R42" s="47">
        <f t="shared" si="7"/>
        <v>140000</v>
      </c>
      <c r="S42" s="48">
        <v>160000</v>
      </c>
      <c r="T42" s="48">
        <f t="shared" si="8"/>
        <v>700000</v>
      </c>
      <c r="U42" s="39"/>
      <c r="V42" s="39">
        <v>9000</v>
      </c>
      <c r="W42" s="39"/>
      <c r="X42" s="39">
        <v>9000</v>
      </c>
      <c r="Y42" s="39">
        <v>100000</v>
      </c>
      <c r="Z42" s="39">
        <v>100000</v>
      </c>
      <c r="AA42" s="39">
        <v>100000</v>
      </c>
      <c r="AB42" s="39">
        <v>100000</v>
      </c>
      <c r="AC42" s="39">
        <v>100000</v>
      </c>
      <c r="AD42" s="39">
        <v>100000</v>
      </c>
      <c r="AE42" s="39">
        <v>100000</v>
      </c>
      <c r="AF42" s="39">
        <v>100000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30" t="s">
        <v>93</v>
      </c>
      <c r="AT42" s="30" t="s">
        <v>105</v>
      </c>
      <c r="AU42" s="30" t="s">
        <v>81</v>
      </c>
      <c r="AV42" s="32" t="s">
        <v>106</v>
      </c>
      <c r="AW42" s="30" t="s">
        <v>107</v>
      </c>
      <c r="AX42" s="30" t="s">
        <v>645</v>
      </c>
      <c r="AY42" s="30" t="s">
        <v>646</v>
      </c>
      <c r="AZ42" s="30"/>
      <c r="BA42" s="30"/>
      <c r="BB42" s="30"/>
      <c r="BC42" s="58">
        <v>1</v>
      </c>
      <c r="BD42" s="33"/>
      <c r="BE42" s="60">
        <v>45047</v>
      </c>
      <c r="BF42" s="60">
        <v>45047</v>
      </c>
      <c r="BG42" s="60">
        <v>45061</v>
      </c>
      <c r="BH42" s="60">
        <v>45064</v>
      </c>
      <c r="BI42" s="60">
        <v>45078</v>
      </c>
      <c r="BJ42" s="64"/>
      <c r="BK42" s="52">
        <v>3</v>
      </c>
      <c r="BL42" s="63">
        <f t="shared" si="9"/>
        <v>20000</v>
      </c>
      <c r="BM42" s="63">
        <f t="shared" si="10"/>
        <v>20000</v>
      </c>
      <c r="BN42" s="63">
        <f t="shared" si="11"/>
        <v>20000</v>
      </c>
      <c r="BO42" s="63">
        <f t="shared" si="12"/>
        <v>20000</v>
      </c>
      <c r="BP42" s="63">
        <f t="shared" si="13"/>
        <v>20000</v>
      </c>
      <c r="BQ42" s="63">
        <f t="shared" si="14"/>
        <v>20000</v>
      </c>
      <c r="BR42" s="63">
        <f t="shared" si="15"/>
        <v>20000</v>
      </c>
      <c r="BS42" s="63">
        <f t="shared" si="16"/>
        <v>20000</v>
      </c>
    </row>
    <row r="43" spans="1:71">
      <c r="A43" s="28">
        <f t="shared" si="6"/>
        <v>42</v>
      </c>
      <c r="B43" s="32" t="s">
        <v>631</v>
      </c>
      <c r="C43" s="30" t="s">
        <v>72</v>
      </c>
      <c r="D43" s="33" t="s">
        <v>632</v>
      </c>
      <c r="E43" s="30" t="s">
        <v>99</v>
      </c>
      <c r="F43" s="30"/>
      <c r="G43" s="33" t="s">
        <v>236</v>
      </c>
      <c r="H43" s="35" t="s">
        <v>237</v>
      </c>
      <c r="I43" s="33"/>
      <c r="J43" s="33"/>
      <c r="K43" s="33" t="s">
        <v>628</v>
      </c>
      <c r="L43" s="39"/>
      <c r="M43" s="30" t="s">
        <v>114</v>
      </c>
      <c r="N43" s="33"/>
      <c r="O43" s="33"/>
      <c r="P43" s="43"/>
      <c r="Q43" s="50">
        <v>0.3</v>
      </c>
      <c r="R43" s="47">
        <f t="shared" si="7"/>
        <v>0</v>
      </c>
      <c r="S43" s="48">
        <v>900</v>
      </c>
      <c r="T43" s="48">
        <f t="shared" si="8"/>
        <v>0</v>
      </c>
      <c r="U43" s="39">
        <v>3000</v>
      </c>
      <c r="V43" s="39">
        <v>3000</v>
      </c>
      <c r="W43" s="39">
        <v>3000</v>
      </c>
      <c r="X43" s="39">
        <v>3000</v>
      </c>
      <c r="Y43" s="39">
        <v>3000</v>
      </c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30" t="s">
        <v>93</v>
      </c>
      <c r="AT43" s="30" t="s">
        <v>105</v>
      </c>
      <c r="AU43" s="30" t="s">
        <v>81</v>
      </c>
      <c r="AV43" s="30" t="s">
        <v>106</v>
      </c>
      <c r="AW43" s="30" t="s">
        <v>107</v>
      </c>
      <c r="AX43" s="30" t="s">
        <v>108</v>
      </c>
      <c r="AY43" s="30" t="s">
        <v>655</v>
      </c>
      <c r="AZ43" s="30"/>
      <c r="BA43" s="30"/>
      <c r="BB43" s="30"/>
      <c r="BC43" s="58">
        <v>3</v>
      </c>
      <c r="BD43" s="33"/>
      <c r="BE43" s="60"/>
      <c r="BF43" s="60"/>
      <c r="BG43" s="60"/>
      <c r="BH43" s="60"/>
      <c r="BI43" s="60"/>
      <c r="BJ43" s="64"/>
      <c r="BK43" s="52"/>
      <c r="BL43" s="63">
        <f t="shared" si="9"/>
        <v>900</v>
      </c>
      <c r="BM43" s="63">
        <f t="shared" si="10"/>
        <v>0</v>
      </c>
      <c r="BN43" s="63">
        <f t="shared" si="11"/>
        <v>0</v>
      </c>
      <c r="BO43" s="63">
        <f t="shared" si="12"/>
        <v>0</v>
      </c>
      <c r="BP43" s="63">
        <f t="shared" si="13"/>
        <v>0</v>
      </c>
      <c r="BQ43" s="63">
        <f t="shared" si="14"/>
        <v>0</v>
      </c>
      <c r="BR43" s="63">
        <f t="shared" si="15"/>
        <v>0</v>
      </c>
      <c r="BS43" s="63">
        <f t="shared" si="16"/>
        <v>0</v>
      </c>
    </row>
    <row r="44" spans="1:71">
      <c r="A44" s="28">
        <f t="shared" si="6"/>
        <v>43</v>
      </c>
      <c r="B44" s="31" t="s">
        <v>656</v>
      </c>
      <c r="C44" s="30" t="s">
        <v>72</v>
      </c>
      <c r="D44" s="30" t="s">
        <v>657</v>
      </c>
      <c r="E44" s="30" t="s">
        <v>99</v>
      </c>
      <c r="F44" s="30"/>
      <c r="G44" s="30" t="s">
        <v>270</v>
      </c>
      <c r="H44" s="35" t="s">
        <v>271</v>
      </c>
      <c r="I44" s="30"/>
      <c r="J44" s="30"/>
      <c r="K44" s="33" t="s">
        <v>658</v>
      </c>
      <c r="L44" s="39"/>
      <c r="M44" s="39" t="s">
        <v>103</v>
      </c>
      <c r="N44" s="31"/>
      <c r="O44" s="33" t="s">
        <v>89</v>
      </c>
      <c r="P44" s="43"/>
      <c r="Q44" s="42">
        <v>0.53</v>
      </c>
      <c r="R44" s="47">
        <f t="shared" si="7"/>
        <v>3180</v>
      </c>
      <c r="S44" s="48">
        <v>4770</v>
      </c>
      <c r="T44" s="48">
        <f t="shared" si="8"/>
        <v>6000</v>
      </c>
      <c r="U44" s="39">
        <v>3000</v>
      </c>
      <c r="V44" s="39">
        <v>3000</v>
      </c>
      <c r="W44" s="39">
        <v>3000</v>
      </c>
      <c r="X44" s="39">
        <v>3000</v>
      </c>
      <c r="Y44" s="39">
        <v>3000</v>
      </c>
      <c r="Z44" s="39"/>
      <c r="AA44" s="39"/>
      <c r="AB44" s="39">
        <v>3000</v>
      </c>
      <c r="AC44" s="39"/>
      <c r="AD44" s="39">
        <v>3000</v>
      </c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0"/>
      <c r="AT44" s="30" t="s">
        <v>105</v>
      </c>
      <c r="AU44" s="30" t="s">
        <v>81</v>
      </c>
      <c r="AV44" s="33" t="s">
        <v>117</v>
      </c>
      <c r="AW44" s="33" t="s">
        <v>553</v>
      </c>
      <c r="AX44" s="30" t="s">
        <v>554</v>
      </c>
      <c r="AY44" s="33" t="s">
        <v>555</v>
      </c>
      <c r="AZ44" s="30"/>
      <c r="BA44" s="30"/>
      <c r="BB44" s="30"/>
      <c r="BC44" s="58"/>
      <c r="BD44" s="30"/>
      <c r="BE44" s="30"/>
      <c r="BF44" s="30"/>
      <c r="BG44" s="30"/>
      <c r="BH44" s="30"/>
      <c r="BI44" s="30"/>
      <c r="BJ44" s="29"/>
      <c r="BK44" s="29"/>
      <c r="BL44" s="63">
        <f t="shared" si="9"/>
        <v>1590</v>
      </c>
      <c r="BM44" s="63">
        <f t="shared" si="10"/>
        <v>0</v>
      </c>
      <c r="BN44" s="63">
        <f t="shared" si="11"/>
        <v>0</v>
      </c>
      <c r="BO44" s="63">
        <f t="shared" si="12"/>
        <v>1590</v>
      </c>
      <c r="BP44" s="63">
        <f t="shared" si="13"/>
        <v>0</v>
      </c>
      <c r="BQ44" s="63">
        <f t="shared" si="14"/>
        <v>1590</v>
      </c>
      <c r="BR44" s="63">
        <f t="shared" si="15"/>
        <v>0</v>
      </c>
      <c r="BS44" s="63">
        <f t="shared" si="16"/>
        <v>0</v>
      </c>
    </row>
    <row r="45" spans="1:71">
      <c r="A45" s="28">
        <f t="shared" si="6"/>
        <v>44</v>
      </c>
      <c r="B45" s="31" t="s">
        <v>659</v>
      </c>
      <c r="C45" s="30" t="s">
        <v>72</v>
      </c>
      <c r="D45" s="30" t="s">
        <v>657</v>
      </c>
      <c r="E45" s="30" t="s">
        <v>99</v>
      </c>
      <c r="F45" s="30"/>
      <c r="G45" s="30" t="s">
        <v>199</v>
      </c>
      <c r="H45" s="35" t="s">
        <v>200</v>
      </c>
      <c r="I45" s="30"/>
      <c r="J45" s="30"/>
      <c r="K45" s="33" t="s">
        <v>660</v>
      </c>
      <c r="L45" s="39"/>
      <c r="M45" s="39" t="s">
        <v>103</v>
      </c>
      <c r="N45" s="31"/>
      <c r="O45" s="33" t="s">
        <v>89</v>
      </c>
      <c r="P45" s="43"/>
      <c r="Q45" s="42">
        <v>0.16</v>
      </c>
      <c r="R45" s="47">
        <f t="shared" si="7"/>
        <v>3360</v>
      </c>
      <c r="S45" s="48">
        <v>3840</v>
      </c>
      <c r="T45" s="48">
        <f t="shared" si="8"/>
        <v>21000</v>
      </c>
      <c r="U45" s="39">
        <v>3000</v>
      </c>
      <c r="V45" s="39">
        <v>3000</v>
      </c>
      <c r="W45" s="39">
        <v>3000</v>
      </c>
      <c r="X45" s="39">
        <v>3000</v>
      </c>
      <c r="Y45" s="39">
        <v>3000</v>
      </c>
      <c r="Z45" s="39">
        <v>3000</v>
      </c>
      <c r="AA45" s="39">
        <v>3000</v>
      </c>
      <c r="AB45" s="39">
        <v>3000</v>
      </c>
      <c r="AC45" s="39">
        <v>3000</v>
      </c>
      <c r="AD45" s="39">
        <v>3000</v>
      </c>
      <c r="AE45" s="39">
        <v>3000</v>
      </c>
      <c r="AF45" s="39">
        <v>3000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0"/>
      <c r="AT45" s="30" t="s">
        <v>105</v>
      </c>
      <c r="AU45" s="30" t="s">
        <v>81</v>
      </c>
      <c r="AV45" s="30" t="s">
        <v>106</v>
      </c>
      <c r="AW45" s="30" t="s">
        <v>661</v>
      </c>
      <c r="AX45" s="30" t="s">
        <v>662</v>
      </c>
      <c r="AY45" s="30"/>
      <c r="AZ45" s="30"/>
      <c r="BA45" s="30"/>
      <c r="BB45" s="30"/>
      <c r="BC45" s="58"/>
      <c r="BD45" s="30"/>
      <c r="BE45" s="30"/>
      <c r="BF45" s="30"/>
      <c r="BG45" s="30"/>
      <c r="BH45" s="30"/>
      <c r="BI45" s="30"/>
      <c r="BJ45" s="29"/>
      <c r="BK45" s="29"/>
      <c r="BL45" s="63">
        <f t="shared" si="9"/>
        <v>480</v>
      </c>
      <c r="BM45" s="63">
        <f t="shared" si="10"/>
        <v>480</v>
      </c>
      <c r="BN45" s="63">
        <f t="shared" si="11"/>
        <v>480</v>
      </c>
      <c r="BO45" s="63">
        <f t="shared" si="12"/>
        <v>480</v>
      </c>
      <c r="BP45" s="63">
        <f t="shared" si="13"/>
        <v>480</v>
      </c>
      <c r="BQ45" s="63">
        <f t="shared" si="14"/>
        <v>480</v>
      </c>
      <c r="BR45" s="63">
        <f t="shared" si="15"/>
        <v>480</v>
      </c>
      <c r="BS45" s="63">
        <f t="shared" si="16"/>
        <v>480</v>
      </c>
    </row>
    <row r="46" spans="1:71">
      <c r="A46" s="28">
        <f t="shared" si="6"/>
        <v>45</v>
      </c>
      <c r="B46" s="31" t="s">
        <v>663</v>
      </c>
      <c r="C46" s="30" t="s">
        <v>72</v>
      </c>
      <c r="D46" s="30" t="s">
        <v>657</v>
      </c>
      <c r="E46" s="30" t="s">
        <v>99</v>
      </c>
      <c r="F46" s="30"/>
      <c r="G46" s="30" t="s">
        <v>173</v>
      </c>
      <c r="H46" s="35" t="s">
        <v>174</v>
      </c>
      <c r="I46" s="30"/>
      <c r="J46" s="30"/>
      <c r="K46" s="33" t="s">
        <v>107</v>
      </c>
      <c r="L46" s="39"/>
      <c r="M46" s="30" t="s">
        <v>114</v>
      </c>
      <c r="N46" s="31" t="s">
        <v>664</v>
      </c>
      <c r="O46" s="33" t="s">
        <v>89</v>
      </c>
      <c r="P46" s="43"/>
      <c r="Q46" s="42">
        <v>0.4</v>
      </c>
      <c r="R46" s="47">
        <f t="shared" si="7"/>
        <v>0</v>
      </c>
      <c r="S46" s="48">
        <v>0</v>
      </c>
      <c r="T46" s="48">
        <f t="shared" si="8"/>
        <v>0</v>
      </c>
      <c r="U46" s="39"/>
      <c r="V46" s="39"/>
      <c r="W46" s="39"/>
      <c r="X46" s="39"/>
      <c r="Y46" s="30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0"/>
      <c r="AT46" s="30" t="s">
        <v>105</v>
      </c>
      <c r="AU46" s="30" t="s">
        <v>81</v>
      </c>
      <c r="AV46" s="30" t="s">
        <v>106</v>
      </c>
      <c r="AW46" s="30" t="s">
        <v>107</v>
      </c>
      <c r="AX46" s="30" t="s">
        <v>108</v>
      </c>
      <c r="AY46" s="30"/>
      <c r="AZ46" s="30"/>
      <c r="BA46" s="30"/>
      <c r="BB46" s="30"/>
      <c r="BC46" s="58">
        <v>3</v>
      </c>
      <c r="BD46" s="30"/>
      <c r="BE46" s="30"/>
      <c r="BF46" s="30"/>
      <c r="BG46" s="30"/>
      <c r="BH46" s="30"/>
      <c r="BI46" s="30"/>
      <c r="BJ46" s="29"/>
      <c r="BK46" s="29"/>
      <c r="BL46" s="63">
        <f t="shared" si="9"/>
        <v>0</v>
      </c>
      <c r="BM46" s="63">
        <f t="shared" si="10"/>
        <v>0</v>
      </c>
      <c r="BN46" s="63">
        <f t="shared" si="11"/>
        <v>0</v>
      </c>
      <c r="BO46" s="63">
        <f t="shared" si="12"/>
        <v>0</v>
      </c>
      <c r="BP46" s="63">
        <f t="shared" si="13"/>
        <v>0</v>
      </c>
      <c r="BQ46" s="63">
        <f t="shared" si="14"/>
        <v>0</v>
      </c>
      <c r="BR46" s="63">
        <f t="shared" si="15"/>
        <v>0</v>
      </c>
      <c r="BS46" s="63">
        <f t="shared" si="16"/>
        <v>0</v>
      </c>
    </row>
    <row r="47" spans="1:71">
      <c r="A47" s="28">
        <f t="shared" si="6"/>
        <v>46</v>
      </c>
      <c r="B47" s="33" t="s">
        <v>665</v>
      </c>
      <c r="C47" s="30" t="s">
        <v>72</v>
      </c>
      <c r="D47" s="33" t="s">
        <v>632</v>
      </c>
      <c r="E47" s="30" t="s">
        <v>99</v>
      </c>
      <c r="F47" s="30"/>
      <c r="G47" s="33" t="s">
        <v>270</v>
      </c>
      <c r="H47" s="35" t="s">
        <v>271</v>
      </c>
      <c r="I47" s="33"/>
      <c r="J47" s="33"/>
      <c r="K47" s="33" t="s">
        <v>666</v>
      </c>
      <c r="L47" s="39"/>
      <c r="M47" s="30" t="s">
        <v>114</v>
      </c>
      <c r="N47" s="33" t="s">
        <v>667</v>
      </c>
      <c r="O47" s="33" t="s">
        <v>89</v>
      </c>
      <c r="P47" s="43"/>
      <c r="Q47" s="50">
        <v>0.45</v>
      </c>
      <c r="R47" s="47">
        <f t="shared" si="7"/>
        <v>0</v>
      </c>
      <c r="S47" s="48">
        <v>0</v>
      </c>
      <c r="T47" s="48">
        <f t="shared" si="8"/>
        <v>0</v>
      </c>
      <c r="U47" s="39">
        <v>50000</v>
      </c>
      <c r="V47" s="39"/>
      <c r="W47" s="39"/>
      <c r="X47" s="39"/>
      <c r="Y47" s="39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30" t="s">
        <v>93</v>
      </c>
      <c r="AT47" s="30" t="s">
        <v>105</v>
      </c>
      <c r="AU47" s="30" t="s">
        <v>81</v>
      </c>
      <c r="AV47" s="33" t="s">
        <v>117</v>
      </c>
      <c r="AW47" s="33" t="s">
        <v>553</v>
      </c>
      <c r="AX47" s="30" t="s">
        <v>554</v>
      </c>
      <c r="AY47" s="33" t="s">
        <v>555</v>
      </c>
      <c r="AZ47" s="30"/>
      <c r="BA47" s="30"/>
      <c r="BB47" s="30"/>
      <c r="BC47" s="58">
        <v>3</v>
      </c>
      <c r="BD47" s="33"/>
      <c r="BE47" s="60">
        <v>44986</v>
      </c>
      <c r="BF47" s="60">
        <v>44986</v>
      </c>
      <c r="BG47" s="60">
        <v>45170</v>
      </c>
      <c r="BH47" s="60">
        <v>45241</v>
      </c>
      <c r="BI47" s="60"/>
      <c r="BJ47" s="64"/>
      <c r="BK47" s="52">
        <v>3</v>
      </c>
      <c r="BL47" s="63">
        <f t="shared" si="9"/>
        <v>0</v>
      </c>
      <c r="BM47" s="63">
        <f t="shared" si="10"/>
        <v>0</v>
      </c>
      <c r="BN47" s="63">
        <f t="shared" si="11"/>
        <v>0</v>
      </c>
      <c r="BO47" s="63">
        <f t="shared" si="12"/>
        <v>0</v>
      </c>
      <c r="BP47" s="63">
        <f t="shared" si="13"/>
        <v>0</v>
      </c>
      <c r="BQ47" s="63">
        <f t="shared" si="14"/>
        <v>0</v>
      </c>
      <c r="BR47" s="63">
        <f t="shared" si="15"/>
        <v>0</v>
      </c>
      <c r="BS47" s="63">
        <f t="shared" si="16"/>
        <v>0</v>
      </c>
    </row>
    <row r="48" spans="1:71">
      <c r="A48" s="28">
        <f t="shared" si="6"/>
        <v>47</v>
      </c>
      <c r="B48" s="30" t="s">
        <v>668</v>
      </c>
      <c r="C48" s="30" t="s">
        <v>72</v>
      </c>
      <c r="D48" s="30" t="s">
        <v>632</v>
      </c>
      <c r="E48" s="30" t="s">
        <v>99</v>
      </c>
      <c r="F48" s="30"/>
      <c r="G48" s="32" t="s">
        <v>263</v>
      </c>
      <c r="H48" s="35" t="s">
        <v>265</v>
      </c>
      <c r="I48" s="32"/>
      <c r="J48" s="32"/>
      <c r="K48" s="30" t="s">
        <v>669</v>
      </c>
      <c r="L48" s="39"/>
      <c r="M48" s="30" t="s">
        <v>57</v>
      </c>
      <c r="N48" s="30"/>
      <c r="O48" s="30"/>
      <c r="P48" s="30"/>
      <c r="Q48" s="30">
        <v>0.45</v>
      </c>
      <c r="R48" s="47">
        <f t="shared" si="7"/>
        <v>0</v>
      </c>
      <c r="S48" s="48">
        <v>0</v>
      </c>
      <c r="T48" s="48">
        <f t="shared" si="8"/>
        <v>0</v>
      </c>
      <c r="U48" s="39"/>
      <c r="V48" s="39"/>
      <c r="W48" s="39"/>
      <c r="X48" s="39"/>
      <c r="Y48" s="39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 t="s">
        <v>93</v>
      </c>
      <c r="AT48" s="30" t="s">
        <v>105</v>
      </c>
      <c r="AU48" s="30" t="s">
        <v>81</v>
      </c>
      <c r="AV48" s="32" t="s">
        <v>106</v>
      </c>
      <c r="AW48" s="30" t="s">
        <v>140</v>
      </c>
      <c r="AX48" s="30" t="s">
        <v>141</v>
      </c>
      <c r="AY48" s="30"/>
      <c r="AZ48" s="30"/>
      <c r="BA48" s="30"/>
      <c r="BB48" s="30"/>
      <c r="BC48" s="30">
        <v>3</v>
      </c>
      <c r="BD48" s="30"/>
      <c r="BE48" s="30"/>
      <c r="BF48" s="30"/>
      <c r="BG48" s="30"/>
      <c r="BH48" s="30"/>
      <c r="BI48" s="30"/>
      <c r="BJ48" s="30"/>
      <c r="BK48" s="30"/>
      <c r="BL48" s="63">
        <f t="shared" ref="BL48:BL79" si="20">$Q48*Y48</f>
        <v>0</v>
      </c>
      <c r="BM48" s="63">
        <f t="shared" si="10"/>
        <v>0</v>
      </c>
      <c r="BN48" s="63">
        <f t="shared" si="11"/>
        <v>0</v>
      </c>
      <c r="BO48" s="63">
        <f t="shared" si="12"/>
        <v>0</v>
      </c>
      <c r="BP48" s="63">
        <f t="shared" si="13"/>
        <v>0</v>
      </c>
      <c r="BQ48" s="63">
        <f t="shared" si="14"/>
        <v>0</v>
      </c>
      <c r="BR48" s="63">
        <f t="shared" si="15"/>
        <v>0</v>
      </c>
      <c r="BS48" s="63">
        <f t="shared" si="16"/>
        <v>0</v>
      </c>
    </row>
    <row r="49" spans="1:71">
      <c r="A49" s="28">
        <f t="shared" si="6"/>
        <v>48</v>
      </c>
      <c r="B49" s="33" t="s">
        <v>670</v>
      </c>
      <c r="C49" s="32" t="s">
        <v>527</v>
      </c>
      <c r="D49" s="33" t="s">
        <v>632</v>
      </c>
      <c r="E49" s="30" t="s">
        <v>99</v>
      </c>
      <c r="F49" s="30"/>
      <c r="G49" s="30" t="s">
        <v>292</v>
      </c>
      <c r="H49" s="35" t="s">
        <v>293</v>
      </c>
      <c r="I49" s="30"/>
      <c r="J49" s="30"/>
      <c r="K49" s="33" t="s">
        <v>628</v>
      </c>
      <c r="L49" s="39"/>
      <c r="M49" s="30" t="s">
        <v>79</v>
      </c>
      <c r="N49" s="31" t="s">
        <v>671</v>
      </c>
      <c r="O49" s="33" t="s">
        <v>89</v>
      </c>
      <c r="P49" s="43"/>
      <c r="Q49" s="42">
        <v>0.28</v>
      </c>
      <c r="R49" s="47">
        <f t="shared" si="7"/>
        <v>42000</v>
      </c>
      <c r="S49" s="48">
        <v>42000</v>
      </c>
      <c r="T49" s="48">
        <f t="shared" si="8"/>
        <v>150000</v>
      </c>
      <c r="U49" s="39"/>
      <c r="V49" s="39"/>
      <c r="W49" s="39"/>
      <c r="X49" s="39">
        <v>100000</v>
      </c>
      <c r="Y49" s="39"/>
      <c r="Z49" s="39"/>
      <c r="AA49" s="39">
        <v>50000</v>
      </c>
      <c r="AB49" s="39"/>
      <c r="AC49" s="39">
        <v>50000</v>
      </c>
      <c r="AD49" s="39"/>
      <c r="AE49" s="39"/>
      <c r="AF49" s="39">
        <v>50000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0"/>
      <c r="AT49" s="30" t="s">
        <v>105</v>
      </c>
      <c r="AU49" s="30" t="s">
        <v>81</v>
      </c>
      <c r="AV49" s="30" t="s">
        <v>106</v>
      </c>
      <c r="AW49" s="30" t="s">
        <v>107</v>
      </c>
      <c r="AX49" s="30" t="s">
        <v>108</v>
      </c>
      <c r="AY49" s="30"/>
      <c r="AZ49" s="30"/>
      <c r="BA49" s="30"/>
      <c r="BB49" s="30"/>
      <c r="BC49" s="58">
        <v>4</v>
      </c>
      <c r="BD49" s="30"/>
      <c r="BE49" s="30"/>
      <c r="BF49" s="30"/>
      <c r="BG49" s="30"/>
      <c r="BH49" s="30"/>
      <c r="BI49" s="30"/>
      <c r="BJ49" s="29"/>
      <c r="BK49" s="29"/>
      <c r="BL49" s="63">
        <f t="shared" si="20"/>
        <v>0</v>
      </c>
      <c r="BM49" s="63">
        <f t="shared" si="10"/>
        <v>0</v>
      </c>
      <c r="BN49" s="63">
        <f t="shared" si="11"/>
        <v>14000</v>
      </c>
      <c r="BO49" s="63">
        <f t="shared" si="12"/>
        <v>0</v>
      </c>
      <c r="BP49" s="63">
        <f t="shared" si="13"/>
        <v>14000</v>
      </c>
      <c r="BQ49" s="63">
        <f t="shared" si="14"/>
        <v>0</v>
      </c>
      <c r="BR49" s="63">
        <f t="shared" si="15"/>
        <v>0</v>
      </c>
      <c r="BS49" s="63">
        <f t="shared" si="16"/>
        <v>14000</v>
      </c>
    </row>
    <row r="50" spans="1:71">
      <c r="A50" s="28">
        <f t="shared" si="6"/>
        <v>49</v>
      </c>
      <c r="B50" s="33" t="s">
        <v>670</v>
      </c>
      <c r="C50" s="30" t="s">
        <v>72</v>
      </c>
      <c r="D50" s="33" t="s">
        <v>632</v>
      </c>
      <c r="E50" s="30" t="s">
        <v>99</v>
      </c>
      <c r="F50" s="30"/>
      <c r="G50" s="30" t="s">
        <v>292</v>
      </c>
      <c r="H50" s="35"/>
      <c r="I50" s="30" t="s">
        <v>672</v>
      </c>
      <c r="J50" s="30"/>
      <c r="K50" s="33" t="s">
        <v>628</v>
      </c>
      <c r="L50" s="39"/>
      <c r="M50" s="30"/>
      <c r="N50" s="31"/>
      <c r="O50" s="33"/>
      <c r="P50" s="43"/>
      <c r="Q50" s="42">
        <v>0.15</v>
      </c>
      <c r="R50" s="47">
        <f t="shared" si="7"/>
        <v>0</v>
      </c>
      <c r="S50" s="48">
        <v>0</v>
      </c>
      <c r="T50" s="48">
        <f t="shared" si="8"/>
        <v>0</v>
      </c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0"/>
      <c r="AT50" s="30" t="s">
        <v>105</v>
      </c>
      <c r="AU50" s="30" t="s">
        <v>81</v>
      </c>
      <c r="AV50" s="30" t="s">
        <v>106</v>
      </c>
      <c r="AW50" s="30" t="s">
        <v>107</v>
      </c>
      <c r="AX50" s="30" t="s">
        <v>108</v>
      </c>
      <c r="AY50" s="30"/>
      <c r="AZ50" s="30"/>
      <c r="BA50" s="30"/>
      <c r="BB50" s="30"/>
      <c r="BC50" s="58"/>
      <c r="BD50" s="30"/>
      <c r="BE50" s="30"/>
      <c r="BF50" s="30"/>
      <c r="BG50" s="30"/>
      <c r="BH50" s="30"/>
      <c r="BI50" s="30"/>
      <c r="BJ50" s="29"/>
      <c r="BK50" s="29"/>
      <c r="BL50" s="63">
        <f t="shared" si="20"/>
        <v>0</v>
      </c>
      <c r="BM50" s="63">
        <f t="shared" si="10"/>
        <v>0</v>
      </c>
      <c r="BN50" s="63">
        <f t="shared" si="11"/>
        <v>0</v>
      </c>
      <c r="BO50" s="63">
        <f t="shared" si="12"/>
        <v>0</v>
      </c>
      <c r="BP50" s="63">
        <f t="shared" si="13"/>
        <v>0</v>
      </c>
      <c r="BQ50" s="63">
        <f t="shared" si="14"/>
        <v>0</v>
      </c>
      <c r="BR50" s="63">
        <f t="shared" si="15"/>
        <v>0</v>
      </c>
      <c r="BS50" s="63">
        <f t="shared" si="16"/>
        <v>0</v>
      </c>
    </row>
    <row r="51" spans="1:71">
      <c r="A51" s="28">
        <f t="shared" si="6"/>
        <v>50</v>
      </c>
      <c r="B51" s="32" t="s">
        <v>673</v>
      </c>
      <c r="C51" s="30" t="s">
        <v>72</v>
      </c>
      <c r="D51" s="30" t="s">
        <v>632</v>
      </c>
      <c r="E51" s="30" t="s">
        <v>99</v>
      </c>
      <c r="F51" s="30"/>
      <c r="G51" s="30" t="s">
        <v>292</v>
      </c>
      <c r="H51" s="35" t="s">
        <v>293</v>
      </c>
      <c r="I51" s="30"/>
      <c r="J51" s="30"/>
      <c r="K51" s="33" t="s">
        <v>628</v>
      </c>
      <c r="L51" s="39"/>
      <c r="M51" s="30" t="s">
        <v>57</v>
      </c>
      <c r="N51" s="31"/>
      <c r="O51" s="33" t="s">
        <v>89</v>
      </c>
      <c r="P51" s="43"/>
      <c r="Q51" s="50">
        <v>0.4</v>
      </c>
      <c r="R51" s="47">
        <f t="shared" si="7"/>
        <v>18000</v>
      </c>
      <c r="S51" s="48">
        <v>24000</v>
      </c>
      <c r="T51" s="48">
        <f t="shared" si="8"/>
        <v>45000</v>
      </c>
      <c r="U51" s="39"/>
      <c r="V51" s="39">
        <v>45000</v>
      </c>
      <c r="W51" s="39">
        <v>15000</v>
      </c>
      <c r="X51" s="39">
        <v>15000</v>
      </c>
      <c r="Y51" s="39">
        <v>15000</v>
      </c>
      <c r="Z51" s="39"/>
      <c r="AA51" s="39">
        <v>15000</v>
      </c>
      <c r="AB51" s="39"/>
      <c r="AC51" s="39"/>
      <c r="AD51" s="39">
        <v>15000</v>
      </c>
      <c r="AE51" s="39"/>
      <c r="AF51" s="39">
        <v>15000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0"/>
      <c r="AT51" s="30" t="s">
        <v>105</v>
      </c>
      <c r="AU51" s="30" t="s">
        <v>81</v>
      </c>
      <c r="AV51" s="30" t="s">
        <v>106</v>
      </c>
      <c r="AW51" s="30" t="s">
        <v>107</v>
      </c>
      <c r="AX51" s="30" t="s">
        <v>108</v>
      </c>
      <c r="AY51" s="30"/>
      <c r="AZ51" s="30"/>
      <c r="BA51" s="30"/>
      <c r="BB51" s="30"/>
      <c r="BC51" s="58">
        <v>4</v>
      </c>
      <c r="BD51" s="30"/>
      <c r="BE51" s="30"/>
      <c r="BF51" s="30"/>
      <c r="BG51" s="30"/>
      <c r="BH51" s="30"/>
      <c r="BI51" s="30"/>
      <c r="BJ51" s="29"/>
      <c r="BK51" s="29"/>
      <c r="BL51" s="63">
        <f t="shared" si="20"/>
        <v>6000</v>
      </c>
      <c r="BM51" s="63">
        <f t="shared" si="10"/>
        <v>0</v>
      </c>
      <c r="BN51" s="63">
        <f t="shared" si="11"/>
        <v>6000</v>
      </c>
      <c r="BO51" s="63">
        <f t="shared" si="12"/>
        <v>0</v>
      </c>
      <c r="BP51" s="63">
        <f t="shared" si="13"/>
        <v>0</v>
      </c>
      <c r="BQ51" s="63">
        <f t="shared" si="14"/>
        <v>6000</v>
      </c>
      <c r="BR51" s="63">
        <f t="shared" si="15"/>
        <v>0</v>
      </c>
      <c r="BS51" s="63">
        <f t="shared" si="16"/>
        <v>6000</v>
      </c>
    </row>
    <row r="52" spans="1:71">
      <c r="A52" s="28">
        <f t="shared" si="6"/>
        <v>51</v>
      </c>
      <c r="B52" s="32" t="s">
        <v>674</v>
      </c>
      <c r="C52" s="30" t="s">
        <v>72</v>
      </c>
      <c r="D52" s="30" t="s">
        <v>632</v>
      </c>
      <c r="E52" s="30" t="s">
        <v>99</v>
      </c>
      <c r="F52" s="30"/>
      <c r="G52" s="30" t="s">
        <v>324</v>
      </c>
      <c r="H52" s="37" t="s">
        <v>325</v>
      </c>
      <c r="I52" s="30"/>
      <c r="J52" s="30"/>
      <c r="K52" s="33" t="s">
        <v>628</v>
      </c>
      <c r="L52" s="39"/>
      <c r="M52" s="30" t="s">
        <v>57</v>
      </c>
      <c r="N52" s="31"/>
      <c r="O52" s="33" t="s">
        <v>89</v>
      </c>
      <c r="P52" s="43"/>
      <c r="Q52" s="50">
        <v>0.3</v>
      </c>
      <c r="R52" s="47">
        <f t="shared" si="7"/>
        <v>90000</v>
      </c>
      <c r="S52" s="48">
        <v>120000</v>
      </c>
      <c r="T52" s="48">
        <f t="shared" si="8"/>
        <v>300000</v>
      </c>
      <c r="U52" s="39">
        <v>100000</v>
      </c>
      <c r="V52" s="39">
        <v>138000</v>
      </c>
      <c r="W52" s="39">
        <v>100000</v>
      </c>
      <c r="X52" s="39">
        <v>100000</v>
      </c>
      <c r="Y52" s="39">
        <v>100000</v>
      </c>
      <c r="Z52" s="39"/>
      <c r="AA52" s="39">
        <v>100000</v>
      </c>
      <c r="AB52" s="39"/>
      <c r="AC52" s="39"/>
      <c r="AD52" s="39">
        <v>100000</v>
      </c>
      <c r="AE52" s="39"/>
      <c r="AF52" s="39">
        <v>100000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0"/>
      <c r="AT52" s="30" t="s">
        <v>105</v>
      </c>
      <c r="AU52" s="30" t="s">
        <v>81</v>
      </c>
      <c r="AV52" s="30" t="s">
        <v>106</v>
      </c>
      <c r="AW52" s="30" t="s">
        <v>107</v>
      </c>
      <c r="AX52" s="30" t="s">
        <v>108</v>
      </c>
      <c r="AY52" s="30"/>
      <c r="AZ52" s="30"/>
      <c r="BA52" s="30"/>
      <c r="BB52" s="30"/>
      <c r="BC52" s="58">
        <v>4</v>
      </c>
      <c r="BD52" s="30"/>
      <c r="BE52" s="30"/>
      <c r="BF52" s="30"/>
      <c r="BG52" s="30"/>
      <c r="BH52" s="30"/>
      <c r="BI52" s="30"/>
      <c r="BJ52" s="29"/>
      <c r="BK52" s="29"/>
      <c r="BL52" s="63">
        <f t="shared" si="20"/>
        <v>30000</v>
      </c>
      <c r="BM52" s="63">
        <f t="shared" si="10"/>
        <v>0</v>
      </c>
      <c r="BN52" s="63">
        <f t="shared" si="11"/>
        <v>30000</v>
      </c>
      <c r="BO52" s="63">
        <f t="shared" si="12"/>
        <v>0</v>
      </c>
      <c r="BP52" s="63">
        <f t="shared" si="13"/>
        <v>0</v>
      </c>
      <c r="BQ52" s="63">
        <f t="shared" si="14"/>
        <v>30000</v>
      </c>
      <c r="BR52" s="63">
        <f t="shared" si="15"/>
        <v>0</v>
      </c>
      <c r="BS52" s="63">
        <f t="shared" si="16"/>
        <v>30000</v>
      </c>
    </row>
    <row r="53" spans="1:71">
      <c r="A53" s="28">
        <f t="shared" si="6"/>
        <v>52</v>
      </c>
      <c r="B53" s="32" t="s">
        <v>675</v>
      </c>
      <c r="C53" s="30" t="s">
        <v>72</v>
      </c>
      <c r="D53" s="33" t="s">
        <v>632</v>
      </c>
      <c r="E53" s="30" t="s">
        <v>99</v>
      </c>
      <c r="F53" s="30"/>
      <c r="G53" s="33" t="s">
        <v>254</v>
      </c>
      <c r="H53" s="35" t="s">
        <v>255</v>
      </c>
      <c r="I53" s="33"/>
      <c r="J53" s="33"/>
      <c r="K53" s="33" t="s">
        <v>628</v>
      </c>
      <c r="L53" s="39"/>
      <c r="M53" s="30" t="s">
        <v>114</v>
      </c>
      <c r="N53" s="31"/>
      <c r="O53" s="33" t="s">
        <v>89</v>
      </c>
      <c r="P53" s="43"/>
      <c r="Q53" s="50">
        <v>0.4</v>
      </c>
      <c r="R53" s="47">
        <f t="shared" si="7"/>
        <v>24000</v>
      </c>
      <c r="S53" s="48">
        <v>48000</v>
      </c>
      <c r="T53" s="48">
        <f t="shared" si="8"/>
        <v>60000</v>
      </c>
      <c r="U53" s="39">
        <v>30000</v>
      </c>
      <c r="V53" s="39">
        <v>30000</v>
      </c>
      <c r="W53" s="39">
        <v>30000</v>
      </c>
      <c r="X53" s="39">
        <v>30000</v>
      </c>
      <c r="Y53" s="39">
        <v>30000</v>
      </c>
      <c r="Z53" s="39"/>
      <c r="AA53" s="39"/>
      <c r="AB53" s="39"/>
      <c r="AC53" s="39"/>
      <c r="AD53" s="39">
        <v>30000</v>
      </c>
      <c r="AE53" s="39"/>
      <c r="AF53" s="39">
        <v>30000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0"/>
      <c r="AT53" s="30" t="s">
        <v>105</v>
      </c>
      <c r="AU53" s="30" t="s">
        <v>81</v>
      </c>
      <c r="AV53" s="30" t="s">
        <v>106</v>
      </c>
      <c r="AW53" s="30" t="s">
        <v>107</v>
      </c>
      <c r="AX53" s="30" t="s">
        <v>108</v>
      </c>
      <c r="AY53" s="30"/>
      <c r="AZ53" s="30"/>
      <c r="BA53" s="30"/>
      <c r="BB53" s="30"/>
      <c r="BC53" s="58">
        <v>4</v>
      </c>
      <c r="BD53" s="30"/>
      <c r="BE53" s="30"/>
      <c r="BF53" s="30"/>
      <c r="BG53" s="30"/>
      <c r="BH53" s="30"/>
      <c r="BI53" s="30"/>
      <c r="BJ53" s="29"/>
      <c r="BK53" s="29"/>
      <c r="BL53" s="63">
        <f t="shared" si="20"/>
        <v>12000</v>
      </c>
      <c r="BM53" s="63">
        <f t="shared" si="10"/>
        <v>0</v>
      </c>
      <c r="BN53" s="63">
        <f t="shared" si="11"/>
        <v>0</v>
      </c>
      <c r="BO53" s="63">
        <f t="shared" si="12"/>
        <v>0</v>
      </c>
      <c r="BP53" s="63">
        <f t="shared" si="13"/>
        <v>0</v>
      </c>
      <c r="BQ53" s="63">
        <f t="shared" si="14"/>
        <v>12000</v>
      </c>
      <c r="BR53" s="63">
        <f t="shared" si="15"/>
        <v>0</v>
      </c>
      <c r="BS53" s="63">
        <f t="shared" si="16"/>
        <v>12000</v>
      </c>
    </row>
    <row r="54" spans="1:71">
      <c r="A54" s="28">
        <f t="shared" si="6"/>
        <v>53</v>
      </c>
      <c r="B54" s="32" t="s">
        <v>676</v>
      </c>
      <c r="C54" s="30" t="s">
        <v>72</v>
      </c>
      <c r="D54" s="32" t="s">
        <v>632</v>
      </c>
      <c r="E54" s="32" t="s">
        <v>99</v>
      </c>
      <c r="F54" s="32"/>
      <c r="G54" s="33" t="s">
        <v>210</v>
      </c>
      <c r="H54" s="35" t="s">
        <v>211</v>
      </c>
      <c r="I54" s="33"/>
      <c r="J54" s="33"/>
      <c r="K54" s="32" t="s">
        <v>677</v>
      </c>
      <c r="L54" s="32"/>
      <c r="M54" s="32" t="s">
        <v>79</v>
      </c>
      <c r="N54" s="32"/>
      <c r="O54" s="32" t="s">
        <v>89</v>
      </c>
      <c r="P54" s="32"/>
      <c r="Q54" s="50">
        <v>0.28</v>
      </c>
      <c r="R54" s="47">
        <f t="shared" si="7"/>
        <v>196000</v>
      </c>
      <c r="S54" s="48">
        <v>224000</v>
      </c>
      <c r="T54" s="48">
        <f t="shared" si="8"/>
        <v>700000</v>
      </c>
      <c r="U54" s="39">
        <v>100000</v>
      </c>
      <c r="V54" s="39">
        <v>100000</v>
      </c>
      <c r="W54" s="39">
        <v>100000</v>
      </c>
      <c r="X54" s="39">
        <v>100000</v>
      </c>
      <c r="Y54" s="39">
        <v>100000</v>
      </c>
      <c r="Z54" s="39">
        <v>100000</v>
      </c>
      <c r="AA54" s="39">
        <v>100000</v>
      </c>
      <c r="AB54" s="39">
        <v>100000</v>
      </c>
      <c r="AC54" s="39">
        <v>100000</v>
      </c>
      <c r="AD54" s="39">
        <v>100000</v>
      </c>
      <c r="AE54" s="39">
        <v>100000</v>
      </c>
      <c r="AF54" s="39">
        <v>100000</v>
      </c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0" t="s">
        <v>105</v>
      </c>
      <c r="AU54" s="30" t="s">
        <v>81</v>
      </c>
      <c r="AV54" s="32" t="s">
        <v>106</v>
      </c>
      <c r="AW54" s="32" t="s">
        <v>107</v>
      </c>
      <c r="AX54" s="32" t="s">
        <v>108</v>
      </c>
      <c r="AY54" s="32"/>
      <c r="AZ54" s="32"/>
      <c r="BA54" s="32"/>
      <c r="BB54" s="32"/>
      <c r="BC54" s="32">
        <v>4</v>
      </c>
      <c r="BD54" s="32"/>
      <c r="BE54" s="32"/>
      <c r="BF54" s="32"/>
      <c r="BG54" s="32"/>
      <c r="BH54" s="32"/>
      <c r="BI54" s="32"/>
      <c r="BJ54" s="32"/>
      <c r="BK54" s="32"/>
      <c r="BL54" s="63">
        <f t="shared" si="20"/>
        <v>28000</v>
      </c>
      <c r="BM54" s="63">
        <f t="shared" si="10"/>
        <v>28000</v>
      </c>
      <c r="BN54" s="63">
        <f t="shared" si="11"/>
        <v>28000</v>
      </c>
      <c r="BO54" s="63">
        <f t="shared" si="12"/>
        <v>28000</v>
      </c>
      <c r="BP54" s="63">
        <f t="shared" si="13"/>
        <v>28000</v>
      </c>
      <c r="BQ54" s="63">
        <f t="shared" si="14"/>
        <v>28000</v>
      </c>
      <c r="BR54" s="63">
        <f t="shared" si="15"/>
        <v>28000</v>
      </c>
      <c r="BS54" s="63">
        <f t="shared" si="16"/>
        <v>28000</v>
      </c>
    </row>
    <row r="55" spans="1:71">
      <c r="A55" s="28">
        <f t="shared" si="6"/>
        <v>54</v>
      </c>
      <c r="B55" s="32" t="s">
        <v>678</v>
      </c>
      <c r="C55" s="30" t="s">
        <v>72</v>
      </c>
      <c r="D55" s="32" t="s">
        <v>632</v>
      </c>
      <c r="E55" s="32" t="s">
        <v>99</v>
      </c>
      <c r="F55" s="32"/>
      <c r="G55" s="32" t="s">
        <v>195</v>
      </c>
      <c r="H55" s="35" t="s">
        <v>196</v>
      </c>
      <c r="I55" s="32"/>
      <c r="J55" s="32"/>
      <c r="K55" s="32" t="s">
        <v>628</v>
      </c>
      <c r="L55" s="32"/>
      <c r="M55" s="32" t="s">
        <v>114</v>
      </c>
      <c r="N55" s="32"/>
      <c r="O55" s="32"/>
      <c r="P55" s="32"/>
      <c r="Q55" s="50">
        <v>0.18</v>
      </c>
      <c r="R55" s="47">
        <f t="shared" si="7"/>
        <v>37800</v>
      </c>
      <c r="S55" s="48">
        <v>37800</v>
      </c>
      <c r="T55" s="48">
        <f t="shared" si="8"/>
        <v>210000</v>
      </c>
      <c r="U55" s="39">
        <v>30000</v>
      </c>
      <c r="V55" s="39">
        <v>30000</v>
      </c>
      <c r="W55" s="39">
        <v>30000</v>
      </c>
      <c r="X55" s="39">
        <v>30000</v>
      </c>
      <c r="Y55" s="39"/>
      <c r="Z55" s="39">
        <v>30000</v>
      </c>
      <c r="AA55" s="39">
        <v>30000</v>
      </c>
      <c r="AB55" s="39">
        <v>30000</v>
      </c>
      <c r="AC55" s="39">
        <v>30000</v>
      </c>
      <c r="AD55" s="39">
        <v>30000</v>
      </c>
      <c r="AE55" s="39">
        <v>30000</v>
      </c>
      <c r="AF55" s="39">
        <v>30000</v>
      </c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0" t="s">
        <v>105</v>
      </c>
      <c r="AU55" s="30" t="s">
        <v>81</v>
      </c>
      <c r="AV55" s="32" t="s">
        <v>106</v>
      </c>
      <c r="AW55" s="32" t="s">
        <v>638</v>
      </c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63">
        <f t="shared" si="20"/>
        <v>0</v>
      </c>
      <c r="BM55" s="63">
        <f t="shared" si="10"/>
        <v>5400</v>
      </c>
      <c r="BN55" s="63">
        <f t="shared" si="11"/>
        <v>5400</v>
      </c>
      <c r="BO55" s="63">
        <f t="shared" si="12"/>
        <v>5400</v>
      </c>
      <c r="BP55" s="63">
        <f t="shared" si="13"/>
        <v>5400</v>
      </c>
      <c r="BQ55" s="63">
        <f t="shared" si="14"/>
        <v>5400</v>
      </c>
      <c r="BR55" s="63">
        <f t="shared" si="15"/>
        <v>5400</v>
      </c>
      <c r="BS55" s="63">
        <f t="shared" si="16"/>
        <v>5400</v>
      </c>
    </row>
    <row r="56" spans="1:71">
      <c r="A56" s="28">
        <f t="shared" si="6"/>
        <v>55</v>
      </c>
      <c r="B56" s="32" t="s">
        <v>679</v>
      </c>
      <c r="C56" s="30" t="s">
        <v>72</v>
      </c>
      <c r="D56" s="32" t="s">
        <v>679</v>
      </c>
      <c r="E56" s="32" t="s">
        <v>99</v>
      </c>
      <c r="F56" s="32"/>
      <c r="G56" s="32" t="s">
        <v>389</v>
      </c>
      <c r="H56" s="35" t="s">
        <v>390</v>
      </c>
      <c r="I56" s="32"/>
      <c r="J56" s="32"/>
      <c r="K56" s="32" t="s">
        <v>680</v>
      </c>
      <c r="L56" s="32"/>
      <c r="M56" s="32" t="s">
        <v>79</v>
      </c>
      <c r="N56" s="32"/>
      <c r="O56" s="32"/>
      <c r="P56" s="32"/>
      <c r="Q56" s="50">
        <v>0.25</v>
      </c>
      <c r="R56" s="47">
        <f t="shared" si="7"/>
        <v>337500</v>
      </c>
      <c r="S56" s="48">
        <v>187500</v>
      </c>
      <c r="T56" s="48">
        <f t="shared" si="8"/>
        <v>1350000</v>
      </c>
      <c r="U56" s="39">
        <v>100000</v>
      </c>
      <c r="V56" s="39">
        <v>150000</v>
      </c>
      <c r="W56" s="39">
        <v>150000</v>
      </c>
      <c r="X56" s="39">
        <v>150000</v>
      </c>
      <c r="Y56" s="39"/>
      <c r="Z56" s="39">
        <v>150000</v>
      </c>
      <c r="AA56" s="39">
        <v>100000</v>
      </c>
      <c r="AB56" s="39">
        <v>200000</v>
      </c>
      <c r="AC56" s="39">
        <v>200000</v>
      </c>
      <c r="AD56" s="39">
        <v>200000</v>
      </c>
      <c r="AE56" s="39">
        <v>250000</v>
      </c>
      <c r="AF56" s="39">
        <v>250000</v>
      </c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0" t="s">
        <v>105</v>
      </c>
      <c r="AU56" s="30" t="s">
        <v>545</v>
      </c>
      <c r="AV56" s="32" t="s">
        <v>135</v>
      </c>
      <c r="AW56" s="32" t="s">
        <v>681</v>
      </c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63">
        <f t="shared" si="20"/>
        <v>0</v>
      </c>
      <c r="BM56" s="63">
        <f t="shared" si="10"/>
        <v>37500</v>
      </c>
      <c r="BN56" s="63">
        <f t="shared" si="11"/>
        <v>25000</v>
      </c>
      <c r="BO56" s="63">
        <f t="shared" si="12"/>
        <v>50000</v>
      </c>
      <c r="BP56" s="63">
        <f t="shared" si="13"/>
        <v>50000</v>
      </c>
      <c r="BQ56" s="63">
        <f t="shared" si="14"/>
        <v>50000</v>
      </c>
      <c r="BR56" s="63">
        <f t="shared" si="15"/>
        <v>62500</v>
      </c>
      <c r="BS56" s="63">
        <f t="shared" si="16"/>
        <v>62500</v>
      </c>
    </row>
    <row r="57" spans="1:71">
      <c r="A57" s="28">
        <f t="shared" si="6"/>
        <v>56</v>
      </c>
      <c r="B57" s="32" t="s">
        <v>682</v>
      </c>
      <c r="C57" s="32" t="s">
        <v>527</v>
      </c>
      <c r="D57" s="32" t="s">
        <v>683</v>
      </c>
      <c r="E57" s="32" t="s">
        <v>99</v>
      </c>
      <c r="F57" s="32"/>
      <c r="G57" s="32" t="s">
        <v>391</v>
      </c>
      <c r="H57" s="35" t="s">
        <v>392</v>
      </c>
      <c r="I57" s="32"/>
      <c r="J57" s="32"/>
      <c r="K57" s="32"/>
      <c r="L57" s="32"/>
      <c r="M57" s="32"/>
      <c r="N57" s="32"/>
      <c r="O57" s="32"/>
      <c r="P57" s="32"/>
      <c r="Q57" s="51">
        <v>2.82</v>
      </c>
      <c r="R57" s="47">
        <f t="shared" si="7"/>
        <v>84600</v>
      </c>
      <c r="S57" s="48"/>
      <c r="T57" s="48">
        <f t="shared" si="8"/>
        <v>30000</v>
      </c>
      <c r="U57" s="39"/>
      <c r="V57" s="39"/>
      <c r="W57" s="39"/>
      <c r="X57" s="39"/>
      <c r="Y57" s="39"/>
      <c r="Z57" s="39"/>
      <c r="AA57" s="39"/>
      <c r="AB57" s="39"/>
      <c r="AC57" s="39"/>
      <c r="AD57" s="39">
        <v>10000</v>
      </c>
      <c r="AE57" s="39">
        <v>10000</v>
      </c>
      <c r="AF57" s="39">
        <v>10000</v>
      </c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0" t="s">
        <v>105</v>
      </c>
      <c r="AU57" s="30" t="s">
        <v>545</v>
      </c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63">
        <f t="shared" si="20"/>
        <v>0</v>
      </c>
      <c r="BM57" s="63">
        <f t="shared" si="10"/>
        <v>0</v>
      </c>
      <c r="BN57" s="63">
        <f t="shared" si="11"/>
        <v>0</v>
      </c>
      <c r="BO57" s="63">
        <f t="shared" si="12"/>
        <v>0</v>
      </c>
      <c r="BP57" s="63">
        <f t="shared" si="13"/>
        <v>0</v>
      </c>
      <c r="BQ57" s="63">
        <f t="shared" si="14"/>
        <v>28200</v>
      </c>
      <c r="BR57" s="63">
        <f t="shared" si="15"/>
        <v>28200</v>
      </c>
      <c r="BS57" s="63">
        <f t="shared" si="16"/>
        <v>28200</v>
      </c>
    </row>
    <row r="58" spans="1:71">
      <c r="A58" s="28">
        <f t="shared" si="6"/>
        <v>57</v>
      </c>
      <c r="B58" s="32" t="s">
        <v>684</v>
      </c>
      <c r="C58" s="30" t="s">
        <v>92</v>
      </c>
      <c r="D58" s="32" t="s">
        <v>684</v>
      </c>
      <c r="E58" s="32" t="s">
        <v>530</v>
      </c>
      <c r="F58" s="32"/>
      <c r="G58" s="32" t="s">
        <v>371</v>
      </c>
      <c r="H58" s="35" t="s">
        <v>372</v>
      </c>
      <c r="I58" s="32"/>
      <c r="J58" s="32"/>
      <c r="K58" s="32" t="s">
        <v>685</v>
      </c>
      <c r="L58" s="32">
        <v>2200000</v>
      </c>
      <c r="M58" s="32" t="s">
        <v>103</v>
      </c>
      <c r="N58" s="32"/>
      <c r="O58" s="32"/>
      <c r="P58" s="32"/>
      <c r="Q58" s="50">
        <v>1.76</v>
      </c>
      <c r="R58" s="47">
        <f t="shared" si="7"/>
        <v>950400</v>
      </c>
      <c r="S58" s="48">
        <v>1848000</v>
      </c>
      <c r="T58" s="48">
        <f t="shared" si="8"/>
        <v>540000</v>
      </c>
      <c r="U58" s="39">
        <v>200000</v>
      </c>
      <c r="V58" s="39"/>
      <c r="W58" s="39">
        <v>180000</v>
      </c>
      <c r="X58" s="39">
        <v>120000</v>
      </c>
      <c r="Y58" s="39">
        <v>120000</v>
      </c>
      <c r="Z58" s="39">
        <v>120000</v>
      </c>
      <c r="AA58" s="39"/>
      <c r="AB58" s="39">
        <v>120000</v>
      </c>
      <c r="AC58" s="39"/>
      <c r="AD58" s="39">
        <v>150000</v>
      </c>
      <c r="AE58" s="39"/>
      <c r="AF58" s="39">
        <v>150000</v>
      </c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0" t="s">
        <v>105</v>
      </c>
      <c r="AU58" s="30" t="s">
        <v>532</v>
      </c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63">
        <f t="shared" si="20"/>
        <v>211200</v>
      </c>
      <c r="BM58" s="63">
        <f t="shared" si="10"/>
        <v>211200</v>
      </c>
      <c r="BN58" s="63">
        <f t="shared" si="11"/>
        <v>0</v>
      </c>
      <c r="BO58" s="63">
        <f t="shared" si="12"/>
        <v>211200</v>
      </c>
      <c r="BP58" s="63">
        <f t="shared" si="13"/>
        <v>0</v>
      </c>
      <c r="BQ58" s="63">
        <f t="shared" si="14"/>
        <v>264000</v>
      </c>
      <c r="BR58" s="63">
        <f t="shared" si="15"/>
        <v>0</v>
      </c>
      <c r="BS58" s="63">
        <f t="shared" si="16"/>
        <v>264000</v>
      </c>
    </row>
    <row r="59" spans="1:71">
      <c r="A59" s="28">
        <f t="shared" si="6"/>
        <v>58</v>
      </c>
      <c r="B59" s="32" t="s">
        <v>684</v>
      </c>
      <c r="C59" s="30" t="s">
        <v>92</v>
      </c>
      <c r="D59" s="32" t="s">
        <v>684</v>
      </c>
      <c r="E59" s="32" t="s">
        <v>530</v>
      </c>
      <c r="F59" s="32"/>
      <c r="G59" s="30" t="s">
        <v>385</v>
      </c>
      <c r="H59" s="35" t="s">
        <v>386</v>
      </c>
      <c r="I59" s="30"/>
      <c r="J59" s="30"/>
      <c r="K59" s="32" t="s">
        <v>685</v>
      </c>
      <c r="L59" s="32">
        <v>2200000</v>
      </c>
      <c r="M59" s="32"/>
      <c r="N59" s="32"/>
      <c r="O59" s="32"/>
      <c r="P59" s="32"/>
      <c r="Q59" s="50">
        <v>1.62</v>
      </c>
      <c r="R59" s="47">
        <f t="shared" si="7"/>
        <v>324000</v>
      </c>
      <c r="S59" s="48">
        <v>405000</v>
      </c>
      <c r="T59" s="48">
        <f t="shared" si="8"/>
        <v>200000</v>
      </c>
      <c r="U59" s="39"/>
      <c r="V59" s="39">
        <v>50000</v>
      </c>
      <c r="W59" s="39"/>
      <c r="X59" s="39">
        <v>50000</v>
      </c>
      <c r="Y59" s="39">
        <v>50000</v>
      </c>
      <c r="Z59" s="39"/>
      <c r="AA59" s="39">
        <v>50000</v>
      </c>
      <c r="AB59" s="39">
        <v>50000</v>
      </c>
      <c r="AC59" s="39"/>
      <c r="AD59" s="39">
        <v>50000</v>
      </c>
      <c r="AE59" s="39">
        <v>50000</v>
      </c>
      <c r="AF59" s="39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0" t="s">
        <v>105</v>
      </c>
      <c r="AU59" s="30" t="s">
        <v>532</v>
      </c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63">
        <f t="shared" si="20"/>
        <v>81000</v>
      </c>
      <c r="BM59" s="63">
        <f t="shared" si="10"/>
        <v>0</v>
      </c>
      <c r="BN59" s="63">
        <f t="shared" si="11"/>
        <v>81000</v>
      </c>
      <c r="BO59" s="63">
        <f t="shared" si="12"/>
        <v>81000</v>
      </c>
      <c r="BP59" s="63">
        <f t="shared" si="13"/>
        <v>0</v>
      </c>
      <c r="BQ59" s="63">
        <f t="shared" si="14"/>
        <v>81000</v>
      </c>
      <c r="BR59" s="63">
        <f t="shared" si="15"/>
        <v>81000</v>
      </c>
      <c r="BS59" s="63">
        <f t="shared" si="16"/>
        <v>0</v>
      </c>
    </row>
    <row r="60" spans="1:71">
      <c r="A60" s="28">
        <f t="shared" si="6"/>
        <v>59</v>
      </c>
      <c r="B60" s="32" t="s">
        <v>686</v>
      </c>
      <c r="C60" s="32" t="s">
        <v>72</v>
      </c>
      <c r="D60" s="32" t="s">
        <v>686</v>
      </c>
      <c r="E60" s="32" t="s">
        <v>530</v>
      </c>
      <c r="F60" s="32"/>
      <c r="G60" s="32" t="s">
        <v>429</v>
      </c>
      <c r="H60" s="35" t="s">
        <v>430</v>
      </c>
      <c r="I60" s="32"/>
      <c r="J60" s="32"/>
      <c r="K60" s="32" t="s">
        <v>687</v>
      </c>
      <c r="L60" s="32">
        <v>500000</v>
      </c>
      <c r="M60" s="32" t="s">
        <v>114</v>
      </c>
      <c r="N60" s="32"/>
      <c r="O60" s="32"/>
      <c r="P60" s="32"/>
      <c r="Q60" s="50">
        <v>3.36</v>
      </c>
      <c r="R60" s="47">
        <f t="shared" si="7"/>
        <v>50400</v>
      </c>
      <c r="S60" s="48">
        <v>50400</v>
      </c>
      <c r="T60" s="48">
        <f t="shared" si="8"/>
        <v>15000</v>
      </c>
      <c r="U60" s="39"/>
      <c r="V60" s="39"/>
      <c r="W60" s="39">
        <v>3000</v>
      </c>
      <c r="X60" s="39"/>
      <c r="Y60" s="39"/>
      <c r="Z60" s="39">
        <v>3000</v>
      </c>
      <c r="AA60" s="39"/>
      <c r="AB60" s="39"/>
      <c r="AC60" s="39">
        <v>6000</v>
      </c>
      <c r="AD60" s="39"/>
      <c r="AE60" s="39"/>
      <c r="AF60" s="39">
        <v>6000</v>
      </c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0" t="s">
        <v>105</v>
      </c>
      <c r="AU60" s="30" t="s">
        <v>688</v>
      </c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63">
        <f t="shared" si="20"/>
        <v>0</v>
      </c>
      <c r="BM60" s="63">
        <f t="shared" si="10"/>
        <v>10080</v>
      </c>
      <c r="BN60" s="63">
        <f t="shared" si="11"/>
        <v>0</v>
      </c>
      <c r="BO60" s="63">
        <f t="shared" si="12"/>
        <v>0</v>
      </c>
      <c r="BP60" s="63">
        <f t="shared" si="13"/>
        <v>20160</v>
      </c>
      <c r="BQ60" s="63">
        <f t="shared" si="14"/>
        <v>0</v>
      </c>
      <c r="BR60" s="63">
        <f t="shared" si="15"/>
        <v>0</v>
      </c>
      <c r="BS60" s="63">
        <f t="shared" si="16"/>
        <v>20160</v>
      </c>
    </row>
    <row r="61" spans="1:71">
      <c r="A61" s="28">
        <f t="shared" si="6"/>
        <v>60</v>
      </c>
      <c r="B61" s="32" t="s">
        <v>686</v>
      </c>
      <c r="C61" s="32" t="s">
        <v>72</v>
      </c>
      <c r="D61" s="32" t="s">
        <v>686</v>
      </c>
      <c r="E61" s="32" t="s">
        <v>530</v>
      </c>
      <c r="F61" s="32"/>
      <c r="G61" s="32" t="s">
        <v>467</v>
      </c>
      <c r="H61" s="35" t="s">
        <v>468</v>
      </c>
      <c r="I61" s="32"/>
      <c r="J61" s="32"/>
      <c r="K61" s="32" t="s">
        <v>689</v>
      </c>
      <c r="L61" s="32">
        <v>500000</v>
      </c>
      <c r="M61" s="32" t="s">
        <v>56</v>
      </c>
      <c r="N61" s="32"/>
      <c r="O61" s="32"/>
      <c r="P61" s="32"/>
      <c r="Q61" s="50">
        <v>4.42</v>
      </c>
      <c r="R61" s="47">
        <f t="shared" si="7"/>
        <v>44200</v>
      </c>
      <c r="S61" s="48">
        <v>44200</v>
      </c>
      <c r="T61" s="48">
        <f t="shared" si="8"/>
        <v>10000</v>
      </c>
      <c r="U61" s="39">
        <v>0</v>
      </c>
      <c r="V61" s="39">
        <v>0</v>
      </c>
      <c r="W61" s="39">
        <v>0</v>
      </c>
      <c r="X61" s="39">
        <v>0</v>
      </c>
      <c r="Y61" s="39">
        <v>0</v>
      </c>
      <c r="Z61" s="39">
        <v>0</v>
      </c>
      <c r="AA61" s="39">
        <v>0</v>
      </c>
      <c r="AB61" s="39">
        <v>0</v>
      </c>
      <c r="AC61" s="39">
        <v>0</v>
      </c>
      <c r="AD61" s="39">
        <v>0</v>
      </c>
      <c r="AE61" s="39">
        <v>5000</v>
      </c>
      <c r="AF61" s="39">
        <v>5000</v>
      </c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0" t="s">
        <v>105</v>
      </c>
      <c r="AU61" s="30" t="s">
        <v>688</v>
      </c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63">
        <f t="shared" si="20"/>
        <v>0</v>
      </c>
      <c r="BM61" s="63">
        <f t="shared" si="10"/>
        <v>0</v>
      </c>
      <c r="BN61" s="63">
        <f t="shared" si="11"/>
        <v>0</v>
      </c>
      <c r="BO61" s="63">
        <f t="shared" si="12"/>
        <v>0</v>
      </c>
      <c r="BP61" s="63">
        <f t="shared" si="13"/>
        <v>0</v>
      </c>
      <c r="BQ61" s="63">
        <f t="shared" si="14"/>
        <v>0</v>
      </c>
      <c r="BR61" s="63">
        <f t="shared" si="15"/>
        <v>22100</v>
      </c>
      <c r="BS61" s="63">
        <f t="shared" si="16"/>
        <v>22100</v>
      </c>
    </row>
    <row r="62" spans="1:71">
      <c r="A62" s="28">
        <f t="shared" si="6"/>
        <v>61</v>
      </c>
      <c r="B62" s="32" t="s">
        <v>690</v>
      </c>
      <c r="C62" s="32" t="s">
        <v>527</v>
      </c>
      <c r="D62" s="32" t="s">
        <v>691</v>
      </c>
      <c r="E62" s="32" t="s">
        <v>530</v>
      </c>
      <c r="F62" s="32" t="s">
        <v>692</v>
      </c>
      <c r="G62" s="32" t="s">
        <v>423</v>
      </c>
      <c r="H62" s="35" t="s">
        <v>425</v>
      </c>
      <c r="I62" s="32"/>
      <c r="J62" s="32"/>
      <c r="K62" s="32" t="s">
        <v>689</v>
      </c>
      <c r="L62" s="32">
        <v>1000000</v>
      </c>
      <c r="M62" s="32" t="s">
        <v>103</v>
      </c>
      <c r="N62" s="32"/>
      <c r="O62" s="32"/>
      <c r="P62" s="32"/>
      <c r="Q62" s="50">
        <v>0.7</v>
      </c>
      <c r="R62" s="47">
        <f t="shared" si="7"/>
        <v>49000</v>
      </c>
      <c r="S62" s="48">
        <v>56000</v>
      </c>
      <c r="T62" s="48">
        <f t="shared" si="8"/>
        <v>70000</v>
      </c>
      <c r="U62" s="39">
        <v>10000</v>
      </c>
      <c r="V62" s="39">
        <v>10000</v>
      </c>
      <c r="W62" s="39">
        <v>10000</v>
      </c>
      <c r="X62" s="39">
        <v>10000</v>
      </c>
      <c r="Y62" s="39">
        <v>10000</v>
      </c>
      <c r="Z62" s="39">
        <v>10000</v>
      </c>
      <c r="AA62" s="39">
        <v>10000</v>
      </c>
      <c r="AB62" s="39">
        <v>10000</v>
      </c>
      <c r="AC62" s="39">
        <v>10000</v>
      </c>
      <c r="AD62" s="39">
        <v>10000</v>
      </c>
      <c r="AE62" s="39">
        <v>10000</v>
      </c>
      <c r="AF62" s="39">
        <v>10000</v>
      </c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0" t="s">
        <v>105</v>
      </c>
      <c r="AU62" s="30" t="s">
        <v>688</v>
      </c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63">
        <f t="shared" si="20"/>
        <v>7000</v>
      </c>
      <c r="BM62" s="63">
        <f t="shared" si="10"/>
        <v>7000</v>
      </c>
      <c r="BN62" s="63">
        <f t="shared" si="11"/>
        <v>7000</v>
      </c>
      <c r="BO62" s="63">
        <f t="shared" si="12"/>
        <v>7000</v>
      </c>
      <c r="BP62" s="63">
        <f t="shared" si="13"/>
        <v>7000</v>
      </c>
      <c r="BQ62" s="63">
        <f t="shared" si="14"/>
        <v>7000</v>
      </c>
      <c r="BR62" s="63">
        <f t="shared" si="15"/>
        <v>7000</v>
      </c>
      <c r="BS62" s="63">
        <f t="shared" si="16"/>
        <v>7000</v>
      </c>
    </row>
    <row r="63" spans="1:71">
      <c r="A63" s="28">
        <f t="shared" si="6"/>
        <v>62</v>
      </c>
      <c r="B63" s="32" t="s">
        <v>690</v>
      </c>
      <c r="C63" s="32" t="s">
        <v>527</v>
      </c>
      <c r="D63" s="32" t="s">
        <v>691</v>
      </c>
      <c r="E63" s="32" t="s">
        <v>530</v>
      </c>
      <c r="F63" s="32" t="s">
        <v>692</v>
      </c>
      <c r="G63" s="32" t="s">
        <v>433</v>
      </c>
      <c r="H63" s="35" t="s">
        <v>434</v>
      </c>
      <c r="I63" s="32"/>
      <c r="J63" s="32"/>
      <c r="K63" s="32" t="s">
        <v>687</v>
      </c>
      <c r="L63" s="32">
        <v>1000000</v>
      </c>
      <c r="M63" s="32" t="s">
        <v>103</v>
      </c>
      <c r="N63" s="32"/>
      <c r="O63" s="32"/>
      <c r="P63" s="32"/>
      <c r="Q63" s="50">
        <v>1.27</v>
      </c>
      <c r="R63" s="47">
        <f t="shared" si="7"/>
        <v>88900</v>
      </c>
      <c r="S63" s="48">
        <v>101600</v>
      </c>
      <c r="T63" s="48">
        <f t="shared" si="8"/>
        <v>70000</v>
      </c>
      <c r="U63" s="39">
        <v>10000</v>
      </c>
      <c r="V63" s="39">
        <v>10000</v>
      </c>
      <c r="W63" s="39">
        <v>10000</v>
      </c>
      <c r="X63" s="39">
        <v>10000</v>
      </c>
      <c r="Y63" s="39">
        <v>10000</v>
      </c>
      <c r="Z63" s="39">
        <v>10000</v>
      </c>
      <c r="AA63" s="39">
        <v>10000</v>
      </c>
      <c r="AB63" s="39">
        <v>10000</v>
      </c>
      <c r="AC63" s="39">
        <v>10000</v>
      </c>
      <c r="AD63" s="39">
        <v>10000</v>
      </c>
      <c r="AE63" s="39">
        <v>10000</v>
      </c>
      <c r="AF63" s="39">
        <v>10000</v>
      </c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0" t="s">
        <v>105</v>
      </c>
      <c r="AU63" s="30" t="s">
        <v>688</v>
      </c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63">
        <f t="shared" si="20"/>
        <v>12700</v>
      </c>
      <c r="BM63" s="63">
        <f t="shared" si="10"/>
        <v>12700</v>
      </c>
      <c r="BN63" s="63">
        <f t="shared" si="11"/>
        <v>12700</v>
      </c>
      <c r="BO63" s="63">
        <f t="shared" si="12"/>
        <v>12700</v>
      </c>
      <c r="BP63" s="63">
        <f t="shared" si="13"/>
        <v>12700</v>
      </c>
      <c r="BQ63" s="63">
        <f t="shared" si="14"/>
        <v>12700</v>
      </c>
      <c r="BR63" s="63">
        <f t="shared" si="15"/>
        <v>12700</v>
      </c>
      <c r="BS63" s="63">
        <f t="shared" si="16"/>
        <v>12700</v>
      </c>
    </row>
    <row r="64" spans="1:71">
      <c r="A64" s="28">
        <f t="shared" si="6"/>
        <v>63</v>
      </c>
      <c r="B64" s="32" t="s">
        <v>690</v>
      </c>
      <c r="C64" s="32" t="s">
        <v>527</v>
      </c>
      <c r="D64" s="32" t="s">
        <v>691</v>
      </c>
      <c r="E64" s="32" t="s">
        <v>530</v>
      </c>
      <c r="F64" s="32" t="s">
        <v>692</v>
      </c>
      <c r="G64" s="32" t="s">
        <v>459</v>
      </c>
      <c r="H64" s="35"/>
      <c r="I64" s="32"/>
      <c r="J64" s="32"/>
      <c r="K64" s="32" t="s">
        <v>689</v>
      </c>
      <c r="L64" s="32">
        <v>1000000</v>
      </c>
      <c r="M64" s="32" t="s">
        <v>114</v>
      </c>
      <c r="N64" s="32"/>
      <c r="O64" s="32"/>
      <c r="P64" s="32"/>
      <c r="Q64" s="50">
        <v>6.5</v>
      </c>
      <c r="R64" s="47">
        <f t="shared" si="7"/>
        <v>162500</v>
      </c>
      <c r="S64" s="48">
        <v>162500</v>
      </c>
      <c r="T64" s="48">
        <f t="shared" si="8"/>
        <v>25000</v>
      </c>
      <c r="U64" s="39"/>
      <c r="V64" s="39">
        <v>3000</v>
      </c>
      <c r="W64" s="39"/>
      <c r="X64" s="39"/>
      <c r="Y64" s="39"/>
      <c r="Z64" s="39"/>
      <c r="AA64" s="39">
        <v>3000</v>
      </c>
      <c r="AB64" s="39">
        <v>6000</v>
      </c>
      <c r="AC64" s="39"/>
      <c r="AD64" s="39"/>
      <c r="AE64" s="39">
        <v>6000</v>
      </c>
      <c r="AF64" s="39">
        <v>10000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0" t="s">
        <v>105</v>
      </c>
      <c r="AU64" s="30" t="s">
        <v>688</v>
      </c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63">
        <f t="shared" si="20"/>
        <v>0</v>
      </c>
      <c r="BM64" s="63">
        <f t="shared" si="10"/>
        <v>0</v>
      </c>
      <c r="BN64" s="63">
        <f t="shared" si="11"/>
        <v>19500</v>
      </c>
      <c r="BO64" s="63">
        <f t="shared" si="12"/>
        <v>39000</v>
      </c>
      <c r="BP64" s="63">
        <f t="shared" si="13"/>
        <v>0</v>
      </c>
      <c r="BQ64" s="63">
        <f t="shared" si="14"/>
        <v>0</v>
      </c>
      <c r="BR64" s="63">
        <f t="shared" si="15"/>
        <v>39000</v>
      </c>
      <c r="BS64" s="63">
        <f t="shared" si="16"/>
        <v>65000</v>
      </c>
    </row>
    <row r="65" spans="1:71">
      <c r="A65" s="28">
        <f t="shared" si="6"/>
        <v>64</v>
      </c>
      <c r="B65" s="32" t="s">
        <v>693</v>
      </c>
      <c r="C65" s="32" t="s">
        <v>92</v>
      </c>
      <c r="D65" s="32" t="s">
        <v>691</v>
      </c>
      <c r="E65" s="32" t="s">
        <v>530</v>
      </c>
      <c r="F65" s="32" t="s">
        <v>692</v>
      </c>
      <c r="G65" s="32" t="s">
        <v>460</v>
      </c>
      <c r="H65" s="35" t="s">
        <v>461</v>
      </c>
      <c r="I65" s="32"/>
      <c r="J65" s="32"/>
      <c r="K65" s="32" t="s">
        <v>689</v>
      </c>
      <c r="L65" s="32">
        <v>1000000</v>
      </c>
      <c r="M65" s="32"/>
      <c r="N65" s="32"/>
      <c r="O65" s="32"/>
      <c r="P65" s="32"/>
      <c r="Q65" s="50">
        <v>6.05</v>
      </c>
      <c r="R65" s="47">
        <f t="shared" si="7"/>
        <v>121000</v>
      </c>
      <c r="S65" s="48">
        <v>133100</v>
      </c>
      <c r="T65" s="48">
        <f t="shared" si="8"/>
        <v>20000</v>
      </c>
      <c r="U65" s="39">
        <v>2000</v>
      </c>
      <c r="V65" s="39">
        <v>2000</v>
      </c>
      <c r="W65" s="39">
        <v>2000</v>
      </c>
      <c r="X65" s="39">
        <v>2000</v>
      </c>
      <c r="Y65" s="39">
        <v>2000</v>
      </c>
      <c r="Z65" s="39">
        <v>2000</v>
      </c>
      <c r="AA65" s="39">
        <v>2000</v>
      </c>
      <c r="AB65" s="39">
        <v>2000</v>
      </c>
      <c r="AC65" s="39">
        <v>2000</v>
      </c>
      <c r="AD65" s="39">
        <v>2000</v>
      </c>
      <c r="AE65" s="39">
        <v>5000</v>
      </c>
      <c r="AF65" s="39">
        <v>5000</v>
      </c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0" t="s">
        <v>105</v>
      </c>
      <c r="AU65" s="30" t="s">
        <v>688</v>
      </c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63">
        <f t="shared" si="20"/>
        <v>12100</v>
      </c>
      <c r="BM65" s="63">
        <f t="shared" si="10"/>
        <v>12100</v>
      </c>
      <c r="BN65" s="63">
        <f t="shared" si="11"/>
        <v>12100</v>
      </c>
      <c r="BO65" s="63">
        <f t="shared" si="12"/>
        <v>12100</v>
      </c>
      <c r="BP65" s="63">
        <f t="shared" si="13"/>
        <v>12100</v>
      </c>
      <c r="BQ65" s="63">
        <f t="shared" si="14"/>
        <v>12100</v>
      </c>
      <c r="BR65" s="63">
        <f t="shared" si="15"/>
        <v>30250</v>
      </c>
      <c r="BS65" s="63">
        <f t="shared" si="16"/>
        <v>30250</v>
      </c>
    </row>
    <row r="66" spans="1:71">
      <c r="A66" s="28">
        <f t="shared" si="6"/>
        <v>65</v>
      </c>
      <c r="B66" s="32" t="s">
        <v>693</v>
      </c>
      <c r="C66" s="32" t="s">
        <v>92</v>
      </c>
      <c r="D66" s="32" t="s">
        <v>691</v>
      </c>
      <c r="E66" s="32" t="s">
        <v>530</v>
      </c>
      <c r="F66" s="32" t="s">
        <v>692</v>
      </c>
      <c r="G66" s="32" t="s">
        <v>465</v>
      </c>
      <c r="H66" s="35" t="s">
        <v>466</v>
      </c>
      <c r="I66" s="32"/>
      <c r="J66" s="32"/>
      <c r="K66" s="32" t="s">
        <v>687</v>
      </c>
      <c r="L66" s="32">
        <v>1000000</v>
      </c>
      <c r="M66" s="32" t="s">
        <v>103</v>
      </c>
      <c r="N66" s="32"/>
      <c r="O66" s="32"/>
      <c r="P66" s="32"/>
      <c r="Q66" s="50">
        <v>6.05</v>
      </c>
      <c r="R66" s="47">
        <f t="shared" si="7"/>
        <v>435600</v>
      </c>
      <c r="S66" s="48">
        <v>496100</v>
      </c>
      <c r="T66" s="48">
        <f t="shared" si="8"/>
        <v>72000</v>
      </c>
      <c r="U66" s="39">
        <v>8000</v>
      </c>
      <c r="V66" s="39">
        <v>8000</v>
      </c>
      <c r="W66" s="39">
        <v>8000</v>
      </c>
      <c r="X66" s="39">
        <v>10000</v>
      </c>
      <c r="Y66" s="39">
        <v>10000</v>
      </c>
      <c r="Z66" s="39">
        <v>10000</v>
      </c>
      <c r="AA66" s="39">
        <v>10000</v>
      </c>
      <c r="AB66" s="39">
        <v>10000</v>
      </c>
      <c r="AC66" s="39">
        <v>10000</v>
      </c>
      <c r="AD66" s="39">
        <v>10000</v>
      </c>
      <c r="AE66" s="39">
        <v>10000</v>
      </c>
      <c r="AF66" s="39">
        <v>12000</v>
      </c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0" t="s">
        <v>105</v>
      </c>
      <c r="AU66" s="30" t="s">
        <v>688</v>
      </c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63">
        <f t="shared" si="20"/>
        <v>60500</v>
      </c>
      <c r="BM66" s="63">
        <f t="shared" si="10"/>
        <v>60500</v>
      </c>
      <c r="BN66" s="63">
        <f t="shared" si="11"/>
        <v>60500</v>
      </c>
      <c r="BO66" s="63">
        <f t="shared" si="12"/>
        <v>60500</v>
      </c>
      <c r="BP66" s="63">
        <f t="shared" si="13"/>
        <v>60500</v>
      </c>
      <c r="BQ66" s="63">
        <f t="shared" si="14"/>
        <v>60500</v>
      </c>
      <c r="BR66" s="63">
        <f t="shared" si="15"/>
        <v>60500</v>
      </c>
      <c r="BS66" s="63">
        <f t="shared" si="16"/>
        <v>72600</v>
      </c>
    </row>
    <row r="67" spans="1:71">
      <c r="A67" s="28">
        <f t="shared" ref="A67:A130" si="21">ROW()-1</f>
        <v>66</v>
      </c>
      <c r="B67" s="32" t="s">
        <v>694</v>
      </c>
      <c r="C67" s="32" t="s">
        <v>72</v>
      </c>
      <c r="D67" s="32" t="s">
        <v>575</v>
      </c>
      <c r="E67" s="32" t="s">
        <v>530</v>
      </c>
      <c r="F67" s="32" t="s">
        <v>695</v>
      </c>
      <c r="G67" s="32" t="s">
        <v>285</v>
      </c>
      <c r="H67" s="35" t="s">
        <v>286</v>
      </c>
      <c r="I67" s="32"/>
      <c r="J67" s="32"/>
      <c r="K67" s="32" t="s">
        <v>696</v>
      </c>
      <c r="L67" s="32">
        <v>500000</v>
      </c>
      <c r="M67" s="32" t="s">
        <v>560</v>
      </c>
      <c r="N67" s="32"/>
      <c r="O67" s="32"/>
      <c r="P67" s="32"/>
      <c r="Q67" s="50">
        <v>0.4</v>
      </c>
      <c r="R67" s="47">
        <f t="shared" ref="R67:R130" si="22">Q67*T67</f>
        <v>15600</v>
      </c>
      <c r="S67" s="48">
        <v>15600</v>
      </c>
      <c r="T67" s="48">
        <f t="shared" ref="T67:T130" si="23">SUM(Z67:AF67)</f>
        <v>39000</v>
      </c>
      <c r="U67" s="39">
        <v>0</v>
      </c>
      <c r="V67" s="39">
        <v>0</v>
      </c>
      <c r="W67" s="39">
        <v>0</v>
      </c>
      <c r="X67" s="39">
        <v>0</v>
      </c>
      <c r="Y67" s="39">
        <v>10000</v>
      </c>
      <c r="Z67" s="39">
        <v>0</v>
      </c>
      <c r="AA67" s="39">
        <v>3000</v>
      </c>
      <c r="AB67" s="39">
        <v>3000</v>
      </c>
      <c r="AC67" s="39">
        <v>5000</v>
      </c>
      <c r="AD67" s="39">
        <v>8000</v>
      </c>
      <c r="AE67" s="39">
        <v>10000</v>
      </c>
      <c r="AF67" s="39">
        <v>10000</v>
      </c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0" t="s">
        <v>105</v>
      </c>
      <c r="AU67" s="30" t="s">
        <v>81</v>
      </c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63">
        <f t="shared" si="20"/>
        <v>4000</v>
      </c>
      <c r="BM67" s="63">
        <f t="shared" ref="BM67:BM130" si="24">$Q67*Z67</f>
        <v>0</v>
      </c>
      <c r="BN67" s="63">
        <f t="shared" ref="BN67:BN130" si="25">$Q67*AA67</f>
        <v>1200</v>
      </c>
      <c r="BO67" s="63">
        <f t="shared" ref="BO67:BO130" si="26">$Q67*AB67</f>
        <v>1200</v>
      </c>
      <c r="BP67" s="63">
        <f t="shared" ref="BP67:BP130" si="27">$Q67*AC67</f>
        <v>2000</v>
      </c>
      <c r="BQ67" s="63">
        <f t="shared" ref="BQ67:BQ130" si="28">$Q67*AD67</f>
        <v>3200</v>
      </c>
      <c r="BR67" s="63">
        <f t="shared" ref="BR67:BR130" si="29">$Q67*AE67</f>
        <v>4000</v>
      </c>
      <c r="BS67" s="63">
        <f t="shared" ref="BS67:BS130" si="30">$Q67*AF67</f>
        <v>4000</v>
      </c>
    </row>
    <row r="68" spans="1:71">
      <c r="A68" s="28">
        <f t="shared" si="21"/>
        <v>67</v>
      </c>
      <c r="B68" s="32" t="s">
        <v>694</v>
      </c>
      <c r="C68" s="32" t="s">
        <v>72</v>
      </c>
      <c r="D68" s="32" t="s">
        <v>575</v>
      </c>
      <c r="E68" s="32" t="s">
        <v>530</v>
      </c>
      <c r="F68" s="32" t="s">
        <v>695</v>
      </c>
      <c r="G68" s="32" t="s">
        <v>231</v>
      </c>
      <c r="H68" s="35" t="s">
        <v>232</v>
      </c>
      <c r="I68" s="32"/>
      <c r="J68" s="32"/>
      <c r="K68" s="32" t="s">
        <v>697</v>
      </c>
      <c r="L68" s="32">
        <v>500000</v>
      </c>
      <c r="M68" s="32" t="s">
        <v>103</v>
      </c>
      <c r="N68" s="32"/>
      <c r="O68" s="32"/>
      <c r="P68" s="32"/>
      <c r="Q68" s="50">
        <v>0.4</v>
      </c>
      <c r="R68" s="47">
        <f t="shared" si="22"/>
        <v>15200</v>
      </c>
      <c r="S68" s="48">
        <v>96000</v>
      </c>
      <c r="T68" s="48">
        <f t="shared" si="23"/>
        <v>38000</v>
      </c>
      <c r="U68" s="39">
        <v>15000</v>
      </c>
      <c r="V68" s="39">
        <v>15000</v>
      </c>
      <c r="W68" s="39">
        <v>15000</v>
      </c>
      <c r="X68" s="39">
        <v>30000</v>
      </c>
      <c r="Y68" s="39">
        <v>30000</v>
      </c>
      <c r="Z68" s="39">
        <v>6000</v>
      </c>
      <c r="AA68" s="39">
        <v>12000</v>
      </c>
      <c r="AB68" s="39"/>
      <c r="AC68" s="39">
        <v>0</v>
      </c>
      <c r="AD68" s="39">
        <v>0</v>
      </c>
      <c r="AE68" s="39">
        <v>0</v>
      </c>
      <c r="AF68" s="39">
        <v>20000</v>
      </c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0" t="s">
        <v>105</v>
      </c>
      <c r="AU68" s="30" t="s">
        <v>81</v>
      </c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63">
        <f t="shared" si="20"/>
        <v>12000</v>
      </c>
      <c r="BM68" s="63">
        <f t="shared" si="24"/>
        <v>2400</v>
      </c>
      <c r="BN68" s="63">
        <f t="shared" si="25"/>
        <v>4800</v>
      </c>
      <c r="BO68" s="63">
        <f t="shared" si="26"/>
        <v>0</v>
      </c>
      <c r="BP68" s="63">
        <f t="shared" si="27"/>
        <v>0</v>
      </c>
      <c r="BQ68" s="63">
        <f t="shared" si="28"/>
        <v>0</v>
      </c>
      <c r="BR68" s="63">
        <f t="shared" si="29"/>
        <v>0</v>
      </c>
      <c r="BS68" s="63">
        <f t="shared" si="30"/>
        <v>8000</v>
      </c>
    </row>
    <row r="69" spans="1:71">
      <c r="A69" s="28">
        <f t="shared" si="21"/>
        <v>68</v>
      </c>
      <c r="B69" s="32" t="s">
        <v>698</v>
      </c>
      <c r="C69" s="32" t="s">
        <v>92</v>
      </c>
      <c r="D69" s="32" t="s">
        <v>575</v>
      </c>
      <c r="E69" s="32" t="s">
        <v>530</v>
      </c>
      <c r="F69" s="32" t="s">
        <v>576</v>
      </c>
      <c r="G69" s="32" t="s">
        <v>167</v>
      </c>
      <c r="H69" s="35" t="s">
        <v>168</v>
      </c>
      <c r="I69" s="32"/>
      <c r="J69" s="32"/>
      <c r="K69" s="32" t="s">
        <v>699</v>
      </c>
      <c r="L69" s="32">
        <v>2000000</v>
      </c>
      <c r="M69" s="32" t="s">
        <v>114</v>
      </c>
      <c r="N69" s="32"/>
      <c r="O69" s="32"/>
      <c r="P69" s="32"/>
      <c r="Q69" s="50">
        <v>0.4</v>
      </c>
      <c r="R69" s="47">
        <f t="shared" si="22"/>
        <v>42000</v>
      </c>
      <c r="S69" s="48">
        <v>48000</v>
      </c>
      <c r="T69" s="48">
        <f t="shared" si="23"/>
        <v>105000</v>
      </c>
      <c r="U69" s="39">
        <v>0</v>
      </c>
      <c r="V69" s="39">
        <v>3000</v>
      </c>
      <c r="W69" s="39">
        <v>15000</v>
      </c>
      <c r="X69" s="39"/>
      <c r="Y69" s="39">
        <v>15000</v>
      </c>
      <c r="Z69" s="39">
        <v>15000</v>
      </c>
      <c r="AA69" s="39">
        <v>15000</v>
      </c>
      <c r="AB69" s="39">
        <v>15000</v>
      </c>
      <c r="AC69" s="39">
        <v>15000</v>
      </c>
      <c r="AD69" s="39">
        <v>15000</v>
      </c>
      <c r="AE69" s="39">
        <v>15000</v>
      </c>
      <c r="AF69" s="39">
        <v>15000</v>
      </c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0" t="s">
        <v>105</v>
      </c>
      <c r="AU69" s="30" t="s">
        <v>81</v>
      </c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63">
        <f t="shared" si="20"/>
        <v>6000</v>
      </c>
      <c r="BM69" s="63">
        <f t="shared" si="24"/>
        <v>6000</v>
      </c>
      <c r="BN69" s="63">
        <f t="shared" si="25"/>
        <v>6000</v>
      </c>
      <c r="BO69" s="63">
        <f t="shared" si="26"/>
        <v>6000</v>
      </c>
      <c r="BP69" s="63">
        <f t="shared" si="27"/>
        <v>6000</v>
      </c>
      <c r="BQ69" s="63">
        <f t="shared" si="28"/>
        <v>6000</v>
      </c>
      <c r="BR69" s="63">
        <f t="shared" si="29"/>
        <v>6000</v>
      </c>
      <c r="BS69" s="63">
        <f t="shared" si="30"/>
        <v>6000</v>
      </c>
    </row>
    <row r="70" spans="1:71">
      <c r="A70" s="28">
        <f t="shared" si="21"/>
        <v>69</v>
      </c>
      <c r="B70" s="32" t="s">
        <v>698</v>
      </c>
      <c r="C70" s="32" t="s">
        <v>92</v>
      </c>
      <c r="D70" s="32" t="s">
        <v>575</v>
      </c>
      <c r="E70" s="32" t="s">
        <v>530</v>
      </c>
      <c r="F70" s="32" t="s">
        <v>576</v>
      </c>
      <c r="G70" s="32" t="s">
        <v>242</v>
      </c>
      <c r="H70" s="35" t="s">
        <v>241</v>
      </c>
      <c r="I70" s="32"/>
      <c r="J70" s="32"/>
      <c r="K70" s="32" t="s">
        <v>699</v>
      </c>
      <c r="L70" s="32">
        <v>2000000</v>
      </c>
      <c r="M70" s="32" t="s">
        <v>114</v>
      </c>
      <c r="N70" s="32"/>
      <c r="O70" s="32"/>
      <c r="P70" s="32"/>
      <c r="Q70" s="50">
        <v>0.4</v>
      </c>
      <c r="R70" s="47">
        <f t="shared" si="22"/>
        <v>18000</v>
      </c>
      <c r="S70" s="48">
        <v>22800</v>
      </c>
      <c r="T70" s="48">
        <f t="shared" si="23"/>
        <v>45000</v>
      </c>
      <c r="U70" s="39">
        <v>3000</v>
      </c>
      <c r="V70" s="39">
        <v>0</v>
      </c>
      <c r="W70" s="39">
        <v>15000</v>
      </c>
      <c r="X70" s="39"/>
      <c r="Y70" s="39">
        <v>12000</v>
      </c>
      <c r="Z70" s="39"/>
      <c r="AA70" s="39">
        <v>12000</v>
      </c>
      <c r="AB70" s="39"/>
      <c r="AC70" s="39">
        <v>12000</v>
      </c>
      <c r="AD70" s="39">
        <v>6000</v>
      </c>
      <c r="AE70" s="39">
        <v>15000</v>
      </c>
      <c r="AF70" s="39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0" t="s">
        <v>105</v>
      </c>
      <c r="AU70" s="30" t="s">
        <v>81</v>
      </c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63">
        <f t="shared" si="20"/>
        <v>4800</v>
      </c>
      <c r="BM70" s="63">
        <f t="shared" si="24"/>
        <v>0</v>
      </c>
      <c r="BN70" s="63">
        <f t="shared" si="25"/>
        <v>4800</v>
      </c>
      <c r="BO70" s="63">
        <f t="shared" si="26"/>
        <v>0</v>
      </c>
      <c r="BP70" s="63">
        <f t="shared" si="27"/>
        <v>4800</v>
      </c>
      <c r="BQ70" s="63">
        <f t="shared" si="28"/>
        <v>2400</v>
      </c>
      <c r="BR70" s="63">
        <f t="shared" si="29"/>
        <v>6000</v>
      </c>
      <c r="BS70" s="63">
        <f t="shared" si="30"/>
        <v>0</v>
      </c>
    </row>
    <row r="71" spans="1:71">
      <c r="A71" s="28">
        <f t="shared" si="21"/>
        <v>70</v>
      </c>
      <c r="B71" s="32" t="s">
        <v>700</v>
      </c>
      <c r="C71" s="32" t="s">
        <v>72</v>
      </c>
      <c r="D71" s="32" t="s">
        <v>701</v>
      </c>
      <c r="E71" s="32" t="s">
        <v>702</v>
      </c>
      <c r="F71" s="32" t="s">
        <v>576</v>
      </c>
      <c r="G71" s="30" t="s">
        <v>415</v>
      </c>
      <c r="H71" s="35" t="s">
        <v>416</v>
      </c>
      <c r="I71" s="30"/>
      <c r="J71" s="30"/>
      <c r="K71" s="32" t="s">
        <v>703</v>
      </c>
      <c r="L71" s="32"/>
      <c r="M71" s="32" t="s">
        <v>704</v>
      </c>
      <c r="N71" s="32"/>
      <c r="O71" s="32"/>
      <c r="P71" s="32"/>
      <c r="Q71" s="50">
        <v>3.6</v>
      </c>
      <c r="R71" s="47">
        <f t="shared" si="22"/>
        <v>302400</v>
      </c>
      <c r="S71" s="48">
        <v>324000</v>
      </c>
      <c r="T71" s="48">
        <f t="shared" si="23"/>
        <v>84000</v>
      </c>
      <c r="U71" s="32"/>
      <c r="V71" s="32"/>
      <c r="W71" s="32"/>
      <c r="X71" s="39">
        <v>3000</v>
      </c>
      <c r="Y71" s="39">
        <v>6000</v>
      </c>
      <c r="Z71" s="39">
        <v>6000</v>
      </c>
      <c r="AA71" s="39">
        <v>6000</v>
      </c>
      <c r="AB71" s="39">
        <v>12000</v>
      </c>
      <c r="AC71" s="39">
        <v>12000</v>
      </c>
      <c r="AD71" s="39">
        <v>12000</v>
      </c>
      <c r="AE71" s="39">
        <v>18000</v>
      </c>
      <c r="AF71" s="39">
        <v>18000</v>
      </c>
      <c r="AG71" s="32"/>
      <c r="AH71" s="32"/>
      <c r="AI71" s="32"/>
      <c r="AJ71" s="32"/>
      <c r="AK71" s="32"/>
      <c r="AL71" s="32"/>
      <c r="AM71" s="32"/>
      <c r="AN71" s="32"/>
      <c r="AO71" s="32"/>
      <c r="AP71" s="32">
        <v>1</v>
      </c>
      <c r="AQ71" s="32"/>
      <c r="AR71" s="32"/>
      <c r="AS71" s="32" t="s">
        <v>705</v>
      </c>
      <c r="AT71" s="30" t="s">
        <v>105</v>
      </c>
      <c r="AU71" s="30" t="s">
        <v>545</v>
      </c>
      <c r="AV71" s="32" t="s">
        <v>117</v>
      </c>
      <c r="AW71" s="32" t="s">
        <v>706</v>
      </c>
      <c r="AX71" s="32" t="s">
        <v>707</v>
      </c>
      <c r="AY71" s="32" t="s">
        <v>708</v>
      </c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63">
        <f t="shared" si="20"/>
        <v>21600</v>
      </c>
      <c r="BM71" s="63">
        <f t="shared" si="24"/>
        <v>21600</v>
      </c>
      <c r="BN71" s="63">
        <f t="shared" si="25"/>
        <v>21600</v>
      </c>
      <c r="BO71" s="63">
        <f t="shared" si="26"/>
        <v>43200</v>
      </c>
      <c r="BP71" s="63">
        <f t="shared" si="27"/>
        <v>43200</v>
      </c>
      <c r="BQ71" s="63">
        <f t="shared" si="28"/>
        <v>43200</v>
      </c>
      <c r="BR71" s="63">
        <f t="shared" si="29"/>
        <v>64800</v>
      </c>
      <c r="BS71" s="63">
        <f t="shared" si="30"/>
        <v>64800</v>
      </c>
    </row>
    <row r="72" spans="1:71">
      <c r="A72" s="28">
        <f t="shared" si="21"/>
        <v>71</v>
      </c>
      <c r="B72" s="32" t="s">
        <v>709</v>
      </c>
      <c r="C72" s="32" t="s">
        <v>72</v>
      </c>
      <c r="D72" s="32" t="s">
        <v>575</v>
      </c>
      <c r="E72" s="32" t="s">
        <v>530</v>
      </c>
      <c r="F72" s="32" t="s">
        <v>576</v>
      </c>
      <c r="G72" s="32" t="s">
        <v>411</v>
      </c>
      <c r="H72" s="35" t="s">
        <v>412</v>
      </c>
      <c r="I72" s="32"/>
      <c r="J72" s="32"/>
      <c r="K72" s="32" t="s">
        <v>710</v>
      </c>
      <c r="L72" s="32">
        <v>100000</v>
      </c>
      <c r="M72" s="32" t="s">
        <v>103</v>
      </c>
      <c r="N72" s="32"/>
      <c r="O72" s="32"/>
      <c r="P72" s="32"/>
      <c r="Q72" s="50">
        <v>7</v>
      </c>
      <c r="R72" s="47">
        <f t="shared" si="22"/>
        <v>84000</v>
      </c>
      <c r="S72" s="48">
        <v>84000</v>
      </c>
      <c r="T72" s="48">
        <f t="shared" si="23"/>
        <v>12000</v>
      </c>
      <c r="U72" s="39">
        <v>0</v>
      </c>
      <c r="V72" s="39">
        <v>0</v>
      </c>
      <c r="W72" s="39">
        <v>0</v>
      </c>
      <c r="X72" s="39">
        <v>3000</v>
      </c>
      <c r="Y72" s="39">
        <v>0</v>
      </c>
      <c r="Z72" s="39">
        <v>0</v>
      </c>
      <c r="AA72" s="39">
        <v>3000</v>
      </c>
      <c r="AB72" s="39">
        <v>3000</v>
      </c>
      <c r="AC72" s="39">
        <v>0</v>
      </c>
      <c r="AD72" s="39">
        <v>3000</v>
      </c>
      <c r="AE72" s="39">
        <v>0</v>
      </c>
      <c r="AF72" s="39">
        <v>3000</v>
      </c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0" t="s">
        <v>105</v>
      </c>
      <c r="AU72" s="30" t="s">
        <v>545</v>
      </c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63">
        <f t="shared" si="20"/>
        <v>0</v>
      </c>
      <c r="BM72" s="63">
        <f t="shared" si="24"/>
        <v>0</v>
      </c>
      <c r="BN72" s="63">
        <f t="shared" si="25"/>
        <v>21000</v>
      </c>
      <c r="BO72" s="63">
        <f t="shared" si="26"/>
        <v>21000</v>
      </c>
      <c r="BP72" s="63">
        <f t="shared" si="27"/>
        <v>0</v>
      </c>
      <c r="BQ72" s="63">
        <f t="shared" si="28"/>
        <v>21000</v>
      </c>
      <c r="BR72" s="63">
        <f t="shared" si="29"/>
        <v>0</v>
      </c>
      <c r="BS72" s="63">
        <f t="shared" si="30"/>
        <v>21000</v>
      </c>
    </row>
    <row r="73" spans="1:71">
      <c r="A73" s="28">
        <f t="shared" si="21"/>
        <v>72</v>
      </c>
      <c r="B73" s="32" t="s">
        <v>711</v>
      </c>
      <c r="C73" s="32" t="s">
        <v>72</v>
      </c>
      <c r="D73" s="32" t="s">
        <v>575</v>
      </c>
      <c r="E73" s="32" t="s">
        <v>530</v>
      </c>
      <c r="F73" s="32" t="s">
        <v>576</v>
      </c>
      <c r="G73" s="32" t="s">
        <v>167</v>
      </c>
      <c r="H73" s="35" t="s">
        <v>168</v>
      </c>
      <c r="I73" s="32"/>
      <c r="J73" s="32"/>
      <c r="K73" s="32" t="s">
        <v>699</v>
      </c>
      <c r="L73" s="32">
        <v>288000</v>
      </c>
      <c r="M73" s="32" t="s">
        <v>103</v>
      </c>
      <c r="N73" s="32"/>
      <c r="O73" s="32"/>
      <c r="P73" s="32"/>
      <c r="Q73" s="50">
        <v>0.4</v>
      </c>
      <c r="R73" s="47">
        <f t="shared" si="22"/>
        <v>72000</v>
      </c>
      <c r="S73" s="48">
        <v>84000</v>
      </c>
      <c r="T73" s="48">
        <f t="shared" si="23"/>
        <v>180000</v>
      </c>
      <c r="U73" s="39">
        <v>15000</v>
      </c>
      <c r="V73" s="39">
        <v>15000</v>
      </c>
      <c r="W73" s="39">
        <v>15000</v>
      </c>
      <c r="X73" s="39"/>
      <c r="Y73" s="39">
        <v>30000</v>
      </c>
      <c r="Z73" s="39"/>
      <c r="AA73" s="39">
        <v>90000</v>
      </c>
      <c r="AB73" s="39"/>
      <c r="AC73" s="39"/>
      <c r="AD73" s="39">
        <v>60000</v>
      </c>
      <c r="AE73" s="39"/>
      <c r="AF73" s="39">
        <v>30000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0" t="s">
        <v>105</v>
      </c>
      <c r="AU73" s="30" t="s">
        <v>81</v>
      </c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63">
        <f t="shared" si="20"/>
        <v>12000</v>
      </c>
      <c r="BM73" s="63">
        <f t="shared" si="24"/>
        <v>0</v>
      </c>
      <c r="BN73" s="63">
        <f t="shared" si="25"/>
        <v>36000</v>
      </c>
      <c r="BO73" s="63">
        <f t="shared" si="26"/>
        <v>0</v>
      </c>
      <c r="BP73" s="63">
        <f t="shared" si="27"/>
        <v>0</v>
      </c>
      <c r="BQ73" s="63">
        <f t="shared" si="28"/>
        <v>24000</v>
      </c>
      <c r="BR73" s="63">
        <f t="shared" si="29"/>
        <v>0</v>
      </c>
      <c r="BS73" s="63">
        <f t="shared" si="30"/>
        <v>12000</v>
      </c>
    </row>
    <row r="74" spans="1:71">
      <c r="A74" s="28">
        <f t="shared" si="21"/>
        <v>73</v>
      </c>
      <c r="B74" s="32" t="s">
        <v>711</v>
      </c>
      <c r="C74" s="32" t="s">
        <v>72</v>
      </c>
      <c r="D74" s="32" t="s">
        <v>575</v>
      </c>
      <c r="E74" s="32" t="s">
        <v>530</v>
      </c>
      <c r="F74" s="32" t="s">
        <v>576</v>
      </c>
      <c r="G74" s="32" t="s">
        <v>231</v>
      </c>
      <c r="H74" s="35" t="s">
        <v>232</v>
      </c>
      <c r="I74" s="32"/>
      <c r="J74" s="32"/>
      <c r="K74" s="32" t="s">
        <v>699</v>
      </c>
      <c r="L74" s="32">
        <v>288000</v>
      </c>
      <c r="M74" s="32" t="s">
        <v>103</v>
      </c>
      <c r="N74" s="32"/>
      <c r="O74" s="32"/>
      <c r="P74" s="32"/>
      <c r="Q74" s="50">
        <v>0.4</v>
      </c>
      <c r="R74" s="47">
        <f t="shared" si="22"/>
        <v>25200</v>
      </c>
      <c r="S74" s="48">
        <v>28800</v>
      </c>
      <c r="T74" s="48">
        <f t="shared" si="23"/>
        <v>63000</v>
      </c>
      <c r="U74" s="39">
        <v>9000</v>
      </c>
      <c r="V74" s="39">
        <v>9000</v>
      </c>
      <c r="W74" s="39">
        <v>9000</v>
      </c>
      <c r="X74" s="39">
        <v>9000</v>
      </c>
      <c r="Y74" s="39">
        <v>9000</v>
      </c>
      <c r="Z74" s="39">
        <v>9000</v>
      </c>
      <c r="AA74" s="39">
        <v>9000</v>
      </c>
      <c r="AB74" s="39">
        <v>9000</v>
      </c>
      <c r="AC74" s="39">
        <v>9000</v>
      </c>
      <c r="AD74" s="39">
        <v>9000</v>
      </c>
      <c r="AE74" s="39">
        <v>9000</v>
      </c>
      <c r="AF74" s="39">
        <v>9000</v>
      </c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0" t="s">
        <v>105</v>
      </c>
      <c r="AU74" s="30" t="s">
        <v>81</v>
      </c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63">
        <f t="shared" si="20"/>
        <v>3600</v>
      </c>
      <c r="BM74" s="63">
        <f t="shared" si="24"/>
        <v>3600</v>
      </c>
      <c r="BN74" s="63">
        <f t="shared" si="25"/>
        <v>3600</v>
      </c>
      <c r="BO74" s="63">
        <f t="shared" si="26"/>
        <v>3600</v>
      </c>
      <c r="BP74" s="63">
        <f t="shared" si="27"/>
        <v>3600</v>
      </c>
      <c r="BQ74" s="63">
        <f t="shared" si="28"/>
        <v>3600</v>
      </c>
      <c r="BR74" s="63">
        <f t="shared" si="29"/>
        <v>3600</v>
      </c>
      <c r="BS74" s="63">
        <f t="shared" si="30"/>
        <v>3600</v>
      </c>
    </row>
    <row r="75" spans="1:71">
      <c r="A75" s="28">
        <f t="shared" si="21"/>
        <v>74</v>
      </c>
      <c r="B75" s="32" t="s">
        <v>711</v>
      </c>
      <c r="C75" s="32" t="s">
        <v>72</v>
      </c>
      <c r="D75" s="32" t="s">
        <v>575</v>
      </c>
      <c r="E75" s="32" t="s">
        <v>530</v>
      </c>
      <c r="F75" s="32" t="s">
        <v>576</v>
      </c>
      <c r="G75" s="32" t="s">
        <v>247</v>
      </c>
      <c r="H75" s="35" t="s">
        <v>248</v>
      </c>
      <c r="I75" s="32"/>
      <c r="J75" s="32"/>
      <c r="K75" s="32" t="s">
        <v>699</v>
      </c>
      <c r="L75" s="32">
        <v>288000</v>
      </c>
      <c r="M75" s="32" t="s">
        <v>103</v>
      </c>
      <c r="N75" s="32"/>
      <c r="O75" s="32"/>
      <c r="P75" s="32"/>
      <c r="Q75" s="50">
        <v>0.4</v>
      </c>
      <c r="R75" s="47">
        <f t="shared" si="22"/>
        <v>16800</v>
      </c>
      <c r="S75" s="48">
        <v>22800</v>
      </c>
      <c r="T75" s="48">
        <f t="shared" si="23"/>
        <v>42000</v>
      </c>
      <c r="U75" s="39"/>
      <c r="V75" s="39"/>
      <c r="W75" s="39">
        <v>30000</v>
      </c>
      <c r="X75" s="39"/>
      <c r="Y75" s="39">
        <v>15000</v>
      </c>
      <c r="Z75" s="39"/>
      <c r="AA75" s="39"/>
      <c r="AB75" s="39">
        <v>9000</v>
      </c>
      <c r="AC75" s="39"/>
      <c r="AD75" s="39">
        <v>9000</v>
      </c>
      <c r="AE75" s="39">
        <v>15000</v>
      </c>
      <c r="AF75" s="39">
        <v>9000</v>
      </c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0" t="s">
        <v>105</v>
      </c>
      <c r="AU75" s="30" t="s">
        <v>81</v>
      </c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63">
        <f t="shared" si="20"/>
        <v>6000</v>
      </c>
      <c r="BM75" s="63">
        <f t="shared" si="24"/>
        <v>0</v>
      </c>
      <c r="BN75" s="63">
        <f t="shared" si="25"/>
        <v>0</v>
      </c>
      <c r="BO75" s="63">
        <f t="shared" si="26"/>
        <v>3600</v>
      </c>
      <c r="BP75" s="63">
        <f t="shared" si="27"/>
        <v>0</v>
      </c>
      <c r="BQ75" s="63">
        <f t="shared" si="28"/>
        <v>3600</v>
      </c>
      <c r="BR75" s="63">
        <f t="shared" si="29"/>
        <v>6000</v>
      </c>
      <c r="BS75" s="63">
        <f t="shared" si="30"/>
        <v>3600</v>
      </c>
    </row>
    <row r="76" spans="1:71">
      <c r="A76" s="28">
        <f t="shared" si="21"/>
        <v>75</v>
      </c>
      <c r="B76" s="32" t="s">
        <v>712</v>
      </c>
      <c r="C76" s="32" t="s">
        <v>92</v>
      </c>
      <c r="D76" s="32" t="s">
        <v>713</v>
      </c>
      <c r="E76" s="32" t="s">
        <v>530</v>
      </c>
      <c r="F76" s="32" t="s">
        <v>714</v>
      </c>
      <c r="G76" s="32" t="s">
        <v>285</v>
      </c>
      <c r="H76" s="35" t="s">
        <v>286</v>
      </c>
      <c r="I76" s="32"/>
      <c r="J76" s="32"/>
      <c r="K76" s="32" t="s">
        <v>715</v>
      </c>
      <c r="L76" s="32">
        <v>100000</v>
      </c>
      <c r="M76" s="32" t="s">
        <v>103</v>
      </c>
      <c r="N76" s="32"/>
      <c r="O76" s="32"/>
      <c r="P76" s="32"/>
      <c r="Q76" s="50">
        <v>0.39</v>
      </c>
      <c r="R76" s="47">
        <f t="shared" si="22"/>
        <v>163800</v>
      </c>
      <c r="S76" s="48">
        <v>187200</v>
      </c>
      <c r="T76" s="48">
        <f t="shared" si="23"/>
        <v>420000</v>
      </c>
      <c r="U76" s="39">
        <v>60000</v>
      </c>
      <c r="V76" s="39">
        <v>60000</v>
      </c>
      <c r="W76" s="39"/>
      <c r="X76" s="39"/>
      <c r="Y76" s="39">
        <v>60000</v>
      </c>
      <c r="Z76" s="39">
        <v>60000</v>
      </c>
      <c r="AA76" s="39">
        <v>60000</v>
      </c>
      <c r="AB76" s="39">
        <v>60000</v>
      </c>
      <c r="AC76" s="39">
        <v>60000</v>
      </c>
      <c r="AD76" s="39">
        <v>60000</v>
      </c>
      <c r="AE76" s="39">
        <v>60000</v>
      </c>
      <c r="AF76" s="39">
        <v>60000</v>
      </c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0" t="s">
        <v>105</v>
      </c>
      <c r="AU76" s="30" t="s">
        <v>81</v>
      </c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63">
        <f t="shared" si="20"/>
        <v>23400</v>
      </c>
      <c r="BM76" s="63">
        <f t="shared" si="24"/>
        <v>23400</v>
      </c>
      <c r="BN76" s="63">
        <f t="shared" si="25"/>
        <v>23400</v>
      </c>
      <c r="BO76" s="63">
        <f t="shared" si="26"/>
        <v>23400</v>
      </c>
      <c r="BP76" s="63">
        <f t="shared" si="27"/>
        <v>23400</v>
      </c>
      <c r="BQ76" s="63">
        <f t="shared" si="28"/>
        <v>23400</v>
      </c>
      <c r="BR76" s="63">
        <f t="shared" si="29"/>
        <v>23400</v>
      </c>
      <c r="BS76" s="63">
        <f t="shared" si="30"/>
        <v>23400</v>
      </c>
    </row>
    <row r="77" spans="1:71">
      <c r="A77" s="28">
        <f t="shared" si="21"/>
        <v>76</v>
      </c>
      <c r="B77" s="32" t="s">
        <v>716</v>
      </c>
      <c r="C77" s="32" t="s">
        <v>72</v>
      </c>
      <c r="D77" s="32" t="s">
        <v>717</v>
      </c>
      <c r="E77" s="32" t="s">
        <v>530</v>
      </c>
      <c r="F77" s="32" t="s">
        <v>718</v>
      </c>
      <c r="G77" s="32" t="s">
        <v>344</v>
      </c>
      <c r="H77" s="35" t="s">
        <v>345</v>
      </c>
      <c r="I77" s="32"/>
      <c r="J77" s="32"/>
      <c r="K77" s="32" t="s">
        <v>719</v>
      </c>
      <c r="L77" s="32">
        <v>5000000</v>
      </c>
      <c r="M77" s="32" t="s">
        <v>57</v>
      </c>
      <c r="N77" s="32"/>
      <c r="O77" s="32"/>
      <c r="P77" s="32"/>
      <c r="Q77" s="50">
        <v>0.14</v>
      </c>
      <c r="R77" s="47">
        <f t="shared" si="22"/>
        <v>112000</v>
      </c>
      <c r="S77" s="48">
        <v>210000</v>
      </c>
      <c r="T77" s="48">
        <f t="shared" si="23"/>
        <v>800000</v>
      </c>
      <c r="U77" s="39"/>
      <c r="V77" s="39">
        <v>0</v>
      </c>
      <c r="W77" s="39">
        <v>0</v>
      </c>
      <c r="X77" s="39">
        <v>5000</v>
      </c>
      <c r="Y77" s="39">
        <v>100000</v>
      </c>
      <c r="Z77" s="39">
        <v>200000</v>
      </c>
      <c r="AA77" s="39">
        <v>0</v>
      </c>
      <c r="AB77" s="39">
        <v>0</v>
      </c>
      <c r="AC77" s="39">
        <v>0</v>
      </c>
      <c r="AD77" s="39">
        <v>200000</v>
      </c>
      <c r="AE77" s="39">
        <v>200000</v>
      </c>
      <c r="AF77" s="39">
        <v>200000</v>
      </c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0" t="s">
        <v>105</v>
      </c>
      <c r="AU77" s="30" t="s">
        <v>81</v>
      </c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63">
        <f t="shared" si="20"/>
        <v>14000</v>
      </c>
      <c r="BM77" s="63">
        <f t="shared" si="24"/>
        <v>28000</v>
      </c>
      <c r="BN77" s="63">
        <f t="shared" si="25"/>
        <v>0</v>
      </c>
      <c r="BO77" s="63">
        <f t="shared" si="26"/>
        <v>0</v>
      </c>
      <c r="BP77" s="63">
        <f t="shared" si="27"/>
        <v>0</v>
      </c>
      <c r="BQ77" s="63">
        <f t="shared" si="28"/>
        <v>28000</v>
      </c>
      <c r="BR77" s="63">
        <f t="shared" si="29"/>
        <v>28000</v>
      </c>
      <c r="BS77" s="63">
        <f t="shared" si="30"/>
        <v>28000</v>
      </c>
    </row>
    <row r="78" spans="1:71">
      <c r="A78" s="28">
        <f t="shared" si="21"/>
        <v>77</v>
      </c>
      <c r="B78" s="32" t="s">
        <v>720</v>
      </c>
      <c r="C78" s="32" t="s">
        <v>527</v>
      </c>
      <c r="D78" s="32" t="s">
        <v>721</v>
      </c>
      <c r="E78" s="32" t="s">
        <v>530</v>
      </c>
      <c r="F78" s="32" t="s">
        <v>722</v>
      </c>
      <c r="G78" s="32" t="s">
        <v>383</v>
      </c>
      <c r="H78" s="35" t="s">
        <v>384</v>
      </c>
      <c r="I78" s="32"/>
      <c r="J78" s="32"/>
      <c r="K78" s="32" t="s">
        <v>685</v>
      </c>
      <c r="L78" s="32">
        <v>500000</v>
      </c>
      <c r="M78" s="32" t="s">
        <v>114</v>
      </c>
      <c r="N78" s="32"/>
      <c r="O78" s="32"/>
      <c r="P78" s="32"/>
      <c r="Q78" s="50">
        <v>1.88</v>
      </c>
      <c r="R78" s="47">
        <f t="shared" si="22"/>
        <v>142880</v>
      </c>
      <c r="S78" s="48">
        <v>857656</v>
      </c>
      <c r="T78" s="48">
        <f t="shared" si="23"/>
        <v>76000</v>
      </c>
      <c r="U78" s="39"/>
      <c r="V78" s="39"/>
      <c r="W78" s="39">
        <v>1850</v>
      </c>
      <c r="X78" s="39">
        <v>3200</v>
      </c>
      <c r="Y78" s="39">
        <v>4000</v>
      </c>
      <c r="Z78" s="39">
        <v>6000</v>
      </c>
      <c r="AA78" s="39">
        <v>11000</v>
      </c>
      <c r="AB78" s="39">
        <v>11000</v>
      </c>
      <c r="AC78" s="39">
        <v>11000</v>
      </c>
      <c r="AD78" s="39">
        <v>11000</v>
      </c>
      <c r="AE78" s="39">
        <v>11000</v>
      </c>
      <c r="AF78" s="39">
        <v>15000</v>
      </c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0" t="s">
        <v>105</v>
      </c>
      <c r="AU78" s="30" t="s">
        <v>532</v>
      </c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63">
        <f t="shared" si="20"/>
        <v>7520</v>
      </c>
      <c r="BM78" s="63">
        <f t="shared" si="24"/>
        <v>11280</v>
      </c>
      <c r="BN78" s="63">
        <f t="shared" si="25"/>
        <v>20680</v>
      </c>
      <c r="BO78" s="63">
        <f t="shared" si="26"/>
        <v>20680</v>
      </c>
      <c r="BP78" s="63">
        <f t="shared" si="27"/>
        <v>20680</v>
      </c>
      <c r="BQ78" s="63">
        <f t="shared" si="28"/>
        <v>20680</v>
      </c>
      <c r="BR78" s="63">
        <f t="shared" si="29"/>
        <v>20680</v>
      </c>
      <c r="BS78" s="63">
        <f t="shared" si="30"/>
        <v>28200</v>
      </c>
    </row>
    <row r="79" spans="1:71">
      <c r="A79" s="28">
        <f t="shared" si="21"/>
        <v>78</v>
      </c>
      <c r="B79" s="32" t="s">
        <v>720</v>
      </c>
      <c r="C79" s="32" t="s">
        <v>527</v>
      </c>
      <c r="D79" s="32" t="s">
        <v>721</v>
      </c>
      <c r="E79" s="32" t="s">
        <v>530</v>
      </c>
      <c r="F79" s="32" t="s">
        <v>722</v>
      </c>
      <c r="G79" s="32" t="s">
        <v>379</v>
      </c>
      <c r="H79" s="35" t="s">
        <v>380</v>
      </c>
      <c r="I79" s="32"/>
      <c r="J79" s="32"/>
      <c r="K79" s="32" t="s">
        <v>685</v>
      </c>
      <c r="L79" s="32">
        <v>5000000</v>
      </c>
      <c r="M79" s="32" t="s">
        <v>103</v>
      </c>
      <c r="N79" s="32"/>
      <c r="O79" s="32"/>
      <c r="P79" s="32"/>
      <c r="Q79" s="50">
        <v>1.88</v>
      </c>
      <c r="R79" s="47">
        <f t="shared" si="22"/>
        <v>1635600</v>
      </c>
      <c r="S79" s="48">
        <v>4162335.04</v>
      </c>
      <c r="T79" s="48">
        <f t="shared" si="23"/>
        <v>870000</v>
      </c>
      <c r="U79" s="39"/>
      <c r="V79" s="39">
        <v>3000</v>
      </c>
      <c r="W79" s="39">
        <v>3000</v>
      </c>
      <c r="X79" s="39">
        <v>2000</v>
      </c>
      <c r="Y79" s="39">
        <v>2000</v>
      </c>
      <c r="Z79" s="39">
        <v>20000</v>
      </c>
      <c r="AA79" s="39">
        <v>50000</v>
      </c>
      <c r="AB79" s="39">
        <v>100000</v>
      </c>
      <c r="AC79" s="39">
        <v>100000</v>
      </c>
      <c r="AD79" s="39">
        <v>200000</v>
      </c>
      <c r="AE79" s="39">
        <v>200000</v>
      </c>
      <c r="AF79" s="39">
        <v>200000</v>
      </c>
      <c r="AG79" s="39"/>
      <c r="AH79" s="39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0" t="s">
        <v>105</v>
      </c>
      <c r="AU79" s="30" t="s">
        <v>532</v>
      </c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63">
        <f t="shared" si="20"/>
        <v>3760</v>
      </c>
      <c r="BM79" s="63">
        <f t="shared" si="24"/>
        <v>37600</v>
      </c>
      <c r="BN79" s="63">
        <f t="shared" si="25"/>
        <v>94000</v>
      </c>
      <c r="BO79" s="63">
        <f t="shared" si="26"/>
        <v>188000</v>
      </c>
      <c r="BP79" s="63">
        <f t="shared" si="27"/>
        <v>188000</v>
      </c>
      <c r="BQ79" s="63">
        <f t="shared" si="28"/>
        <v>376000</v>
      </c>
      <c r="BR79" s="63">
        <f t="shared" si="29"/>
        <v>376000</v>
      </c>
      <c r="BS79" s="63">
        <f t="shared" si="30"/>
        <v>376000</v>
      </c>
    </row>
    <row r="80" spans="1:71">
      <c r="A80" s="28">
        <f t="shared" si="21"/>
        <v>79</v>
      </c>
      <c r="B80" s="29" t="s">
        <v>723</v>
      </c>
      <c r="C80" s="32" t="s">
        <v>72</v>
      </c>
      <c r="D80" s="30" t="s">
        <v>721</v>
      </c>
      <c r="E80" s="30" t="s">
        <v>530</v>
      </c>
      <c r="F80" s="32" t="s">
        <v>722</v>
      </c>
      <c r="G80" s="32" t="s">
        <v>377</v>
      </c>
      <c r="H80" s="35" t="s">
        <v>378</v>
      </c>
      <c r="I80" s="32"/>
      <c r="J80" s="32"/>
      <c r="K80" s="30" t="s">
        <v>535</v>
      </c>
      <c r="L80" s="39"/>
      <c r="M80" s="30" t="s">
        <v>724</v>
      </c>
      <c r="N80" s="31" t="s">
        <v>725</v>
      </c>
      <c r="O80" s="29"/>
      <c r="P80" s="43"/>
      <c r="Q80" s="42">
        <v>2.21</v>
      </c>
      <c r="R80" s="47">
        <f t="shared" si="22"/>
        <v>0</v>
      </c>
      <c r="S80" s="48">
        <v>0</v>
      </c>
      <c r="T80" s="48">
        <f t="shared" si="23"/>
        <v>0</v>
      </c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0"/>
      <c r="AT80" s="30" t="s">
        <v>105</v>
      </c>
      <c r="AU80" s="30" t="s">
        <v>532</v>
      </c>
      <c r="AV80" s="30"/>
      <c r="AW80" s="30"/>
      <c r="AX80" s="30"/>
      <c r="AY80" s="30"/>
      <c r="AZ80" s="30"/>
      <c r="BA80" s="30"/>
      <c r="BB80" s="30"/>
      <c r="BC80" s="58"/>
      <c r="BD80" s="55"/>
      <c r="BE80" s="55"/>
      <c r="BF80" s="55"/>
      <c r="BG80" s="55"/>
      <c r="BH80" s="55"/>
      <c r="BI80" s="55"/>
      <c r="BJ80" s="67"/>
      <c r="BK80" s="29"/>
      <c r="BL80" s="63">
        <f t="shared" ref="BL80:BL119" si="31">$Q80*Y80</f>
        <v>0</v>
      </c>
      <c r="BM80" s="63">
        <f t="shared" si="24"/>
        <v>0</v>
      </c>
      <c r="BN80" s="63">
        <f t="shared" si="25"/>
        <v>0</v>
      </c>
      <c r="BO80" s="63">
        <f t="shared" si="26"/>
        <v>0</v>
      </c>
      <c r="BP80" s="63">
        <f t="shared" si="27"/>
        <v>0</v>
      </c>
      <c r="BQ80" s="63">
        <f t="shared" si="28"/>
        <v>0</v>
      </c>
      <c r="BR80" s="63">
        <f t="shared" si="29"/>
        <v>0</v>
      </c>
      <c r="BS80" s="63">
        <f t="shared" si="30"/>
        <v>0</v>
      </c>
    </row>
    <row r="81" spans="1:71">
      <c r="A81" s="28">
        <f t="shared" si="21"/>
        <v>80</v>
      </c>
      <c r="B81" s="29" t="s">
        <v>723</v>
      </c>
      <c r="C81" s="32" t="s">
        <v>72</v>
      </c>
      <c r="D81" s="30" t="s">
        <v>721</v>
      </c>
      <c r="E81" s="30" t="s">
        <v>530</v>
      </c>
      <c r="F81" s="32" t="s">
        <v>722</v>
      </c>
      <c r="G81" s="32" t="s">
        <v>381</v>
      </c>
      <c r="H81" s="35" t="s">
        <v>382</v>
      </c>
      <c r="I81" s="32"/>
      <c r="J81" s="32"/>
      <c r="K81" s="30" t="s">
        <v>535</v>
      </c>
      <c r="L81" s="39"/>
      <c r="M81" s="30" t="s">
        <v>724</v>
      </c>
      <c r="N81" s="31" t="s">
        <v>725</v>
      </c>
      <c r="O81" s="29"/>
      <c r="P81" s="43"/>
      <c r="Q81" s="42">
        <v>2.25</v>
      </c>
      <c r="R81" s="47">
        <f t="shared" si="22"/>
        <v>0</v>
      </c>
      <c r="S81" s="48">
        <v>0</v>
      </c>
      <c r="T81" s="48">
        <f t="shared" si="23"/>
        <v>0</v>
      </c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0"/>
      <c r="AT81" s="30" t="s">
        <v>105</v>
      </c>
      <c r="AU81" s="30" t="s">
        <v>532</v>
      </c>
      <c r="AV81" s="30"/>
      <c r="AW81" s="30"/>
      <c r="AX81" s="30"/>
      <c r="AY81" s="30"/>
      <c r="AZ81" s="30"/>
      <c r="BA81" s="30"/>
      <c r="BB81" s="30"/>
      <c r="BC81" s="58"/>
      <c r="BD81" s="55"/>
      <c r="BE81" s="55"/>
      <c r="BF81" s="55"/>
      <c r="BG81" s="55"/>
      <c r="BH81" s="55"/>
      <c r="BI81" s="55"/>
      <c r="BJ81" s="67"/>
      <c r="BK81" s="29"/>
      <c r="BL81" s="63">
        <f t="shared" si="31"/>
        <v>0</v>
      </c>
      <c r="BM81" s="63">
        <f t="shared" si="24"/>
        <v>0</v>
      </c>
      <c r="BN81" s="63">
        <f t="shared" si="25"/>
        <v>0</v>
      </c>
      <c r="BO81" s="63">
        <f t="shared" si="26"/>
        <v>0</v>
      </c>
      <c r="BP81" s="63">
        <f t="shared" si="27"/>
        <v>0</v>
      </c>
      <c r="BQ81" s="63">
        <f t="shared" si="28"/>
        <v>0</v>
      </c>
      <c r="BR81" s="63">
        <f t="shared" si="29"/>
        <v>0</v>
      </c>
      <c r="BS81" s="63">
        <f t="shared" si="30"/>
        <v>0</v>
      </c>
    </row>
    <row r="82" spans="1:71">
      <c r="A82" s="28">
        <f t="shared" si="21"/>
        <v>81</v>
      </c>
      <c r="B82" s="29" t="s">
        <v>726</v>
      </c>
      <c r="C82" s="32" t="s">
        <v>72</v>
      </c>
      <c r="D82" s="30" t="s">
        <v>721</v>
      </c>
      <c r="E82" s="30" t="s">
        <v>530</v>
      </c>
      <c r="F82" s="32" t="s">
        <v>722</v>
      </c>
      <c r="G82" s="30" t="s">
        <v>415</v>
      </c>
      <c r="H82" s="35" t="s">
        <v>416</v>
      </c>
      <c r="I82" s="30"/>
      <c r="J82" s="30"/>
      <c r="K82" s="30" t="s">
        <v>727</v>
      </c>
      <c r="L82" s="39"/>
      <c r="M82" s="30" t="s">
        <v>728</v>
      </c>
      <c r="N82" s="31" t="s">
        <v>725</v>
      </c>
      <c r="O82" s="30"/>
      <c r="P82" s="42"/>
      <c r="Q82" s="42"/>
      <c r="R82" s="47">
        <f t="shared" si="22"/>
        <v>0</v>
      </c>
      <c r="S82" s="48">
        <v>0</v>
      </c>
      <c r="T82" s="48">
        <f t="shared" si="23"/>
        <v>0</v>
      </c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0"/>
      <c r="AT82" s="30" t="s">
        <v>105</v>
      </c>
      <c r="AU82" s="30" t="s">
        <v>545</v>
      </c>
      <c r="AV82" s="29"/>
      <c r="AW82" s="30"/>
      <c r="AX82" s="30"/>
      <c r="AY82" s="30"/>
      <c r="AZ82" s="30"/>
      <c r="BA82" s="30"/>
      <c r="BB82" s="30"/>
      <c r="BC82" s="58"/>
      <c r="BD82" s="55"/>
      <c r="BE82" s="55"/>
      <c r="BF82" s="55"/>
      <c r="BG82" s="55"/>
      <c r="BH82" s="55"/>
      <c r="BI82" s="55"/>
      <c r="BJ82" s="59"/>
      <c r="BK82" s="29"/>
      <c r="BL82" s="63">
        <f t="shared" si="31"/>
        <v>0</v>
      </c>
      <c r="BM82" s="63">
        <f t="shared" si="24"/>
        <v>0</v>
      </c>
      <c r="BN82" s="63">
        <f t="shared" si="25"/>
        <v>0</v>
      </c>
      <c r="BO82" s="63">
        <f t="shared" si="26"/>
        <v>0</v>
      </c>
      <c r="BP82" s="63">
        <f t="shared" si="27"/>
        <v>0</v>
      </c>
      <c r="BQ82" s="63">
        <f t="shared" si="28"/>
        <v>0</v>
      </c>
      <c r="BR82" s="63">
        <f t="shared" si="29"/>
        <v>0</v>
      </c>
      <c r="BS82" s="63">
        <f t="shared" si="30"/>
        <v>0</v>
      </c>
    </row>
    <row r="83" spans="1:71">
      <c r="A83" s="28">
        <f t="shared" si="21"/>
        <v>82</v>
      </c>
      <c r="B83" s="30" t="s">
        <v>729</v>
      </c>
      <c r="C83" s="32" t="s">
        <v>72</v>
      </c>
      <c r="D83" s="30" t="s">
        <v>730</v>
      </c>
      <c r="E83" s="30" t="s">
        <v>530</v>
      </c>
      <c r="F83" s="30" t="s">
        <v>731</v>
      </c>
      <c r="G83" s="30" t="s">
        <v>415</v>
      </c>
      <c r="H83" s="35" t="s">
        <v>416</v>
      </c>
      <c r="I83" s="30"/>
      <c r="J83" s="30"/>
      <c r="K83" s="30" t="s">
        <v>732</v>
      </c>
      <c r="L83" s="39">
        <v>500000</v>
      </c>
      <c r="M83" s="30" t="s">
        <v>57</v>
      </c>
      <c r="N83" s="30"/>
      <c r="O83" s="30"/>
      <c r="P83" s="29">
        <v>90371</v>
      </c>
      <c r="Q83" s="42">
        <v>7</v>
      </c>
      <c r="R83" s="47">
        <f t="shared" si="22"/>
        <v>245000</v>
      </c>
      <c r="S83" s="48">
        <v>245000</v>
      </c>
      <c r="T83" s="48">
        <f t="shared" si="23"/>
        <v>35000</v>
      </c>
      <c r="U83" s="39"/>
      <c r="V83" s="39"/>
      <c r="W83" s="39"/>
      <c r="X83" s="39"/>
      <c r="Y83" s="39"/>
      <c r="Z83" s="39">
        <v>0</v>
      </c>
      <c r="AA83" s="39">
        <v>0</v>
      </c>
      <c r="AB83" s="39">
        <v>0</v>
      </c>
      <c r="AC83" s="39">
        <v>0</v>
      </c>
      <c r="AD83" s="39">
        <v>5000</v>
      </c>
      <c r="AE83" s="39">
        <v>10000</v>
      </c>
      <c r="AF83" s="39">
        <v>20000</v>
      </c>
      <c r="AG83" s="31"/>
      <c r="AH83" s="63"/>
      <c r="AI83" s="63"/>
      <c r="AJ83" s="63"/>
      <c r="AK83" s="63"/>
      <c r="AL83" s="63"/>
      <c r="AM83" s="63"/>
      <c r="AN83" s="63"/>
      <c r="AO83" s="63"/>
      <c r="AP83" s="63"/>
      <c r="AQ83" s="63"/>
      <c r="AR83" s="63"/>
      <c r="AS83" s="63"/>
      <c r="AT83" s="30" t="s">
        <v>105</v>
      </c>
      <c r="AU83" s="30" t="s">
        <v>545</v>
      </c>
      <c r="AV83" s="63"/>
      <c r="AW83" s="63"/>
      <c r="AX83" s="63"/>
      <c r="AY83" s="63"/>
      <c r="AZ83" s="63"/>
      <c r="BA83" s="63"/>
      <c r="BB83" s="63"/>
      <c r="BC83" s="63"/>
      <c r="BD83" s="63"/>
      <c r="BE83" s="63"/>
      <c r="BF83" s="63"/>
      <c r="BG83" s="63"/>
      <c r="BH83" s="63"/>
      <c r="BI83" s="63"/>
      <c r="BJ83" s="63"/>
      <c r="BK83" s="63"/>
      <c r="BL83" s="63">
        <f t="shared" si="31"/>
        <v>0</v>
      </c>
      <c r="BM83" s="63">
        <f t="shared" si="24"/>
        <v>0</v>
      </c>
      <c r="BN83" s="63">
        <f t="shared" si="25"/>
        <v>0</v>
      </c>
      <c r="BO83" s="63">
        <f t="shared" si="26"/>
        <v>0</v>
      </c>
      <c r="BP83" s="63">
        <f t="shared" si="27"/>
        <v>0</v>
      </c>
      <c r="BQ83" s="63">
        <f t="shared" si="28"/>
        <v>35000</v>
      </c>
      <c r="BR83" s="63">
        <f t="shared" si="29"/>
        <v>70000</v>
      </c>
      <c r="BS83" s="63">
        <f t="shared" si="30"/>
        <v>140000</v>
      </c>
    </row>
    <row r="84" spans="1:71">
      <c r="A84" s="28">
        <f t="shared" si="21"/>
        <v>83</v>
      </c>
      <c r="B84" s="30" t="s">
        <v>729</v>
      </c>
      <c r="C84" s="32" t="s">
        <v>72</v>
      </c>
      <c r="D84" s="30" t="s">
        <v>730</v>
      </c>
      <c r="E84" s="30" t="s">
        <v>530</v>
      </c>
      <c r="F84" s="30" t="s">
        <v>731</v>
      </c>
      <c r="G84" s="30" t="s">
        <v>393</v>
      </c>
      <c r="H84" s="35" t="s">
        <v>394</v>
      </c>
      <c r="I84" s="30"/>
      <c r="J84" s="30"/>
      <c r="K84" s="30" t="s">
        <v>733</v>
      </c>
      <c r="L84" s="39">
        <v>300000</v>
      </c>
      <c r="M84" s="30" t="s">
        <v>57</v>
      </c>
      <c r="N84" s="30"/>
      <c r="O84" s="30"/>
      <c r="P84" s="29">
        <v>90371</v>
      </c>
      <c r="Q84" s="42">
        <v>2.8</v>
      </c>
      <c r="R84" s="47">
        <f t="shared" si="22"/>
        <v>44800</v>
      </c>
      <c r="S84" s="48">
        <v>44800</v>
      </c>
      <c r="T84" s="48">
        <f t="shared" si="23"/>
        <v>16000</v>
      </c>
      <c r="U84" s="39"/>
      <c r="V84" s="39"/>
      <c r="W84" s="39"/>
      <c r="X84" s="39"/>
      <c r="Y84" s="39"/>
      <c r="Z84" s="39"/>
      <c r="AA84" s="39"/>
      <c r="AB84" s="39">
        <v>1000</v>
      </c>
      <c r="AC84" s="39">
        <v>0</v>
      </c>
      <c r="AD84" s="39">
        <v>0</v>
      </c>
      <c r="AE84" s="39">
        <v>5000</v>
      </c>
      <c r="AF84" s="39">
        <v>10000</v>
      </c>
      <c r="AG84" s="31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30" t="s">
        <v>105</v>
      </c>
      <c r="AU84" s="30" t="s">
        <v>545</v>
      </c>
      <c r="AV84" s="63"/>
      <c r="AW84" s="63"/>
      <c r="AX84" s="63"/>
      <c r="AY84" s="63"/>
      <c r="AZ84" s="63"/>
      <c r="BA84" s="63"/>
      <c r="BB84" s="63"/>
      <c r="BC84" s="63"/>
      <c r="BD84" s="63"/>
      <c r="BE84" s="63"/>
      <c r="BF84" s="63"/>
      <c r="BG84" s="63"/>
      <c r="BH84" s="63"/>
      <c r="BI84" s="63"/>
      <c r="BJ84" s="63"/>
      <c r="BK84" s="63"/>
      <c r="BL84" s="63">
        <f t="shared" si="31"/>
        <v>0</v>
      </c>
      <c r="BM84" s="63">
        <f t="shared" si="24"/>
        <v>0</v>
      </c>
      <c r="BN84" s="63">
        <f t="shared" si="25"/>
        <v>0</v>
      </c>
      <c r="BO84" s="63">
        <f t="shared" si="26"/>
        <v>2800</v>
      </c>
      <c r="BP84" s="63">
        <f t="shared" si="27"/>
        <v>0</v>
      </c>
      <c r="BQ84" s="63">
        <f t="shared" si="28"/>
        <v>0</v>
      </c>
      <c r="BR84" s="63">
        <f t="shared" si="29"/>
        <v>14000</v>
      </c>
      <c r="BS84" s="63">
        <f t="shared" si="30"/>
        <v>28000</v>
      </c>
    </row>
    <row r="85" spans="1:71">
      <c r="A85" s="28">
        <f t="shared" si="21"/>
        <v>84</v>
      </c>
      <c r="B85" s="30" t="s">
        <v>734</v>
      </c>
      <c r="C85" s="32" t="s">
        <v>72</v>
      </c>
      <c r="D85" s="30" t="s">
        <v>730</v>
      </c>
      <c r="E85" s="30" t="s">
        <v>530</v>
      </c>
      <c r="F85" s="30" t="s">
        <v>731</v>
      </c>
      <c r="G85" s="30" t="s">
        <v>467</v>
      </c>
      <c r="H85" s="35" t="s">
        <v>468</v>
      </c>
      <c r="I85" s="30"/>
      <c r="J85" s="30"/>
      <c r="K85" s="30" t="s">
        <v>735</v>
      </c>
      <c r="L85" s="39">
        <v>300000</v>
      </c>
      <c r="M85" s="30" t="s">
        <v>79</v>
      </c>
      <c r="N85" s="30"/>
      <c r="O85" s="30"/>
      <c r="P85" s="29" t="s">
        <v>736</v>
      </c>
      <c r="Q85" s="42">
        <v>6</v>
      </c>
      <c r="R85" s="47">
        <f t="shared" si="22"/>
        <v>420000</v>
      </c>
      <c r="S85" s="48">
        <v>480000</v>
      </c>
      <c r="T85" s="48">
        <f t="shared" si="23"/>
        <v>70000</v>
      </c>
      <c r="U85" s="39">
        <v>5000</v>
      </c>
      <c r="V85" s="39">
        <v>5000</v>
      </c>
      <c r="W85" s="39">
        <v>5000</v>
      </c>
      <c r="X85" s="39">
        <v>10000</v>
      </c>
      <c r="Y85" s="39">
        <v>10000</v>
      </c>
      <c r="Z85" s="39">
        <v>10000</v>
      </c>
      <c r="AA85" s="39">
        <v>10000</v>
      </c>
      <c r="AB85" s="39">
        <v>10000</v>
      </c>
      <c r="AC85" s="39">
        <v>10000</v>
      </c>
      <c r="AD85" s="39">
        <v>10000</v>
      </c>
      <c r="AE85" s="39">
        <v>10000</v>
      </c>
      <c r="AF85" s="39">
        <v>10000</v>
      </c>
      <c r="AG85" s="31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30" t="s">
        <v>105</v>
      </c>
      <c r="AU85" s="30" t="s">
        <v>688</v>
      </c>
      <c r="AV85" s="63"/>
      <c r="AW85" s="63"/>
      <c r="AX85" s="63"/>
      <c r="AY85" s="63"/>
      <c r="AZ85" s="63"/>
      <c r="BA85" s="63"/>
      <c r="BB85" s="63"/>
      <c r="BC85" s="63"/>
      <c r="BD85" s="63"/>
      <c r="BE85" s="63"/>
      <c r="BF85" s="63"/>
      <c r="BG85" s="63"/>
      <c r="BH85" s="63"/>
      <c r="BI85" s="63"/>
      <c r="BJ85" s="63"/>
      <c r="BK85" s="63"/>
      <c r="BL85" s="63">
        <f t="shared" si="31"/>
        <v>60000</v>
      </c>
      <c r="BM85" s="63">
        <f t="shared" si="24"/>
        <v>60000</v>
      </c>
      <c r="BN85" s="63">
        <f t="shared" si="25"/>
        <v>60000</v>
      </c>
      <c r="BO85" s="63">
        <f t="shared" si="26"/>
        <v>60000</v>
      </c>
      <c r="BP85" s="63">
        <f t="shared" si="27"/>
        <v>60000</v>
      </c>
      <c r="BQ85" s="63">
        <f t="shared" si="28"/>
        <v>60000</v>
      </c>
      <c r="BR85" s="63">
        <f t="shared" si="29"/>
        <v>60000</v>
      </c>
      <c r="BS85" s="63">
        <f t="shared" si="30"/>
        <v>60000</v>
      </c>
    </row>
    <row r="86" spans="1:71">
      <c r="A86" s="28">
        <f t="shared" si="21"/>
        <v>85</v>
      </c>
      <c r="B86" s="30" t="s">
        <v>734</v>
      </c>
      <c r="C86" s="32" t="s">
        <v>72</v>
      </c>
      <c r="D86" s="30" t="s">
        <v>730</v>
      </c>
      <c r="E86" s="30" t="s">
        <v>530</v>
      </c>
      <c r="F86" s="30" t="s">
        <v>731</v>
      </c>
      <c r="G86" s="30" t="s">
        <v>433</v>
      </c>
      <c r="H86" s="35" t="s">
        <v>434</v>
      </c>
      <c r="I86" s="30"/>
      <c r="J86" s="30"/>
      <c r="K86" s="30" t="s">
        <v>737</v>
      </c>
      <c r="L86" s="39">
        <v>200000</v>
      </c>
      <c r="M86" s="30" t="s">
        <v>79</v>
      </c>
      <c r="N86" s="30"/>
      <c r="O86" s="30"/>
      <c r="P86" s="29" t="s">
        <v>738</v>
      </c>
      <c r="Q86" s="42">
        <v>2.4</v>
      </c>
      <c r="R86" s="47">
        <f t="shared" si="22"/>
        <v>16800</v>
      </c>
      <c r="S86" s="48">
        <v>19200</v>
      </c>
      <c r="T86" s="48">
        <f t="shared" si="23"/>
        <v>7000</v>
      </c>
      <c r="U86" s="39">
        <v>1000</v>
      </c>
      <c r="V86" s="39">
        <v>1000</v>
      </c>
      <c r="W86" s="39">
        <v>1000</v>
      </c>
      <c r="X86" s="39">
        <v>1000</v>
      </c>
      <c r="Y86" s="39">
        <v>1000</v>
      </c>
      <c r="Z86" s="39">
        <v>1000</v>
      </c>
      <c r="AA86" s="39">
        <v>1000</v>
      </c>
      <c r="AB86" s="39">
        <v>1000</v>
      </c>
      <c r="AC86" s="39">
        <v>1000</v>
      </c>
      <c r="AD86" s="39">
        <v>1000</v>
      </c>
      <c r="AE86" s="39">
        <v>1000</v>
      </c>
      <c r="AF86" s="39">
        <v>1000</v>
      </c>
      <c r="AG86" s="31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30" t="s">
        <v>105</v>
      </c>
      <c r="AU86" s="30" t="s">
        <v>688</v>
      </c>
      <c r="AV86" s="63"/>
      <c r="AW86" s="63"/>
      <c r="AX86" s="63"/>
      <c r="AY86" s="63"/>
      <c r="AZ86" s="63"/>
      <c r="BA86" s="63"/>
      <c r="BB86" s="63"/>
      <c r="BC86" s="63"/>
      <c r="BD86" s="63"/>
      <c r="BE86" s="63"/>
      <c r="BF86" s="63"/>
      <c r="BG86" s="63"/>
      <c r="BH86" s="63"/>
      <c r="BI86" s="63"/>
      <c r="BJ86" s="63"/>
      <c r="BK86" s="63"/>
      <c r="BL86" s="63">
        <f t="shared" si="31"/>
        <v>2400</v>
      </c>
      <c r="BM86" s="63">
        <f t="shared" si="24"/>
        <v>2400</v>
      </c>
      <c r="BN86" s="63">
        <f t="shared" si="25"/>
        <v>2400</v>
      </c>
      <c r="BO86" s="63">
        <f t="shared" si="26"/>
        <v>2400</v>
      </c>
      <c r="BP86" s="63">
        <f t="shared" si="27"/>
        <v>2400</v>
      </c>
      <c r="BQ86" s="63">
        <f t="shared" si="28"/>
        <v>2400</v>
      </c>
      <c r="BR86" s="63">
        <f t="shared" si="29"/>
        <v>2400</v>
      </c>
      <c r="BS86" s="63">
        <f t="shared" si="30"/>
        <v>2400</v>
      </c>
    </row>
    <row r="87" spans="1:71">
      <c r="A87" s="28">
        <f t="shared" si="21"/>
        <v>86</v>
      </c>
      <c r="B87" s="30" t="s">
        <v>734</v>
      </c>
      <c r="C87" s="32" t="s">
        <v>72</v>
      </c>
      <c r="D87" s="30" t="s">
        <v>730</v>
      </c>
      <c r="E87" s="30" t="s">
        <v>530</v>
      </c>
      <c r="F87" s="30" t="s">
        <v>731</v>
      </c>
      <c r="G87" s="30" t="s">
        <v>427</v>
      </c>
      <c r="H87" s="35" t="s">
        <v>428</v>
      </c>
      <c r="I87" s="30"/>
      <c r="J87" s="30"/>
      <c r="K87" s="30" t="s">
        <v>735</v>
      </c>
      <c r="L87" s="39">
        <v>100000</v>
      </c>
      <c r="M87" s="30" t="s">
        <v>60</v>
      </c>
      <c r="N87" s="30"/>
      <c r="O87" s="30"/>
      <c r="P87" s="29" t="s">
        <v>739</v>
      </c>
      <c r="Q87" s="42">
        <v>1.6</v>
      </c>
      <c r="R87" s="47">
        <f t="shared" si="22"/>
        <v>30400</v>
      </c>
      <c r="S87" s="48">
        <v>33600</v>
      </c>
      <c r="T87" s="48">
        <f t="shared" si="23"/>
        <v>19000</v>
      </c>
      <c r="U87" s="39">
        <v>1000</v>
      </c>
      <c r="V87" s="39">
        <v>1000</v>
      </c>
      <c r="W87" s="39">
        <v>1000</v>
      </c>
      <c r="X87" s="39">
        <v>1000</v>
      </c>
      <c r="Y87" s="39">
        <v>2000</v>
      </c>
      <c r="Z87" s="39">
        <v>2000</v>
      </c>
      <c r="AA87" s="39">
        <v>2000</v>
      </c>
      <c r="AB87" s="39">
        <v>3000</v>
      </c>
      <c r="AC87" s="39">
        <v>3000</v>
      </c>
      <c r="AD87" s="39">
        <v>3000</v>
      </c>
      <c r="AE87" s="39">
        <v>3000</v>
      </c>
      <c r="AF87" s="39">
        <v>3000</v>
      </c>
      <c r="AG87" s="31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30" t="s">
        <v>105</v>
      </c>
      <c r="AU87" s="30" t="s">
        <v>688</v>
      </c>
      <c r="AV87" s="63"/>
      <c r="AW87" s="63"/>
      <c r="AX87" s="63"/>
      <c r="AY87" s="63"/>
      <c r="AZ87" s="63"/>
      <c r="BA87" s="63"/>
      <c r="BB87" s="63"/>
      <c r="BC87" s="63"/>
      <c r="BD87" s="63"/>
      <c r="BE87" s="63"/>
      <c r="BF87" s="63"/>
      <c r="BG87" s="63"/>
      <c r="BH87" s="63"/>
      <c r="BI87" s="63"/>
      <c r="BJ87" s="63"/>
      <c r="BK87" s="63"/>
      <c r="BL87" s="63">
        <f t="shared" si="31"/>
        <v>3200</v>
      </c>
      <c r="BM87" s="63">
        <f t="shared" si="24"/>
        <v>3200</v>
      </c>
      <c r="BN87" s="63">
        <f t="shared" si="25"/>
        <v>3200</v>
      </c>
      <c r="BO87" s="63">
        <f t="shared" si="26"/>
        <v>4800</v>
      </c>
      <c r="BP87" s="63">
        <f t="shared" si="27"/>
        <v>4800</v>
      </c>
      <c r="BQ87" s="63">
        <f t="shared" si="28"/>
        <v>4800</v>
      </c>
      <c r="BR87" s="63">
        <f t="shared" si="29"/>
        <v>4800</v>
      </c>
      <c r="BS87" s="63">
        <f t="shared" si="30"/>
        <v>4800</v>
      </c>
    </row>
    <row r="88" spans="1:71">
      <c r="A88" s="28">
        <f t="shared" si="21"/>
        <v>87</v>
      </c>
      <c r="B88" s="30" t="s">
        <v>740</v>
      </c>
      <c r="C88" s="32" t="s">
        <v>92</v>
      </c>
      <c r="D88" s="30" t="s">
        <v>730</v>
      </c>
      <c r="E88" s="30" t="s">
        <v>530</v>
      </c>
      <c r="F88" s="30" t="s">
        <v>731</v>
      </c>
      <c r="G88" s="32" t="s">
        <v>429</v>
      </c>
      <c r="H88" s="35" t="s">
        <v>430</v>
      </c>
      <c r="I88" s="32"/>
      <c r="J88" s="32"/>
      <c r="K88" s="30" t="s">
        <v>737</v>
      </c>
      <c r="L88" s="39">
        <v>20000</v>
      </c>
      <c r="M88" s="30" t="s">
        <v>60</v>
      </c>
      <c r="N88" s="30"/>
      <c r="O88" s="30"/>
      <c r="P88" s="29" t="s">
        <v>89</v>
      </c>
      <c r="Q88" s="42">
        <v>2.4</v>
      </c>
      <c r="R88" s="47">
        <f t="shared" si="22"/>
        <v>16800</v>
      </c>
      <c r="S88" s="48">
        <v>19200</v>
      </c>
      <c r="T88" s="48">
        <f t="shared" si="23"/>
        <v>7000</v>
      </c>
      <c r="U88" s="39"/>
      <c r="V88" s="39"/>
      <c r="W88" s="39"/>
      <c r="X88" s="39"/>
      <c r="Y88" s="39">
        <v>1000</v>
      </c>
      <c r="Z88" s="39">
        <v>1000</v>
      </c>
      <c r="AA88" s="39">
        <v>1000</v>
      </c>
      <c r="AB88" s="39">
        <v>1000</v>
      </c>
      <c r="AC88" s="39">
        <v>1000</v>
      </c>
      <c r="AD88" s="39">
        <v>1000</v>
      </c>
      <c r="AE88" s="39">
        <v>1000</v>
      </c>
      <c r="AF88" s="39">
        <v>1000</v>
      </c>
      <c r="AG88" s="31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30" t="s">
        <v>105</v>
      </c>
      <c r="AU88" s="30" t="s">
        <v>688</v>
      </c>
      <c r="AV88" s="63"/>
      <c r="AW88" s="63"/>
      <c r="AX88" s="63"/>
      <c r="AY88" s="63"/>
      <c r="AZ88" s="63"/>
      <c r="BA88" s="63"/>
      <c r="BB88" s="63"/>
      <c r="BC88" s="63"/>
      <c r="BD88" s="63"/>
      <c r="BE88" s="63"/>
      <c r="BF88" s="63"/>
      <c r="BG88" s="63"/>
      <c r="BH88" s="63"/>
      <c r="BI88" s="63"/>
      <c r="BJ88" s="63"/>
      <c r="BK88" s="63"/>
      <c r="BL88" s="63">
        <f t="shared" si="31"/>
        <v>2400</v>
      </c>
      <c r="BM88" s="63">
        <f t="shared" si="24"/>
        <v>2400</v>
      </c>
      <c r="BN88" s="63">
        <f t="shared" si="25"/>
        <v>2400</v>
      </c>
      <c r="BO88" s="63">
        <f t="shared" si="26"/>
        <v>2400</v>
      </c>
      <c r="BP88" s="63">
        <f t="shared" si="27"/>
        <v>2400</v>
      </c>
      <c r="BQ88" s="63">
        <f t="shared" si="28"/>
        <v>2400</v>
      </c>
      <c r="BR88" s="63">
        <f t="shared" si="29"/>
        <v>2400</v>
      </c>
      <c r="BS88" s="63">
        <f t="shared" si="30"/>
        <v>2400</v>
      </c>
    </row>
    <row r="89" spans="1:71">
      <c r="A89" s="28">
        <f t="shared" si="21"/>
        <v>88</v>
      </c>
      <c r="B89" s="30" t="s">
        <v>740</v>
      </c>
      <c r="C89" s="32" t="s">
        <v>92</v>
      </c>
      <c r="D89" s="30" t="s">
        <v>730</v>
      </c>
      <c r="E89" s="30" t="s">
        <v>530</v>
      </c>
      <c r="F89" s="30" t="s">
        <v>731</v>
      </c>
      <c r="G89" s="30" t="s">
        <v>435</v>
      </c>
      <c r="H89" s="35" t="s">
        <v>436</v>
      </c>
      <c r="I89" s="30"/>
      <c r="J89" s="30"/>
      <c r="K89" s="30" t="s">
        <v>737</v>
      </c>
      <c r="L89" s="39">
        <v>500000</v>
      </c>
      <c r="M89" s="30" t="s">
        <v>57</v>
      </c>
      <c r="N89" s="30"/>
      <c r="O89" s="30"/>
      <c r="P89" s="29" t="s">
        <v>741</v>
      </c>
      <c r="Q89" s="42">
        <v>2.2</v>
      </c>
      <c r="R89" s="47">
        <f t="shared" si="22"/>
        <v>0</v>
      </c>
      <c r="S89" s="48">
        <v>0</v>
      </c>
      <c r="T89" s="48">
        <f t="shared" si="23"/>
        <v>0</v>
      </c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1"/>
      <c r="AH89" s="63"/>
      <c r="AI89" s="63"/>
      <c r="AJ89" s="63"/>
      <c r="AK89" s="63"/>
      <c r="AL89" s="63"/>
      <c r="AM89" s="63"/>
      <c r="AN89" s="63"/>
      <c r="AO89" s="63"/>
      <c r="AP89" s="63"/>
      <c r="AQ89" s="63"/>
      <c r="AR89" s="63"/>
      <c r="AS89" s="63"/>
      <c r="AT89" s="30" t="s">
        <v>105</v>
      </c>
      <c r="AU89" s="30" t="s">
        <v>688</v>
      </c>
      <c r="AV89" s="63"/>
      <c r="AW89" s="63"/>
      <c r="AX89" s="63"/>
      <c r="AY89" s="63"/>
      <c r="AZ89" s="63"/>
      <c r="BA89" s="63"/>
      <c r="BB89" s="63"/>
      <c r="BC89" s="63"/>
      <c r="BD89" s="63"/>
      <c r="BE89" s="63"/>
      <c r="BF89" s="63"/>
      <c r="BG89" s="63"/>
      <c r="BH89" s="63"/>
      <c r="BI89" s="63"/>
      <c r="BJ89" s="63"/>
      <c r="BK89" s="63"/>
      <c r="BL89" s="63">
        <f t="shared" si="31"/>
        <v>0</v>
      </c>
      <c r="BM89" s="63">
        <f t="shared" si="24"/>
        <v>0</v>
      </c>
      <c r="BN89" s="63">
        <f t="shared" si="25"/>
        <v>0</v>
      </c>
      <c r="BO89" s="63">
        <f t="shared" si="26"/>
        <v>0</v>
      </c>
      <c r="BP89" s="63">
        <f t="shared" si="27"/>
        <v>0</v>
      </c>
      <c r="BQ89" s="63">
        <f t="shared" si="28"/>
        <v>0</v>
      </c>
      <c r="BR89" s="63">
        <f t="shared" si="29"/>
        <v>0</v>
      </c>
      <c r="BS89" s="63">
        <f t="shared" si="30"/>
        <v>0</v>
      </c>
    </row>
    <row r="90" spans="1:71">
      <c r="A90" s="28">
        <f t="shared" si="21"/>
        <v>89</v>
      </c>
      <c r="B90" s="30" t="s">
        <v>740</v>
      </c>
      <c r="C90" s="32" t="s">
        <v>92</v>
      </c>
      <c r="D90" s="30" t="s">
        <v>730</v>
      </c>
      <c r="E90" s="30" t="s">
        <v>530</v>
      </c>
      <c r="F90" s="30" t="s">
        <v>731</v>
      </c>
      <c r="G90" s="30" t="s">
        <v>467</v>
      </c>
      <c r="H90" s="35" t="s">
        <v>468</v>
      </c>
      <c r="I90" s="30"/>
      <c r="J90" s="30"/>
      <c r="K90" s="30" t="s">
        <v>735</v>
      </c>
      <c r="L90" s="39">
        <v>400000</v>
      </c>
      <c r="M90" s="30" t="s">
        <v>57</v>
      </c>
      <c r="N90" s="30"/>
      <c r="O90" s="30" t="s">
        <v>742</v>
      </c>
      <c r="P90" s="29" t="s">
        <v>736</v>
      </c>
      <c r="Q90" s="42">
        <v>6</v>
      </c>
      <c r="R90" s="47">
        <f t="shared" si="22"/>
        <v>204000</v>
      </c>
      <c r="S90" s="48">
        <v>222000</v>
      </c>
      <c r="T90" s="48">
        <f t="shared" si="23"/>
        <v>34000</v>
      </c>
      <c r="U90" s="39"/>
      <c r="V90" s="39"/>
      <c r="W90" s="39"/>
      <c r="X90" s="39">
        <v>2000</v>
      </c>
      <c r="Y90" s="39">
        <v>3000</v>
      </c>
      <c r="Z90" s="39">
        <v>4000</v>
      </c>
      <c r="AA90" s="39">
        <v>5000</v>
      </c>
      <c r="AB90" s="39">
        <v>5000</v>
      </c>
      <c r="AC90" s="39">
        <v>5000</v>
      </c>
      <c r="AD90" s="39">
        <v>5000</v>
      </c>
      <c r="AE90" s="39">
        <v>5000</v>
      </c>
      <c r="AF90" s="39">
        <v>5000</v>
      </c>
      <c r="AG90" s="31"/>
      <c r="AH90" s="63"/>
      <c r="AI90" s="63"/>
      <c r="AJ90" s="63"/>
      <c r="AK90" s="63"/>
      <c r="AL90" s="63"/>
      <c r="AM90" s="63"/>
      <c r="AN90" s="63"/>
      <c r="AO90" s="63"/>
      <c r="AP90" s="63"/>
      <c r="AQ90" s="63"/>
      <c r="AR90" s="63"/>
      <c r="AS90" s="63"/>
      <c r="AT90" s="30" t="s">
        <v>105</v>
      </c>
      <c r="AU90" s="30" t="s">
        <v>688</v>
      </c>
      <c r="AV90" s="63"/>
      <c r="AW90" s="63"/>
      <c r="AX90" s="63"/>
      <c r="AY90" s="63"/>
      <c r="AZ90" s="63"/>
      <c r="BA90" s="63"/>
      <c r="BB90" s="63"/>
      <c r="BC90" s="63"/>
      <c r="BD90" s="63"/>
      <c r="BE90" s="63"/>
      <c r="BF90" s="63"/>
      <c r="BG90" s="63"/>
      <c r="BH90" s="63"/>
      <c r="BI90" s="63"/>
      <c r="BJ90" s="63"/>
      <c r="BK90" s="63"/>
      <c r="BL90" s="63">
        <f t="shared" si="31"/>
        <v>18000</v>
      </c>
      <c r="BM90" s="63">
        <f t="shared" si="24"/>
        <v>24000</v>
      </c>
      <c r="BN90" s="63">
        <f t="shared" si="25"/>
        <v>30000</v>
      </c>
      <c r="BO90" s="63">
        <f t="shared" si="26"/>
        <v>30000</v>
      </c>
      <c r="BP90" s="63">
        <f t="shared" si="27"/>
        <v>30000</v>
      </c>
      <c r="BQ90" s="63">
        <f t="shared" si="28"/>
        <v>30000</v>
      </c>
      <c r="BR90" s="63">
        <f t="shared" si="29"/>
        <v>30000</v>
      </c>
      <c r="BS90" s="63">
        <f t="shared" si="30"/>
        <v>30000</v>
      </c>
    </row>
    <row r="91" spans="1:71">
      <c r="A91" s="28">
        <f t="shared" si="21"/>
        <v>90</v>
      </c>
      <c r="B91" s="30" t="s">
        <v>740</v>
      </c>
      <c r="C91" s="32" t="s">
        <v>92</v>
      </c>
      <c r="D91" s="30" t="s">
        <v>730</v>
      </c>
      <c r="E91" s="30" t="s">
        <v>530</v>
      </c>
      <c r="F91" s="30" t="s">
        <v>731</v>
      </c>
      <c r="G91" s="30" t="s">
        <v>469</v>
      </c>
      <c r="H91" s="35" t="s">
        <v>470</v>
      </c>
      <c r="I91" s="30"/>
      <c r="J91" s="30"/>
      <c r="K91" s="30" t="s">
        <v>735</v>
      </c>
      <c r="L91" s="39">
        <v>400000</v>
      </c>
      <c r="M91" s="30" t="s">
        <v>56</v>
      </c>
      <c r="N91" s="30"/>
      <c r="O91" s="30" t="s">
        <v>743</v>
      </c>
      <c r="P91" s="29"/>
      <c r="Q91" s="42"/>
      <c r="R91" s="47">
        <f t="shared" si="22"/>
        <v>0</v>
      </c>
      <c r="S91" s="48">
        <v>0</v>
      </c>
      <c r="T91" s="48">
        <f t="shared" si="23"/>
        <v>0</v>
      </c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1"/>
      <c r="AH91" s="63"/>
      <c r="AI91" s="63"/>
      <c r="AJ91" s="63"/>
      <c r="AK91" s="63"/>
      <c r="AL91" s="63"/>
      <c r="AM91" s="63"/>
      <c r="AN91" s="63"/>
      <c r="AO91" s="63"/>
      <c r="AP91" s="63"/>
      <c r="AQ91" s="63"/>
      <c r="AR91" s="63"/>
      <c r="AS91" s="63"/>
      <c r="AT91" s="30" t="s">
        <v>105</v>
      </c>
      <c r="AU91" s="30" t="s">
        <v>688</v>
      </c>
      <c r="AV91" s="63"/>
      <c r="AW91" s="63"/>
      <c r="AX91" s="63"/>
      <c r="AY91" s="63"/>
      <c r="AZ91" s="63"/>
      <c r="BA91" s="63"/>
      <c r="BB91" s="63"/>
      <c r="BC91" s="63"/>
      <c r="BD91" s="63"/>
      <c r="BE91" s="63"/>
      <c r="BF91" s="63"/>
      <c r="BG91" s="63"/>
      <c r="BH91" s="63"/>
      <c r="BI91" s="63"/>
      <c r="BJ91" s="63"/>
      <c r="BK91" s="63"/>
      <c r="BL91" s="63">
        <f t="shared" si="31"/>
        <v>0</v>
      </c>
      <c r="BM91" s="63">
        <f t="shared" si="24"/>
        <v>0</v>
      </c>
      <c r="BN91" s="63">
        <f t="shared" si="25"/>
        <v>0</v>
      </c>
      <c r="BO91" s="63">
        <f t="shared" si="26"/>
        <v>0</v>
      </c>
      <c r="BP91" s="63">
        <f t="shared" si="27"/>
        <v>0</v>
      </c>
      <c r="BQ91" s="63">
        <f t="shared" si="28"/>
        <v>0</v>
      </c>
      <c r="BR91" s="63">
        <f t="shared" si="29"/>
        <v>0</v>
      </c>
      <c r="BS91" s="63">
        <f t="shared" si="30"/>
        <v>0</v>
      </c>
    </row>
    <row r="92" spans="1:71">
      <c r="A92" s="28">
        <f t="shared" si="21"/>
        <v>91</v>
      </c>
      <c r="B92" s="30" t="s">
        <v>744</v>
      </c>
      <c r="C92" s="32" t="s">
        <v>72</v>
      </c>
      <c r="D92" s="30" t="s">
        <v>730</v>
      </c>
      <c r="E92" s="30" t="s">
        <v>530</v>
      </c>
      <c r="F92" s="30" t="s">
        <v>731</v>
      </c>
      <c r="G92" s="30" t="s">
        <v>448</v>
      </c>
      <c r="H92" s="35" t="s">
        <v>449</v>
      </c>
      <c r="I92" s="30"/>
      <c r="J92" s="30"/>
      <c r="K92" s="30" t="s">
        <v>745</v>
      </c>
      <c r="L92" s="39">
        <v>100000</v>
      </c>
      <c r="M92" s="30" t="s">
        <v>57</v>
      </c>
      <c r="N92" s="30"/>
      <c r="O92" s="30"/>
      <c r="P92" s="29"/>
      <c r="Q92" s="42">
        <v>2.5</v>
      </c>
      <c r="R92" s="47">
        <f t="shared" si="22"/>
        <v>82500</v>
      </c>
      <c r="S92" s="48">
        <v>82500</v>
      </c>
      <c r="T92" s="48">
        <f t="shared" si="23"/>
        <v>33000</v>
      </c>
      <c r="U92" s="39"/>
      <c r="V92" s="39"/>
      <c r="W92" s="39"/>
      <c r="X92" s="39"/>
      <c r="Y92" s="39"/>
      <c r="Z92" s="39">
        <v>3000</v>
      </c>
      <c r="AA92" s="39">
        <v>5000</v>
      </c>
      <c r="AB92" s="39">
        <v>5000</v>
      </c>
      <c r="AC92" s="39">
        <v>5000</v>
      </c>
      <c r="AD92" s="39">
        <v>5000</v>
      </c>
      <c r="AE92" s="39">
        <v>5000</v>
      </c>
      <c r="AF92" s="39">
        <v>5000</v>
      </c>
      <c r="AG92" s="31"/>
      <c r="AH92" s="63"/>
      <c r="AI92" s="63"/>
      <c r="AJ92" s="63"/>
      <c r="AK92" s="63"/>
      <c r="AL92" s="63"/>
      <c r="AM92" s="63"/>
      <c r="AN92" s="63"/>
      <c r="AO92" s="63"/>
      <c r="AP92" s="63"/>
      <c r="AQ92" s="63"/>
      <c r="AR92" s="63"/>
      <c r="AS92" s="63"/>
      <c r="AT92" s="30" t="s">
        <v>105</v>
      </c>
      <c r="AU92" s="30" t="s">
        <v>688</v>
      </c>
      <c r="AV92" s="63"/>
      <c r="AW92" s="63"/>
      <c r="AX92" s="63"/>
      <c r="AY92" s="63"/>
      <c r="AZ92" s="63"/>
      <c r="BA92" s="63"/>
      <c r="BB92" s="63"/>
      <c r="BC92" s="63"/>
      <c r="BD92" s="63"/>
      <c r="BE92" s="63"/>
      <c r="BF92" s="63"/>
      <c r="BG92" s="63"/>
      <c r="BH92" s="63"/>
      <c r="BI92" s="63"/>
      <c r="BJ92" s="63"/>
      <c r="BK92" s="63"/>
      <c r="BL92" s="63">
        <f t="shared" si="31"/>
        <v>0</v>
      </c>
      <c r="BM92" s="63">
        <f t="shared" si="24"/>
        <v>7500</v>
      </c>
      <c r="BN92" s="63">
        <f t="shared" si="25"/>
        <v>12500</v>
      </c>
      <c r="BO92" s="63">
        <f t="shared" si="26"/>
        <v>12500</v>
      </c>
      <c r="BP92" s="63">
        <f t="shared" si="27"/>
        <v>12500</v>
      </c>
      <c r="BQ92" s="63">
        <f t="shared" si="28"/>
        <v>12500</v>
      </c>
      <c r="BR92" s="63">
        <f t="shared" si="29"/>
        <v>12500</v>
      </c>
      <c r="BS92" s="63">
        <f t="shared" si="30"/>
        <v>12500</v>
      </c>
    </row>
    <row r="93" spans="1:71">
      <c r="A93" s="28">
        <f t="shared" si="21"/>
        <v>92</v>
      </c>
      <c r="B93" s="30" t="s">
        <v>746</v>
      </c>
      <c r="C93" s="32" t="s">
        <v>72</v>
      </c>
      <c r="D93" s="30" t="s">
        <v>730</v>
      </c>
      <c r="E93" s="30" t="s">
        <v>530</v>
      </c>
      <c r="F93" s="30" t="s">
        <v>731</v>
      </c>
      <c r="G93" s="30" t="s">
        <v>467</v>
      </c>
      <c r="H93" s="35" t="s">
        <v>468</v>
      </c>
      <c r="I93" s="30"/>
      <c r="J93" s="30"/>
      <c r="K93" s="30" t="s">
        <v>735</v>
      </c>
      <c r="L93" s="39">
        <v>300000</v>
      </c>
      <c r="M93" s="30" t="s">
        <v>60</v>
      </c>
      <c r="N93" s="30"/>
      <c r="O93" s="30"/>
      <c r="P93" s="29" t="s">
        <v>736</v>
      </c>
      <c r="Q93" s="42">
        <v>6</v>
      </c>
      <c r="R93" s="47">
        <f t="shared" si="22"/>
        <v>84000</v>
      </c>
      <c r="S93" s="48">
        <v>96000</v>
      </c>
      <c r="T93" s="48">
        <f t="shared" si="23"/>
        <v>14000</v>
      </c>
      <c r="U93" s="39">
        <v>2000</v>
      </c>
      <c r="V93" s="39">
        <v>2000</v>
      </c>
      <c r="W93" s="39">
        <v>2000</v>
      </c>
      <c r="X93" s="39">
        <v>2000</v>
      </c>
      <c r="Y93" s="39">
        <v>2000</v>
      </c>
      <c r="Z93" s="39">
        <v>2000</v>
      </c>
      <c r="AA93" s="39">
        <v>2000</v>
      </c>
      <c r="AB93" s="39">
        <v>2000</v>
      </c>
      <c r="AC93" s="39">
        <v>2000</v>
      </c>
      <c r="AD93" s="39">
        <v>2000</v>
      </c>
      <c r="AE93" s="39">
        <v>2000</v>
      </c>
      <c r="AF93" s="39">
        <v>2000</v>
      </c>
      <c r="AG93" s="31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30" t="s">
        <v>105</v>
      </c>
      <c r="AU93" s="30" t="s">
        <v>688</v>
      </c>
      <c r="AV93" s="63"/>
      <c r="AW93" s="63"/>
      <c r="AX93" s="63"/>
      <c r="AY93" s="63"/>
      <c r="AZ93" s="63"/>
      <c r="BA93" s="63"/>
      <c r="BB93" s="63"/>
      <c r="BC93" s="63"/>
      <c r="BD93" s="63"/>
      <c r="BE93" s="63"/>
      <c r="BF93" s="63"/>
      <c r="BG93" s="63"/>
      <c r="BH93" s="63"/>
      <c r="BI93" s="63"/>
      <c r="BJ93" s="63"/>
      <c r="BK93" s="63"/>
      <c r="BL93" s="63">
        <f t="shared" si="31"/>
        <v>12000</v>
      </c>
      <c r="BM93" s="63">
        <f t="shared" si="24"/>
        <v>12000</v>
      </c>
      <c r="BN93" s="63">
        <f t="shared" si="25"/>
        <v>12000</v>
      </c>
      <c r="BO93" s="63">
        <f t="shared" si="26"/>
        <v>12000</v>
      </c>
      <c r="BP93" s="63">
        <f t="shared" si="27"/>
        <v>12000</v>
      </c>
      <c r="BQ93" s="63">
        <f t="shared" si="28"/>
        <v>12000</v>
      </c>
      <c r="BR93" s="63">
        <f t="shared" si="29"/>
        <v>12000</v>
      </c>
      <c r="BS93" s="63">
        <f t="shared" si="30"/>
        <v>12000</v>
      </c>
    </row>
    <row r="94" spans="1:71">
      <c r="A94" s="28">
        <f t="shared" si="21"/>
        <v>93</v>
      </c>
      <c r="B94" s="30" t="s">
        <v>747</v>
      </c>
      <c r="C94" s="32" t="s">
        <v>72</v>
      </c>
      <c r="D94" s="30" t="s">
        <v>717</v>
      </c>
      <c r="E94" s="30" t="s">
        <v>530</v>
      </c>
      <c r="F94" s="30" t="s">
        <v>718</v>
      </c>
      <c r="G94" s="32" t="s">
        <v>417</v>
      </c>
      <c r="H94" s="35" t="s">
        <v>418</v>
      </c>
      <c r="I94" s="32"/>
      <c r="J94" s="32"/>
      <c r="K94" s="31"/>
      <c r="L94" s="31"/>
      <c r="M94" s="32" t="s">
        <v>103</v>
      </c>
      <c r="N94" s="31"/>
      <c r="O94" s="31"/>
      <c r="P94" s="31"/>
      <c r="Q94" s="42">
        <v>7.5</v>
      </c>
      <c r="R94" s="47">
        <f t="shared" si="22"/>
        <v>157500</v>
      </c>
      <c r="S94" s="48">
        <v>180000</v>
      </c>
      <c r="T94" s="48">
        <f t="shared" si="23"/>
        <v>21000</v>
      </c>
      <c r="U94" s="39">
        <v>0</v>
      </c>
      <c r="V94" s="39">
        <v>0</v>
      </c>
      <c r="W94" s="39">
        <v>3000</v>
      </c>
      <c r="X94" s="39"/>
      <c r="Y94" s="39">
        <v>3000</v>
      </c>
      <c r="Z94" s="39">
        <v>3000</v>
      </c>
      <c r="AA94" s="39">
        <v>3000</v>
      </c>
      <c r="AB94" s="39">
        <v>3000</v>
      </c>
      <c r="AC94" s="39">
        <v>3000</v>
      </c>
      <c r="AD94" s="39">
        <v>3000</v>
      </c>
      <c r="AE94" s="39">
        <v>3000</v>
      </c>
      <c r="AF94" s="39">
        <v>3000</v>
      </c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0" t="s">
        <v>105</v>
      </c>
      <c r="AU94" s="30" t="s">
        <v>545</v>
      </c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63">
        <f t="shared" si="31"/>
        <v>22500</v>
      </c>
      <c r="BM94" s="63">
        <f t="shared" si="24"/>
        <v>22500</v>
      </c>
      <c r="BN94" s="63">
        <f t="shared" si="25"/>
        <v>22500</v>
      </c>
      <c r="BO94" s="63">
        <f t="shared" si="26"/>
        <v>22500</v>
      </c>
      <c r="BP94" s="63">
        <f t="shared" si="27"/>
        <v>22500</v>
      </c>
      <c r="BQ94" s="63">
        <f t="shared" si="28"/>
        <v>22500</v>
      </c>
      <c r="BR94" s="63">
        <f t="shared" si="29"/>
        <v>22500</v>
      </c>
      <c r="BS94" s="63">
        <f t="shared" si="30"/>
        <v>22500</v>
      </c>
    </row>
    <row r="95" spans="1:71">
      <c r="A95" s="28">
        <f t="shared" si="21"/>
        <v>94</v>
      </c>
      <c r="B95" s="31" t="s">
        <v>748</v>
      </c>
      <c r="C95" s="31" t="s">
        <v>92</v>
      </c>
      <c r="D95" s="31" t="s">
        <v>749</v>
      </c>
      <c r="E95" s="31" t="s">
        <v>530</v>
      </c>
      <c r="F95" s="31" t="s">
        <v>750</v>
      </c>
      <c r="G95" s="32" t="s">
        <v>379</v>
      </c>
      <c r="H95" s="35" t="s">
        <v>380</v>
      </c>
      <c r="I95" s="32"/>
      <c r="J95" s="32"/>
      <c r="K95" s="39"/>
      <c r="L95" s="39">
        <v>500000</v>
      </c>
      <c r="M95" s="30" t="s">
        <v>79</v>
      </c>
      <c r="N95" s="39"/>
      <c r="O95" s="39"/>
      <c r="P95" s="39"/>
      <c r="Q95" s="42">
        <v>2.3</v>
      </c>
      <c r="R95" s="47">
        <f t="shared" si="22"/>
        <v>80500</v>
      </c>
      <c r="S95" s="48">
        <v>92000</v>
      </c>
      <c r="T95" s="48">
        <f t="shared" si="23"/>
        <v>35000</v>
      </c>
      <c r="U95" s="39">
        <v>5000</v>
      </c>
      <c r="V95" s="39">
        <v>5000</v>
      </c>
      <c r="W95" s="39">
        <v>5000</v>
      </c>
      <c r="X95" s="39">
        <v>5000</v>
      </c>
      <c r="Y95" s="39">
        <v>5000</v>
      </c>
      <c r="Z95" s="39">
        <v>5000</v>
      </c>
      <c r="AA95" s="39">
        <v>5000</v>
      </c>
      <c r="AB95" s="39">
        <v>5000</v>
      </c>
      <c r="AC95" s="39">
        <v>5000</v>
      </c>
      <c r="AD95" s="39">
        <v>5000</v>
      </c>
      <c r="AE95" s="39">
        <v>5000</v>
      </c>
      <c r="AF95" s="39">
        <v>5000</v>
      </c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0" t="s">
        <v>105</v>
      </c>
      <c r="AU95" s="30" t="s">
        <v>532</v>
      </c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63">
        <f t="shared" si="31"/>
        <v>11500</v>
      </c>
      <c r="BM95" s="63">
        <f t="shared" si="24"/>
        <v>11500</v>
      </c>
      <c r="BN95" s="63">
        <f t="shared" si="25"/>
        <v>11500</v>
      </c>
      <c r="BO95" s="63">
        <f t="shared" si="26"/>
        <v>11500</v>
      </c>
      <c r="BP95" s="63">
        <f t="shared" si="27"/>
        <v>11500</v>
      </c>
      <c r="BQ95" s="63">
        <f t="shared" si="28"/>
        <v>11500</v>
      </c>
      <c r="BR95" s="63">
        <f t="shared" si="29"/>
        <v>11500</v>
      </c>
      <c r="BS95" s="63">
        <f t="shared" si="30"/>
        <v>11500</v>
      </c>
    </row>
    <row r="96" spans="1:71">
      <c r="A96" s="28">
        <f t="shared" si="21"/>
        <v>95</v>
      </c>
      <c r="B96" s="31" t="s">
        <v>751</v>
      </c>
      <c r="C96" s="31" t="s">
        <v>72</v>
      </c>
      <c r="D96" s="31" t="s">
        <v>752</v>
      </c>
      <c r="E96" s="31" t="s">
        <v>530</v>
      </c>
      <c r="F96" s="31" t="s">
        <v>753</v>
      </c>
      <c r="G96" s="32" t="s">
        <v>381</v>
      </c>
      <c r="H96" s="35" t="s">
        <v>382</v>
      </c>
      <c r="I96" s="32"/>
      <c r="J96" s="32"/>
      <c r="K96" s="39"/>
      <c r="L96" s="39"/>
      <c r="M96" s="32" t="s">
        <v>114</v>
      </c>
      <c r="N96" s="39"/>
      <c r="O96" s="39"/>
      <c r="P96" s="39"/>
      <c r="Q96" s="42">
        <v>2.497</v>
      </c>
      <c r="R96" s="47">
        <f t="shared" si="22"/>
        <v>44946</v>
      </c>
      <c r="S96" s="48">
        <v>0</v>
      </c>
      <c r="T96" s="48">
        <f t="shared" si="23"/>
        <v>18000</v>
      </c>
      <c r="U96" s="39"/>
      <c r="V96" s="39"/>
      <c r="W96" s="39"/>
      <c r="X96" s="39"/>
      <c r="Y96" s="39">
        <v>200</v>
      </c>
      <c r="Z96" s="39"/>
      <c r="AA96" s="39">
        <v>3000</v>
      </c>
      <c r="AB96" s="39"/>
      <c r="AC96" s="39">
        <v>3000</v>
      </c>
      <c r="AD96" s="39"/>
      <c r="AE96" s="39">
        <v>6000</v>
      </c>
      <c r="AF96" s="39">
        <v>6000</v>
      </c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0" t="s">
        <v>105</v>
      </c>
      <c r="AU96" s="30" t="s">
        <v>532</v>
      </c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63">
        <f t="shared" si="31"/>
        <v>499.4</v>
      </c>
      <c r="BM96" s="63">
        <f t="shared" si="24"/>
        <v>0</v>
      </c>
      <c r="BN96" s="63">
        <f t="shared" si="25"/>
        <v>7491</v>
      </c>
      <c r="BO96" s="63">
        <f t="shared" si="26"/>
        <v>0</v>
      </c>
      <c r="BP96" s="63">
        <f t="shared" si="27"/>
        <v>7491</v>
      </c>
      <c r="BQ96" s="63">
        <f t="shared" si="28"/>
        <v>0</v>
      </c>
      <c r="BR96" s="63">
        <f t="shared" si="29"/>
        <v>14982</v>
      </c>
      <c r="BS96" s="63">
        <f t="shared" si="30"/>
        <v>14982</v>
      </c>
    </row>
    <row r="97" spans="1:71">
      <c r="A97" s="28">
        <f t="shared" si="21"/>
        <v>96</v>
      </c>
      <c r="B97" s="31" t="s">
        <v>754</v>
      </c>
      <c r="C97" s="31" t="s">
        <v>72</v>
      </c>
      <c r="D97" s="31" t="s">
        <v>752</v>
      </c>
      <c r="E97" s="31" t="s">
        <v>530</v>
      </c>
      <c r="F97" s="31" t="s">
        <v>753</v>
      </c>
      <c r="G97" s="32" t="s">
        <v>195</v>
      </c>
      <c r="H97" s="35" t="s">
        <v>196</v>
      </c>
      <c r="I97" s="32"/>
      <c r="J97" s="32"/>
      <c r="K97" s="39"/>
      <c r="L97" s="39"/>
      <c r="M97" s="32" t="s">
        <v>114</v>
      </c>
      <c r="N97" s="39"/>
      <c r="O97" s="39"/>
      <c r="P97" s="39"/>
      <c r="Q97" s="42">
        <v>0.205</v>
      </c>
      <c r="R97" s="47">
        <f t="shared" si="22"/>
        <v>41000</v>
      </c>
      <c r="S97" s="48">
        <v>0</v>
      </c>
      <c r="T97" s="48">
        <f t="shared" si="23"/>
        <v>200000</v>
      </c>
      <c r="U97" s="39"/>
      <c r="V97" s="39"/>
      <c r="W97" s="39"/>
      <c r="X97" s="39"/>
      <c r="Y97" s="39">
        <v>50000</v>
      </c>
      <c r="Z97" s="39"/>
      <c r="AA97" s="39"/>
      <c r="AB97" s="39">
        <v>50000</v>
      </c>
      <c r="AC97" s="39">
        <v>50000</v>
      </c>
      <c r="AD97" s="39"/>
      <c r="AE97" s="39">
        <v>50000</v>
      </c>
      <c r="AF97" s="39">
        <v>50000</v>
      </c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0" t="s">
        <v>105</v>
      </c>
      <c r="AU97" s="30" t="s">
        <v>81</v>
      </c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63">
        <f t="shared" si="31"/>
        <v>10250</v>
      </c>
      <c r="BM97" s="63">
        <f t="shared" si="24"/>
        <v>0</v>
      </c>
      <c r="BN97" s="63">
        <f t="shared" si="25"/>
        <v>0</v>
      </c>
      <c r="BO97" s="63">
        <f t="shared" si="26"/>
        <v>10250</v>
      </c>
      <c r="BP97" s="63">
        <f t="shared" si="27"/>
        <v>10250</v>
      </c>
      <c r="BQ97" s="63">
        <f t="shared" si="28"/>
        <v>0</v>
      </c>
      <c r="BR97" s="63">
        <f t="shared" si="29"/>
        <v>10250</v>
      </c>
      <c r="BS97" s="63">
        <f t="shared" si="30"/>
        <v>10250</v>
      </c>
    </row>
    <row r="98" spans="1:71">
      <c r="A98" s="28">
        <f t="shared" si="21"/>
        <v>97</v>
      </c>
      <c r="B98" s="31" t="s">
        <v>755</v>
      </c>
      <c r="C98" s="31" t="s">
        <v>72</v>
      </c>
      <c r="D98" s="31" t="s">
        <v>601</v>
      </c>
      <c r="E98" s="31" t="s">
        <v>756</v>
      </c>
      <c r="F98" s="31" t="s">
        <v>602</v>
      </c>
      <c r="G98" s="32" t="s">
        <v>261</v>
      </c>
      <c r="H98" s="35" t="s">
        <v>262</v>
      </c>
      <c r="I98" s="32"/>
      <c r="J98" s="32"/>
      <c r="K98" s="39" t="s">
        <v>757</v>
      </c>
      <c r="L98" s="39">
        <v>500000</v>
      </c>
      <c r="M98" s="32" t="s">
        <v>114</v>
      </c>
      <c r="N98" s="39" t="s">
        <v>758</v>
      </c>
      <c r="O98" s="39" t="s">
        <v>759</v>
      </c>
      <c r="P98" s="39"/>
      <c r="Q98" s="42">
        <v>0.37</v>
      </c>
      <c r="R98" s="47">
        <f t="shared" si="22"/>
        <v>41070</v>
      </c>
      <c r="S98" s="48"/>
      <c r="T98" s="48">
        <f t="shared" si="23"/>
        <v>111000</v>
      </c>
      <c r="U98" s="39">
        <v>0</v>
      </c>
      <c r="V98" s="39">
        <v>0</v>
      </c>
      <c r="W98" s="39">
        <v>0</v>
      </c>
      <c r="X98" s="39">
        <v>0</v>
      </c>
      <c r="Y98" s="39">
        <v>1</v>
      </c>
      <c r="Z98" s="39">
        <v>3000</v>
      </c>
      <c r="AA98" s="39">
        <v>18000</v>
      </c>
      <c r="AB98" s="39">
        <v>18000</v>
      </c>
      <c r="AC98" s="39">
        <v>18000</v>
      </c>
      <c r="AD98" s="39">
        <v>18000</v>
      </c>
      <c r="AE98" s="39">
        <v>18000</v>
      </c>
      <c r="AF98" s="39">
        <v>18000</v>
      </c>
      <c r="AG98" s="31">
        <v>0</v>
      </c>
      <c r="AH98" s="31">
        <v>0</v>
      </c>
      <c r="AI98" s="31">
        <v>0</v>
      </c>
      <c r="AJ98" s="31">
        <v>0</v>
      </c>
      <c r="AK98" s="31"/>
      <c r="AL98" s="31"/>
      <c r="AM98" s="31"/>
      <c r="AN98" s="31"/>
      <c r="AO98" s="31"/>
      <c r="AP98" s="31"/>
      <c r="AQ98" s="31"/>
      <c r="AR98" s="31"/>
      <c r="AS98" s="31"/>
      <c r="AT98" s="30" t="s">
        <v>116</v>
      </c>
      <c r="AU98" s="30" t="s">
        <v>81</v>
      </c>
      <c r="AV98" s="31" t="s">
        <v>117</v>
      </c>
      <c r="AW98" s="31" t="s">
        <v>118</v>
      </c>
      <c r="AX98" s="31" t="s">
        <v>760</v>
      </c>
      <c r="AY98" s="31" t="s">
        <v>761</v>
      </c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63">
        <f t="shared" si="31"/>
        <v>0.37</v>
      </c>
      <c r="BM98" s="63">
        <f t="shared" si="24"/>
        <v>1110</v>
      </c>
      <c r="BN98" s="63">
        <f t="shared" si="25"/>
        <v>6660</v>
      </c>
      <c r="BO98" s="63">
        <f t="shared" si="26"/>
        <v>6660</v>
      </c>
      <c r="BP98" s="63">
        <f t="shared" si="27"/>
        <v>6660</v>
      </c>
      <c r="BQ98" s="63">
        <f t="shared" si="28"/>
        <v>6660</v>
      </c>
      <c r="BR98" s="63">
        <f t="shared" si="29"/>
        <v>6660</v>
      </c>
      <c r="BS98" s="63">
        <f t="shared" si="30"/>
        <v>6660</v>
      </c>
    </row>
    <row r="99" spans="1:71">
      <c r="A99" s="28">
        <f t="shared" si="21"/>
        <v>98</v>
      </c>
      <c r="B99" s="31" t="s">
        <v>755</v>
      </c>
      <c r="C99" s="31" t="s">
        <v>72</v>
      </c>
      <c r="D99" s="31" t="s">
        <v>601</v>
      </c>
      <c r="E99" s="31" t="s">
        <v>756</v>
      </c>
      <c r="F99" s="31" t="s">
        <v>602</v>
      </c>
      <c r="G99" s="32" t="s">
        <v>299</v>
      </c>
      <c r="H99" s="35" t="s">
        <v>300</v>
      </c>
      <c r="I99" s="32"/>
      <c r="J99" s="32"/>
      <c r="K99" s="39" t="s">
        <v>762</v>
      </c>
      <c r="L99" s="39">
        <v>100000</v>
      </c>
      <c r="M99" s="32" t="s">
        <v>57</v>
      </c>
      <c r="N99" s="39" t="s">
        <v>763</v>
      </c>
      <c r="O99" s="39" t="s">
        <v>764</v>
      </c>
      <c r="P99" s="39"/>
      <c r="Q99" s="42">
        <v>0.776</v>
      </c>
      <c r="R99" s="47">
        <f t="shared" si="22"/>
        <v>356960</v>
      </c>
      <c r="S99" s="48"/>
      <c r="T99" s="48">
        <f t="shared" si="23"/>
        <v>460000</v>
      </c>
      <c r="U99" s="39">
        <v>0</v>
      </c>
      <c r="V99" s="39">
        <v>0</v>
      </c>
      <c r="W99" s="39">
        <v>0</v>
      </c>
      <c r="X99" s="39">
        <v>0</v>
      </c>
      <c r="Y99" s="39">
        <v>0</v>
      </c>
      <c r="Z99" s="39">
        <v>40000</v>
      </c>
      <c r="AA99" s="39">
        <v>60000</v>
      </c>
      <c r="AB99" s="39">
        <v>80000</v>
      </c>
      <c r="AC99" s="39">
        <v>70000</v>
      </c>
      <c r="AD99" s="39">
        <v>70000</v>
      </c>
      <c r="AE99" s="39">
        <v>70000</v>
      </c>
      <c r="AF99" s="39">
        <v>70000</v>
      </c>
      <c r="AG99" s="31">
        <v>0</v>
      </c>
      <c r="AH99" s="31">
        <v>0</v>
      </c>
      <c r="AI99" s="31">
        <v>0</v>
      </c>
      <c r="AJ99" s="31">
        <v>0</v>
      </c>
      <c r="AK99" s="31"/>
      <c r="AL99" s="31"/>
      <c r="AM99" s="31"/>
      <c r="AN99" s="31"/>
      <c r="AO99" s="31"/>
      <c r="AP99" s="31"/>
      <c r="AQ99" s="31"/>
      <c r="AR99" s="31"/>
      <c r="AS99" s="31"/>
      <c r="AT99" s="30" t="s">
        <v>116</v>
      </c>
      <c r="AU99" s="30" t="s">
        <v>81</v>
      </c>
      <c r="AV99" s="31" t="s">
        <v>117</v>
      </c>
      <c r="AW99" s="31" t="s">
        <v>143</v>
      </c>
      <c r="AX99" s="31" t="s">
        <v>144</v>
      </c>
      <c r="AY99" s="31" t="s">
        <v>765</v>
      </c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63">
        <f t="shared" si="31"/>
        <v>0</v>
      </c>
      <c r="BM99" s="63">
        <f t="shared" si="24"/>
        <v>31040</v>
      </c>
      <c r="BN99" s="63">
        <f t="shared" si="25"/>
        <v>46560</v>
      </c>
      <c r="BO99" s="63">
        <f t="shared" si="26"/>
        <v>62080</v>
      </c>
      <c r="BP99" s="63">
        <f t="shared" si="27"/>
        <v>54320</v>
      </c>
      <c r="BQ99" s="63">
        <f t="shared" si="28"/>
        <v>54320</v>
      </c>
      <c r="BR99" s="63">
        <f t="shared" si="29"/>
        <v>54320</v>
      </c>
      <c r="BS99" s="63">
        <f t="shared" si="30"/>
        <v>54320</v>
      </c>
    </row>
    <row r="100" spans="1:71">
      <c r="A100" s="28">
        <f t="shared" si="21"/>
        <v>99</v>
      </c>
      <c r="B100" s="31" t="s">
        <v>766</v>
      </c>
      <c r="C100" s="31" t="s">
        <v>92</v>
      </c>
      <c r="D100" s="31" t="s">
        <v>601</v>
      </c>
      <c r="E100" s="31" t="s">
        <v>756</v>
      </c>
      <c r="F100" s="31" t="s">
        <v>602</v>
      </c>
      <c r="G100" s="65" t="s">
        <v>441</v>
      </c>
      <c r="H100" s="35" t="s">
        <v>442</v>
      </c>
      <c r="I100" s="32"/>
      <c r="J100" s="32"/>
      <c r="K100" s="39" t="s">
        <v>688</v>
      </c>
      <c r="L100" s="39" t="s">
        <v>767</v>
      </c>
      <c r="M100" s="32" t="s">
        <v>79</v>
      </c>
      <c r="N100" s="39" t="s">
        <v>768</v>
      </c>
      <c r="O100" s="39"/>
      <c r="P100" s="39"/>
      <c r="Q100" s="42">
        <v>1.55</v>
      </c>
      <c r="R100" s="47">
        <f t="shared" si="22"/>
        <v>759500</v>
      </c>
      <c r="S100" s="48"/>
      <c r="T100" s="48">
        <f t="shared" si="23"/>
        <v>490000</v>
      </c>
      <c r="U100" s="39">
        <v>70000</v>
      </c>
      <c r="V100" s="39">
        <v>70000</v>
      </c>
      <c r="W100" s="39">
        <v>70000</v>
      </c>
      <c r="X100" s="39">
        <v>70000</v>
      </c>
      <c r="Y100" s="39">
        <v>70000</v>
      </c>
      <c r="Z100" s="39">
        <v>70000</v>
      </c>
      <c r="AA100" s="39">
        <v>70000</v>
      </c>
      <c r="AB100" s="39">
        <v>70000</v>
      </c>
      <c r="AC100" s="39">
        <v>70000</v>
      </c>
      <c r="AD100" s="39">
        <v>70000</v>
      </c>
      <c r="AE100" s="39">
        <v>70000</v>
      </c>
      <c r="AF100" s="39">
        <v>70000</v>
      </c>
      <c r="AG100" s="31">
        <v>0</v>
      </c>
      <c r="AH100" s="31">
        <v>0</v>
      </c>
      <c r="AI100" s="31">
        <v>0</v>
      </c>
      <c r="AJ100" s="31">
        <v>0</v>
      </c>
      <c r="AK100" s="31"/>
      <c r="AL100" s="31"/>
      <c r="AM100" s="31"/>
      <c r="AN100" s="31"/>
      <c r="AO100" s="31"/>
      <c r="AP100" s="31"/>
      <c r="AQ100" s="31"/>
      <c r="AR100" s="31"/>
      <c r="AS100" s="31"/>
      <c r="AT100" s="30" t="s">
        <v>116</v>
      </c>
      <c r="AU100" s="30" t="s">
        <v>688</v>
      </c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63">
        <f t="shared" si="31"/>
        <v>108500</v>
      </c>
      <c r="BM100" s="63">
        <f t="shared" si="24"/>
        <v>108500</v>
      </c>
      <c r="BN100" s="63">
        <f t="shared" si="25"/>
        <v>108500</v>
      </c>
      <c r="BO100" s="63">
        <f t="shared" si="26"/>
        <v>108500</v>
      </c>
      <c r="BP100" s="63">
        <f t="shared" si="27"/>
        <v>108500</v>
      </c>
      <c r="BQ100" s="63">
        <f t="shared" si="28"/>
        <v>108500</v>
      </c>
      <c r="BR100" s="63">
        <f t="shared" si="29"/>
        <v>108500</v>
      </c>
      <c r="BS100" s="63">
        <f t="shared" si="30"/>
        <v>108500</v>
      </c>
    </row>
    <row r="101" spans="1:71">
      <c r="A101" s="28">
        <f t="shared" si="21"/>
        <v>100</v>
      </c>
      <c r="B101" s="31" t="s">
        <v>766</v>
      </c>
      <c r="C101" s="31" t="s">
        <v>92</v>
      </c>
      <c r="D101" s="31" t="s">
        <v>601</v>
      </c>
      <c r="E101" s="31" t="s">
        <v>756</v>
      </c>
      <c r="F101" s="31" t="s">
        <v>602</v>
      </c>
      <c r="G101" s="32" t="s">
        <v>452</v>
      </c>
      <c r="H101" s="35" t="s">
        <v>454</v>
      </c>
      <c r="I101" s="32"/>
      <c r="J101" s="32"/>
      <c r="K101" s="39" t="s">
        <v>688</v>
      </c>
      <c r="L101" s="39" t="s">
        <v>769</v>
      </c>
      <c r="M101" s="32" t="s">
        <v>79</v>
      </c>
      <c r="N101" s="39" t="s">
        <v>770</v>
      </c>
      <c r="O101" s="39"/>
      <c r="P101" s="39"/>
      <c r="Q101" s="42">
        <v>2.25</v>
      </c>
      <c r="R101" s="47">
        <f t="shared" si="22"/>
        <v>47250</v>
      </c>
      <c r="S101" s="48"/>
      <c r="T101" s="48">
        <f t="shared" si="23"/>
        <v>21000</v>
      </c>
      <c r="U101" s="39">
        <v>3000</v>
      </c>
      <c r="V101" s="39">
        <v>3000</v>
      </c>
      <c r="W101" s="39">
        <v>3000</v>
      </c>
      <c r="X101" s="39">
        <v>3000</v>
      </c>
      <c r="Y101" s="39">
        <v>3000</v>
      </c>
      <c r="Z101" s="39">
        <v>3000</v>
      </c>
      <c r="AA101" s="39">
        <v>3000</v>
      </c>
      <c r="AB101" s="39">
        <v>3000</v>
      </c>
      <c r="AC101" s="39">
        <v>3000</v>
      </c>
      <c r="AD101" s="39">
        <v>3000</v>
      </c>
      <c r="AE101" s="39">
        <v>3000</v>
      </c>
      <c r="AF101" s="39">
        <v>3000</v>
      </c>
      <c r="AG101" s="31">
        <v>0</v>
      </c>
      <c r="AH101" s="31">
        <v>0</v>
      </c>
      <c r="AI101" s="31">
        <v>0</v>
      </c>
      <c r="AJ101" s="31">
        <v>15000</v>
      </c>
      <c r="AK101" s="31"/>
      <c r="AL101" s="31"/>
      <c r="AM101" s="31"/>
      <c r="AN101" s="31"/>
      <c r="AO101" s="31"/>
      <c r="AP101" s="31"/>
      <c r="AQ101" s="31"/>
      <c r="AR101" s="31"/>
      <c r="AS101" s="31"/>
      <c r="AT101" s="30" t="s">
        <v>116</v>
      </c>
      <c r="AU101" s="30" t="s">
        <v>688</v>
      </c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63">
        <f t="shared" si="31"/>
        <v>6750</v>
      </c>
      <c r="BM101" s="63">
        <f t="shared" si="24"/>
        <v>6750</v>
      </c>
      <c r="BN101" s="63">
        <f t="shared" si="25"/>
        <v>6750</v>
      </c>
      <c r="BO101" s="63">
        <f t="shared" si="26"/>
        <v>6750</v>
      </c>
      <c r="BP101" s="63">
        <f t="shared" si="27"/>
        <v>6750</v>
      </c>
      <c r="BQ101" s="63">
        <f t="shared" si="28"/>
        <v>6750</v>
      </c>
      <c r="BR101" s="63">
        <f t="shared" si="29"/>
        <v>6750</v>
      </c>
      <c r="BS101" s="63">
        <f t="shared" si="30"/>
        <v>6750</v>
      </c>
    </row>
    <row r="102" spans="1:71">
      <c r="A102" s="28">
        <f t="shared" si="21"/>
        <v>101</v>
      </c>
      <c r="B102" s="31" t="s">
        <v>766</v>
      </c>
      <c r="C102" s="31" t="s">
        <v>92</v>
      </c>
      <c r="D102" s="31" t="s">
        <v>601</v>
      </c>
      <c r="E102" s="31" t="s">
        <v>756</v>
      </c>
      <c r="F102" s="31" t="s">
        <v>602</v>
      </c>
      <c r="G102" s="32" t="s">
        <v>431</v>
      </c>
      <c r="H102" s="35" t="s">
        <v>432</v>
      </c>
      <c r="I102" s="32"/>
      <c r="J102" s="32"/>
      <c r="K102" s="39" t="s">
        <v>688</v>
      </c>
      <c r="L102" s="39" t="s">
        <v>771</v>
      </c>
      <c r="M102" s="32" t="s">
        <v>79</v>
      </c>
      <c r="N102" s="39" t="s">
        <v>772</v>
      </c>
      <c r="O102" s="39"/>
      <c r="P102" s="39"/>
      <c r="Q102" s="42">
        <v>2.1</v>
      </c>
      <c r="R102" s="47">
        <f t="shared" si="22"/>
        <v>14700</v>
      </c>
      <c r="S102" s="48"/>
      <c r="T102" s="48">
        <f t="shared" si="23"/>
        <v>7000</v>
      </c>
      <c r="U102" s="39">
        <v>1000</v>
      </c>
      <c r="V102" s="39">
        <v>1000</v>
      </c>
      <c r="W102" s="39">
        <v>1000</v>
      </c>
      <c r="X102" s="39">
        <v>1000</v>
      </c>
      <c r="Y102" s="39">
        <v>1000</v>
      </c>
      <c r="Z102" s="39">
        <v>1000</v>
      </c>
      <c r="AA102" s="39">
        <v>1000</v>
      </c>
      <c r="AB102" s="39">
        <v>1000</v>
      </c>
      <c r="AC102" s="39">
        <v>1000</v>
      </c>
      <c r="AD102" s="39">
        <v>1000</v>
      </c>
      <c r="AE102" s="39">
        <v>1000</v>
      </c>
      <c r="AF102" s="39">
        <v>1000</v>
      </c>
      <c r="AG102" s="31">
        <v>0</v>
      </c>
      <c r="AH102" s="31">
        <v>0</v>
      </c>
      <c r="AI102" s="31">
        <v>0</v>
      </c>
      <c r="AJ102" s="31">
        <v>0</v>
      </c>
      <c r="AK102" s="31"/>
      <c r="AL102" s="31"/>
      <c r="AM102" s="31"/>
      <c r="AN102" s="31"/>
      <c r="AO102" s="31"/>
      <c r="AP102" s="31"/>
      <c r="AQ102" s="31"/>
      <c r="AR102" s="31"/>
      <c r="AS102" s="31"/>
      <c r="AT102" s="30" t="s">
        <v>116</v>
      </c>
      <c r="AU102" s="30" t="s">
        <v>688</v>
      </c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63">
        <f t="shared" si="31"/>
        <v>2100</v>
      </c>
      <c r="BM102" s="63">
        <f t="shared" si="24"/>
        <v>2100</v>
      </c>
      <c r="BN102" s="63">
        <f t="shared" si="25"/>
        <v>2100</v>
      </c>
      <c r="BO102" s="63">
        <f t="shared" si="26"/>
        <v>2100</v>
      </c>
      <c r="BP102" s="63">
        <f t="shared" si="27"/>
        <v>2100</v>
      </c>
      <c r="BQ102" s="63">
        <f t="shared" si="28"/>
        <v>2100</v>
      </c>
      <c r="BR102" s="63">
        <f t="shared" si="29"/>
        <v>2100</v>
      </c>
      <c r="BS102" s="63">
        <f t="shared" si="30"/>
        <v>2100</v>
      </c>
    </row>
    <row r="103" spans="1:71">
      <c r="A103" s="28">
        <f t="shared" si="21"/>
        <v>102</v>
      </c>
      <c r="B103" s="31" t="s">
        <v>766</v>
      </c>
      <c r="C103" s="31" t="s">
        <v>92</v>
      </c>
      <c r="D103" s="31" t="s">
        <v>601</v>
      </c>
      <c r="E103" s="31" t="s">
        <v>756</v>
      </c>
      <c r="F103" s="31" t="s">
        <v>602</v>
      </c>
      <c r="G103" s="32" t="s">
        <v>423</v>
      </c>
      <c r="H103" s="35" t="s">
        <v>426</v>
      </c>
      <c r="I103" s="32"/>
      <c r="J103" s="32"/>
      <c r="K103" s="39"/>
      <c r="L103" s="39"/>
      <c r="M103" s="32"/>
      <c r="N103" s="39"/>
      <c r="O103" s="39"/>
      <c r="P103" s="39"/>
      <c r="Q103" s="66">
        <v>1.95</v>
      </c>
      <c r="R103" s="47">
        <f t="shared" si="22"/>
        <v>13650</v>
      </c>
      <c r="S103" s="48"/>
      <c r="T103" s="48">
        <f t="shared" si="23"/>
        <v>7000</v>
      </c>
      <c r="U103" s="39"/>
      <c r="V103" s="39"/>
      <c r="W103" s="39"/>
      <c r="X103" s="39"/>
      <c r="Y103" s="39"/>
      <c r="Z103" s="39">
        <v>1000</v>
      </c>
      <c r="AA103" s="39">
        <v>1000</v>
      </c>
      <c r="AB103" s="39">
        <v>1000</v>
      </c>
      <c r="AC103" s="39">
        <v>1000</v>
      </c>
      <c r="AD103" s="39">
        <v>1000</v>
      </c>
      <c r="AE103" s="39">
        <v>1000</v>
      </c>
      <c r="AF103" s="39">
        <v>1000</v>
      </c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0" t="s">
        <v>116</v>
      </c>
      <c r="AU103" s="30" t="s">
        <v>688</v>
      </c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63"/>
      <c r="BM103" s="63">
        <f t="shared" si="24"/>
        <v>1950</v>
      </c>
      <c r="BN103" s="63">
        <f t="shared" si="25"/>
        <v>1950</v>
      </c>
      <c r="BO103" s="63">
        <f t="shared" si="26"/>
        <v>1950</v>
      </c>
      <c r="BP103" s="63">
        <f t="shared" si="27"/>
        <v>1950</v>
      </c>
      <c r="BQ103" s="63">
        <f t="shared" si="28"/>
        <v>1950</v>
      </c>
      <c r="BR103" s="63">
        <f t="shared" si="29"/>
        <v>1950</v>
      </c>
      <c r="BS103" s="63">
        <f t="shared" si="30"/>
        <v>1950</v>
      </c>
    </row>
    <row r="104" spans="1:71">
      <c r="A104" s="28">
        <f t="shared" si="21"/>
        <v>103</v>
      </c>
      <c r="B104" s="31" t="s">
        <v>766</v>
      </c>
      <c r="C104" s="31" t="s">
        <v>92</v>
      </c>
      <c r="D104" s="31" t="s">
        <v>601</v>
      </c>
      <c r="E104" s="31" t="s">
        <v>756</v>
      </c>
      <c r="F104" s="31" t="s">
        <v>602</v>
      </c>
      <c r="G104" s="32" t="s">
        <v>475</v>
      </c>
      <c r="H104" s="35" t="s">
        <v>476</v>
      </c>
      <c r="I104" s="32"/>
      <c r="J104" s="32"/>
      <c r="K104" s="39"/>
      <c r="L104" s="39"/>
      <c r="M104" s="32"/>
      <c r="N104" s="39"/>
      <c r="O104" s="39"/>
      <c r="P104" s="39"/>
      <c r="Q104" s="42"/>
      <c r="R104" s="47">
        <f t="shared" si="22"/>
        <v>0</v>
      </c>
      <c r="S104" s="48"/>
      <c r="T104" s="48">
        <f t="shared" si="23"/>
        <v>0</v>
      </c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0" t="s">
        <v>116</v>
      </c>
      <c r="AU104" s="30" t="s">
        <v>688</v>
      </c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63"/>
      <c r="BM104" s="63">
        <f t="shared" si="24"/>
        <v>0</v>
      </c>
      <c r="BN104" s="63">
        <f t="shared" si="25"/>
        <v>0</v>
      </c>
      <c r="BO104" s="63">
        <f t="shared" si="26"/>
        <v>0</v>
      </c>
      <c r="BP104" s="63">
        <f t="shared" si="27"/>
        <v>0</v>
      </c>
      <c r="BQ104" s="63">
        <f t="shared" si="28"/>
        <v>0</v>
      </c>
      <c r="BR104" s="63">
        <f t="shared" si="29"/>
        <v>0</v>
      </c>
      <c r="BS104" s="63">
        <f t="shared" si="30"/>
        <v>0</v>
      </c>
    </row>
    <row r="105" spans="1:71">
      <c r="A105" s="28">
        <f t="shared" si="21"/>
        <v>104</v>
      </c>
      <c r="B105" s="31" t="s">
        <v>773</v>
      </c>
      <c r="C105" s="31" t="s">
        <v>92</v>
      </c>
      <c r="D105" s="31" t="s">
        <v>691</v>
      </c>
      <c r="E105" s="31" t="s">
        <v>756</v>
      </c>
      <c r="F105" s="31" t="s">
        <v>774</v>
      </c>
      <c r="G105" s="32" t="s">
        <v>452</v>
      </c>
      <c r="H105" s="35" t="s">
        <v>453</v>
      </c>
      <c r="I105" s="32"/>
      <c r="J105" s="32"/>
      <c r="K105" s="39" t="s">
        <v>745</v>
      </c>
      <c r="L105" s="39">
        <v>5000000</v>
      </c>
      <c r="M105" s="32" t="s">
        <v>79</v>
      </c>
      <c r="N105" s="39" t="s">
        <v>775</v>
      </c>
      <c r="O105" s="39"/>
      <c r="P105" s="39"/>
      <c r="Q105" s="42">
        <v>2.18</v>
      </c>
      <c r="R105" s="47">
        <f t="shared" si="22"/>
        <v>1220800</v>
      </c>
      <c r="S105" s="48"/>
      <c r="T105" s="48">
        <f t="shared" si="23"/>
        <v>560000</v>
      </c>
      <c r="U105" s="39">
        <v>80000</v>
      </c>
      <c r="V105" s="39">
        <v>80000</v>
      </c>
      <c r="W105" s="39">
        <v>80000</v>
      </c>
      <c r="X105" s="39">
        <v>80000</v>
      </c>
      <c r="Y105" s="39">
        <v>80000</v>
      </c>
      <c r="Z105" s="39">
        <v>80000</v>
      </c>
      <c r="AA105" s="39">
        <v>80000</v>
      </c>
      <c r="AB105" s="39">
        <v>80000</v>
      </c>
      <c r="AC105" s="39">
        <v>80000</v>
      </c>
      <c r="AD105" s="39">
        <v>80000</v>
      </c>
      <c r="AE105" s="39">
        <v>80000</v>
      </c>
      <c r="AF105" s="39">
        <v>80000</v>
      </c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0" t="s">
        <v>116</v>
      </c>
      <c r="AU105" s="30" t="s">
        <v>688</v>
      </c>
      <c r="AV105" s="31"/>
      <c r="AW105" s="31"/>
      <c r="AX105" s="31"/>
      <c r="AY105" s="31"/>
      <c r="AZ105" s="31" t="s">
        <v>776</v>
      </c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63">
        <f t="shared" si="31"/>
        <v>174400</v>
      </c>
      <c r="BM105" s="63">
        <f t="shared" si="24"/>
        <v>174400</v>
      </c>
      <c r="BN105" s="63">
        <f t="shared" si="25"/>
        <v>174400</v>
      </c>
      <c r="BO105" s="63">
        <f t="shared" si="26"/>
        <v>174400</v>
      </c>
      <c r="BP105" s="63">
        <f t="shared" si="27"/>
        <v>174400</v>
      </c>
      <c r="BQ105" s="63">
        <f t="shared" si="28"/>
        <v>174400</v>
      </c>
      <c r="BR105" s="63">
        <f t="shared" si="29"/>
        <v>174400</v>
      </c>
      <c r="BS105" s="63">
        <f t="shared" si="30"/>
        <v>174400</v>
      </c>
    </row>
    <row r="106" spans="1:71">
      <c r="A106" s="28">
        <f t="shared" si="21"/>
        <v>105</v>
      </c>
      <c r="B106" s="31" t="s">
        <v>773</v>
      </c>
      <c r="C106" s="31" t="s">
        <v>92</v>
      </c>
      <c r="D106" s="31" t="s">
        <v>691</v>
      </c>
      <c r="E106" s="31" t="s">
        <v>756</v>
      </c>
      <c r="F106" s="31" t="s">
        <v>774</v>
      </c>
      <c r="G106" s="32" t="s">
        <v>443</v>
      </c>
      <c r="H106" s="35" t="s">
        <v>444</v>
      </c>
      <c r="I106" s="32"/>
      <c r="J106" s="32"/>
      <c r="K106" s="39"/>
      <c r="L106" s="39"/>
      <c r="M106" s="32"/>
      <c r="N106" s="39"/>
      <c r="O106" s="39"/>
      <c r="P106" s="39"/>
      <c r="Q106" s="66">
        <v>1.6</v>
      </c>
      <c r="R106" s="47">
        <f t="shared" si="22"/>
        <v>240000</v>
      </c>
      <c r="S106" s="48"/>
      <c r="T106" s="48">
        <f t="shared" si="23"/>
        <v>150000</v>
      </c>
      <c r="U106" s="39"/>
      <c r="V106" s="39"/>
      <c r="W106" s="39"/>
      <c r="X106" s="39"/>
      <c r="Y106" s="39"/>
      <c r="Z106" s="39">
        <v>30000</v>
      </c>
      <c r="AA106" s="39">
        <v>20000</v>
      </c>
      <c r="AB106" s="39">
        <v>20000</v>
      </c>
      <c r="AC106" s="39">
        <v>20000</v>
      </c>
      <c r="AD106" s="39">
        <v>20000</v>
      </c>
      <c r="AE106" s="39">
        <v>20000</v>
      </c>
      <c r="AF106" s="39">
        <v>20000</v>
      </c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0" t="s">
        <v>116</v>
      </c>
      <c r="AU106" s="30" t="s">
        <v>688</v>
      </c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63"/>
      <c r="BM106" s="63">
        <f t="shared" si="24"/>
        <v>48000</v>
      </c>
      <c r="BN106" s="63">
        <f t="shared" si="25"/>
        <v>32000</v>
      </c>
      <c r="BO106" s="63">
        <f t="shared" si="26"/>
        <v>32000</v>
      </c>
      <c r="BP106" s="63">
        <f t="shared" si="27"/>
        <v>32000</v>
      </c>
      <c r="BQ106" s="63">
        <f t="shared" si="28"/>
        <v>32000</v>
      </c>
      <c r="BR106" s="63">
        <f t="shared" si="29"/>
        <v>32000</v>
      </c>
      <c r="BS106" s="63">
        <f t="shared" si="30"/>
        <v>32000</v>
      </c>
    </row>
    <row r="107" spans="1:71">
      <c r="A107" s="28">
        <f t="shared" si="21"/>
        <v>106</v>
      </c>
      <c r="B107" s="31" t="s">
        <v>777</v>
      </c>
      <c r="C107" s="31" t="s">
        <v>72</v>
      </c>
      <c r="D107" s="31" t="s">
        <v>778</v>
      </c>
      <c r="E107" s="31" t="s">
        <v>756</v>
      </c>
      <c r="F107" s="31" t="s">
        <v>779</v>
      </c>
      <c r="G107" s="32" t="s">
        <v>393</v>
      </c>
      <c r="H107" s="35" t="s">
        <v>394</v>
      </c>
      <c r="I107" s="32"/>
      <c r="J107" s="32"/>
      <c r="K107" s="39" t="s">
        <v>697</v>
      </c>
      <c r="L107" s="39">
        <v>100000</v>
      </c>
      <c r="M107" s="32" t="s">
        <v>79</v>
      </c>
      <c r="N107" s="39" t="s">
        <v>780</v>
      </c>
      <c r="O107" s="39" t="s">
        <v>781</v>
      </c>
      <c r="P107" s="39"/>
      <c r="Q107" s="42">
        <v>2.72</v>
      </c>
      <c r="R107" s="47">
        <f t="shared" si="22"/>
        <v>190400</v>
      </c>
      <c r="S107" s="48"/>
      <c r="T107" s="48">
        <f t="shared" si="23"/>
        <v>70000</v>
      </c>
      <c r="U107" s="39">
        <v>0</v>
      </c>
      <c r="V107" s="39">
        <v>4100</v>
      </c>
      <c r="W107" s="39">
        <v>10000</v>
      </c>
      <c r="X107" s="39">
        <v>0</v>
      </c>
      <c r="Y107" s="39">
        <v>10000</v>
      </c>
      <c r="Z107" s="39">
        <v>0</v>
      </c>
      <c r="AA107" s="39">
        <v>10000</v>
      </c>
      <c r="AB107" s="39">
        <v>0</v>
      </c>
      <c r="AC107" s="39">
        <v>20000</v>
      </c>
      <c r="AD107" s="39">
        <v>0</v>
      </c>
      <c r="AE107" s="39">
        <v>20000</v>
      </c>
      <c r="AF107" s="39">
        <v>20000</v>
      </c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0" t="s">
        <v>116</v>
      </c>
      <c r="AU107" s="30" t="s">
        <v>545</v>
      </c>
      <c r="AV107" s="31" t="s">
        <v>117</v>
      </c>
      <c r="AW107" s="31" t="s">
        <v>546</v>
      </c>
      <c r="AX107" s="31" t="s">
        <v>782</v>
      </c>
      <c r="AY107" s="31" t="s">
        <v>783</v>
      </c>
      <c r="AZ107" s="31"/>
      <c r="BA107" s="31"/>
      <c r="BB107" s="31"/>
      <c r="BC107" s="31">
        <v>1</v>
      </c>
      <c r="BD107" s="31"/>
      <c r="BE107" s="31"/>
      <c r="BF107" s="31"/>
      <c r="BG107" s="31"/>
      <c r="BH107" s="31"/>
      <c r="BI107" s="31"/>
      <c r="BJ107" s="31"/>
      <c r="BK107" s="31"/>
      <c r="BL107" s="63">
        <f t="shared" si="31"/>
        <v>27200</v>
      </c>
      <c r="BM107" s="63">
        <f t="shared" si="24"/>
        <v>0</v>
      </c>
      <c r="BN107" s="63">
        <f t="shared" si="25"/>
        <v>27200</v>
      </c>
      <c r="BO107" s="63">
        <f t="shared" si="26"/>
        <v>0</v>
      </c>
      <c r="BP107" s="63">
        <f t="shared" si="27"/>
        <v>54400</v>
      </c>
      <c r="BQ107" s="63">
        <f t="shared" si="28"/>
        <v>0</v>
      </c>
      <c r="BR107" s="63">
        <f t="shared" si="29"/>
        <v>54400</v>
      </c>
      <c r="BS107" s="63">
        <f t="shared" si="30"/>
        <v>54400</v>
      </c>
    </row>
    <row r="108" spans="1:71">
      <c r="A108" s="28">
        <f t="shared" si="21"/>
        <v>107</v>
      </c>
      <c r="B108" s="31" t="s">
        <v>784</v>
      </c>
      <c r="C108" s="31" t="s">
        <v>72</v>
      </c>
      <c r="D108" s="31" t="s">
        <v>778</v>
      </c>
      <c r="E108" s="31" t="s">
        <v>756</v>
      </c>
      <c r="F108" s="31" t="s">
        <v>779</v>
      </c>
      <c r="G108" s="65" t="s">
        <v>501</v>
      </c>
      <c r="H108" s="35"/>
      <c r="I108" s="32"/>
      <c r="J108" s="32"/>
      <c r="K108" s="39" t="s">
        <v>785</v>
      </c>
      <c r="L108" s="39" t="s">
        <v>115</v>
      </c>
      <c r="M108" s="32" t="s">
        <v>56</v>
      </c>
      <c r="N108" s="39" t="s">
        <v>786</v>
      </c>
      <c r="O108" s="39" t="s">
        <v>787</v>
      </c>
      <c r="P108" s="39">
        <v>0.6</v>
      </c>
      <c r="Q108" s="42">
        <v>2.19</v>
      </c>
      <c r="R108" s="47">
        <f t="shared" si="22"/>
        <v>6570</v>
      </c>
      <c r="S108" s="48"/>
      <c r="T108" s="48">
        <f t="shared" si="23"/>
        <v>3000</v>
      </c>
      <c r="U108" s="39">
        <v>0</v>
      </c>
      <c r="V108" s="39">
        <v>0</v>
      </c>
      <c r="W108" s="39">
        <v>0</v>
      </c>
      <c r="X108" s="39">
        <v>0</v>
      </c>
      <c r="Y108" s="39">
        <v>0</v>
      </c>
      <c r="Z108" s="39">
        <v>0</v>
      </c>
      <c r="AA108" s="39">
        <v>0</v>
      </c>
      <c r="AB108" s="39">
        <v>0</v>
      </c>
      <c r="AC108" s="39">
        <v>0</v>
      </c>
      <c r="AD108" s="39">
        <v>0</v>
      </c>
      <c r="AE108" s="39">
        <v>0</v>
      </c>
      <c r="AF108" s="39">
        <v>3000</v>
      </c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0" t="s">
        <v>116</v>
      </c>
      <c r="AU108" s="30" t="s">
        <v>788</v>
      </c>
      <c r="AV108" s="31" t="s">
        <v>789</v>
      </c>
      <c r="AW108" s="31" t="s">
        <v>790</v>
      </c>
      <c r="AX108" s="31" t="s">
        <v>791</v>
      </c>
      <c r="AY108" s="31" t="s">
        <v>792</v>
      </c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63">
        <f t="shared" si="31"/>
        <v>0</v>
      </c>
      <c r="BM108" s="63">
        <f t="shared" si="24"/>
        <v>0</v>
      </c>
      <c r="BN108" s="63">
        <f t="shared" si="25"/>
        <v>0</v>
      </c>
      <c r="BO108" s="63">
        <f t="shared" si="26"/>
        <v>0</v>
      </c>
      <c r="BP108" s="63">
        <f t="shared" si="27"/>
        <v>0</v>
      </c>
      <c r="BQ108" s="63">
        <f t="shared" si="28"/>
        <v>0</v>
      </c>
      <c r="BR108" s="63">
        <f t="shared" si="29"/>
        <v>0</v>
      </c>
      <c r="BS108" s="63">
        <f t="shared" si="30"/>
        <v>6570</v>
      </c>
    </row>
    <row r="109" spans="1:71">
      <c r="A109" s="28">
        <f t="shared" si="21"/>
        <v>108</v>
      </c>
      <c r="B109" s="31" t="s">
        <v>793</v>
      </c>
      <c r="C109" s="31" t="s">
        <v>92</v>
      </c>
      <c r="D109" s="31" t="s">
        <v>794</v>
      </c>
      <c r="E109" s="31" t="s">
        <v>756</v>
      </c>
      <c r="F109" s="31" t="s">
        <v>795</v>
      </c>
      <c r="G109" s="32" t="s">
        <v>276</v>
      </c>
      <c r="H109" s="35" t="s">
        <v>277</v>
      </c>
      <c r="I109" s="32"/>
      <c r="J109" s="32"/>
      <c r="K109" s="39" t="s">
        <v>145</v>
      </c>
      <c r="L109" s="39">
        <v>300000</v>
      </c>
      <c r="M109" s="32" t="s">
        <v>79</v>
      </c>
      <c r="N109" s="39" t="s">
        <v>796</v>
      </c>
      <c r="O109" s="39" t="s">
        <v>797</v>
      </c>
      <c r="P109" s="39"/>
      <c r="Q109" s="42">
        <v>0.475</v>
      </c>
      <c r="R109" s="47">
        <f t="shared" si="22"/>
        <v>45575.3</v>
      </c>
      <c r="S109" s="48"/>
      <c r="T109" s="48">
        <f t="shared" si="23"/>
        <v>95948</v>
      </c>
      <c r="U109" s="39">
        <v>3000</v>
      </c>
      <c r="V109" s="39">
        <v>12000</v>
      </c>
      <c r="W109" s="39">
        <v>15000</v>
      </c>
      <c r="X109" s="39">
        <v>11692</v>
      </c>
      <c r="Y109" s="39">
        <v>22264</v>
      </c>
      <c r="Z109" s="39">
        <v>24384</v>
      </c>
      <c r="AA109" s="39">
        <v>21156</v>
      </c>
      <c r="AB109" s="39">
        <v>6336</v>
      </c>
      <c r="AC109" s="39">
        <v>7872</v>
      </c>
      <c r="AD109" s="39">
        <v>7200</v>
      </c>
      <c r="AE109" s="39">
        <v>7000</v>
      </c>
      <c r="AF109" s="39">
        <v>22000</v>
      </c>
      <c r="AG109" s="31">
        <v>3000</v>
      </c>
      <c r="AH109" s="31">
        <v>12000</v>
      </c>
      <c r="AI109" s="31">
        <v>15000</v>
      </c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0" t="s">
        <v>116</v>
      </c>
      <c r="AU109" s="30" t="s">
        <v>81</v>
      </c>
      <c r="AV109" s="31" t="s">
        <v>117</v>
      </c>
      <c r="AW109" s="31" t="s">
        <v>143</v>
      </c>
      <c r="AX109" s="31" t="s">
        <v>798</v>
      </c>
      <c r="AY109" s="31" t="s">
        <v>799</v>
      </c>
      <c r="AZ109" s="31"/>
      <c r="BA109" s="31"/>
      <c r="BB109" s="31" t="s">
        <v>800</v>
      </c>
      <c r="BC109" s="31">
        <v>2</v>
      </c>
      <c r="BD109" s="31"/>
      <c r="BE109" s="31"/>
      <c r="BF109" s="31"/>
      <c r="BG109" s="31"/>
      <c r="BH109" s="31"/>
      <c r="BI109" s="31"/>
      <c r="BJ109" s="31"/>
      <c r="BK109" s="31" t="s">
        <v>801</v>
      </c>
      <c r="BL109" s="63">
        <f t="shared" si="31"/>
        <v>10575.4</v>
      </c>
      <c r="BM109" s="63">
        <f t="shared" si="24"/>
        <v>11582.4</v>
      </c>
      <c r="BN109" s="63">
        <f t="shared" si="25"/>
        <v>10049.1</v>
      </c>
      <c r="BO109" s="63">
        <f t="shared" si="26"/>
        <v>3009.6</v>
      </c>
      <c r="BP109" s="63">
        <f t="shared" si="27"/>
        <v>3739.2</v>
      </c>
      <c r="BQ109" s="63">
        <f t="shared" si="28"/>
        <v>3420</v>
      </c>
      <c r="BR109" s="63">
        <f t="shared" si="29"/>
        <v>3325</v>
      </c>
      <c r="BS109" s="63">
        <f t="shared" si="30"/>
        <v>10450</v>
      </c>
    </row>
    <row r="110" spans="1:71">
      <c r="A110" s="28">
        <f t="shared" si="21"/>
        <v>109</v>
      </c>
      <c r="B110" s="31" t="s">
        <v>802</v>
      </c>
      <c r="C110" s="31" t="s">
        <v>92</v>
      </c>
      <c r="D110" s="31" t="s">
        <v>803</v>
      </c>
      <c r="E110" s="31" t="s">
        <v>756</v>
      </c>
      <c r="F110" s="31" t="s">
        <v>804</v>
      </c>
      <c r="G110" s="32" t="s">
        <v>256</v>
      </c>
      <c r="H110" s="35" t="s">
        <v>258</v>
      </c>
      <c r="I110" s="32"/>
      <c r="J110" s="32"/>
      <c r="K110" s="39" t="s">
        <v>805</v>
      </c>
      <c r="L110" s="39">
        <v>560000</v>
      </c>
      <c r="M110" s="32" t="s">
        <v>79</v>
      </c>
      <c r="N110" s="39" t="s">
        <v>806</v>
      </c>
      <c r="O110" s="39" t="s">
        <v>807</v>
      </c>
      <c r="P110" s="39"/>
      <c r="Q110" s="42">
        <v>0.45</v>
      </c>
      <c r="R110" s="47">
        <f t="shared" si="22"/>
        <v>54000</v>
      </c>
      <c r="S110" s="48"/>
      <c r="T110" s="48">
        <f t="shared" si="23"/>
        <v>120000</v>
      </c>
      <c r="U110" s="39">
        <f>AG110</f>
        <v>0</v>
      </c>
      <c r="V110" s="39">
        <f t="shared" ref="V110:Y110" si="32">AH110</f>
        <v>135000</v>
      </c>
      <c r="W110" s="39">
        <f t="shared" si="32"/>
        <v>0</v>
      </c>
      <c r="X110" s="39">
        <f t="shared" si="32"/>
        <v>132000</v>
      </c>
      <c r="Y110" s="39">
        <f t="shared" si="32"/>
        <v>204000</v>
      </c>
      <c r="Z110" s="39">
        <v>0</v>
      </c>
      <c r="AA110" s="39">
        <v>0</v>
      </c>
      <c r="AB110" s="39">
        <v>0</v>
      </c>
      <c r="AC110" s="39">
        <v>0</v>
      </c>
      <c r="AD110" s="39">
        <v>0</v>
      </c>
      <c r="AE110" s="39">
        <v>120000</v>
      </c>
      <c r="AF110" s="39">
        <v>0</v>
      </c>
      <c r="AG110" s="31">
        <v>0</v>
      </c>
      <c r="AH110" s="31">
        <v>135000</v>
      </c>
      <c r="AI110" s="31">
        <v>0</v>
      </c>
      <c r="AJ110" s="31">
        <v>132000</v>
      </c>
      <c r="AK110" s="31">
        <v>204000</v>
      </c>
      <c r="AL110" s="31"/>
      <c r="AM110" s="31"/>
      <c r="AN110" s="31"/>
      <c r="AO110" s="31"/>
      <c r="AP110" s="31"/>
      <c r="AQ110" s="31"/>
      <c r="AR110" s="31"/>
      <c r="AS110" s="31"/>
      <c r="AT110" s="30" t="s">
        <v>116</v>
      </c>
      <c r="AU110" s="30" t="s">
        <v>81</v>
      </c>
      <c r="AV110" s="31" t="s">
        <v>117</v>
      </c>
      <c r="AW110" s="31" t="s">
        <v>143</v>
      </c>
      <c r="AX110" s="31" t="s">
        <v>127</v>
      </c>
      <c r="AY110" s="31" t="s">
        <v>808</v>
      </c>
      <c r="AZ110" s="31"/>
      <c r="BA110" s="31"/>
      <c r="BB110" s="31"/>
      <c r="BC110" s="31">
        <v>3</v>
      </c>
      <c r="BD110" s="31"/>
      <c r="BE110" s="31"/>
      <c r="BF110" s="31"/>
      <c r="BG110" s="31"/>
      <c r="BH110" s="31"/>
      <c r="BI110" s="31"/>
      <c r="BJ110" s="31"/>
      <c r="BK110" s="31"/>
      <c r="BL110" s="63">
        <f t="shared" si="31"/>
        <v>91800</v>
      </c>
      <c r="BM110" s="63">
        <f t="shared" si="24"/>
        <v>0</v>
      </c>
      <c r="BN110" s="63">
        <f t="shared" si="25"/>
        <v>0</v>
      </c>
      <c r="BO110" s="63">
        <f t="shared" si="26"/>
        <v>0</v>
      </c>
      <c r="BP110" s="63">
        <f t="shared" si="27"/>
        <v>0</v>
      </c>
      <c r="BQ110" s="63">
        <f t="shared" si="28"/>
        <v>0</v>
      </c>
      <c r="BR110" s="63">
        <f t="shared" si="29"/>
        <v>54000</v>
      </c>
      <c r="BS110" s="63">
        <f t="shared" si="30"/>
        <v>0</v>
      </c>
    </row>
    <row r="111" spans="1:71">
      <c r="A111" s="28">
        <f t="shared" si="21"/>
        <v>110</v>
      </c>
      <c r="B111" s="30" t="s">
        <v>809</v>
      </c>
      <c r="C111" s="30" t="s">
        <v>92</v>
      </c>
      <c r="D111" s="30" t="s">
        <v>809</v>
      </c>
      <c r="E111" s="30" t="s">
        <v>810</v>
      </c>
      <c r="F111" s="30"/>
      <c r="G111" s="30" t="s">
        <v>364</v>
      </c>
      <c r="H111" s="35" t="s">
        <v>366</v>
      </c>
      <c r="I111" s="30">
        <v>2100</v>
      </c>
      <c r="J111" s="30"/>
      <c r="K111" s="30" t="s">
        <v>532</v>
      </c>
      <c r="L111" s="63"/>
      <c r="M111" s="63"/>
      <c r="N111" s="63"/>
      <c r="O111" s="63"/>
      <c r="P111" s="63"/>
      <c r="Q111" s="42">
        <v>1.808</v>
      </c>
      <c r="R111" s="47">
        <f t="shared" si="22"/>
        <v>3616000</v>
      </c>
      <c r="S111" s="48">
        <v>13379200</v>
      </c>
      <c r="T111" s="48">
        <f t="shared" si="23"/>
        <v>2000000</v>
      </c>
      <c r="U111" s="63"/>
      <c r="V111" s="63"/>
      <c r="W111" s="63"/>
      <c r="X111" s="63"/>
      <c r="Y111" s="39">
        <v>1000000</v>
      </c>
      <c r="Z111" s="39">
        <v>800000</v>
      </c>
      <c r="AA111" s="39">
        <v>300000</v>
      </c>
      <c r="AB111" s="39">
        <v>150000</v>
      </c>
      <c r="AC111" s="39">
        <v>150000</v>
      </c>
      <c r="AD111" s="39">
        <v>200000</v>
      </c>
      <c r="AE111" s="39">
        <v>200000</v>
      </c>
      <c r="AF111" s="39">
        <v>200000</v>
      </c>
      <c r="AG111" s="63"/>
      <c r="AH111" s="63"/>
      <c r="AI111" s="63"/>
      <c r="AJ111" s="63"/>
      <c r="AK111" s="63"/>
      <c r="AL111" s="63"/>
      <c r="AM111" s="63"/>
      <c r="AN111" s="63"/>
      <c r="AO111" s="63"/>
      <c r="AP111" s="63"/>
      <c r="AQ111" s="63"/>
      <c r="AR111" s="63"/>
      <c r="AS111" s="63"/>
      <c r="AT111" s="63" t="s">
        <v>116</v>
      </c>
      <c r="AU111" s="30" t="s">
        <v>532</v>
      </c>
      <c r="AV111" s="63"/>
      <c r="AW111" s="63"/>
      <c r="AX111" s="63"/>
      <c r="AY111" s="63"/>
      <c r="AZ111" s="63"/>
      <c r="BA111" s="63"/>
      <c r="BB111" s="63"/>
      <c r="BC111" s="63"/>
      <c r="BD111" s="63"/>
      <c r="BE111" s="63"/>
      <c r="BF111" s="63"/>
      <c r="BG111" s="63"/>
      <c r="BH111" s="63"/>
      <c r="BI111" s="63"/>
      <c r="BJ111" s="63"/>
      <c r="BK111" s="63"/>
      <c r="BL111" s="63">
        <f t="shared" si="31"/>
        <v>1808000</v>
      </c>
      <c r="BM111" s="63">
        <f t="shared" si="24"/>
        <v>1446400</v>
      </c>
      <c r="BN111" s="63">
        <f t="shared" si="25"/>
        <v>542400</v>
      </c>
      <c r="BO111" s="63">
        <f t="shared" si="26"/>
        <v>271200</v>
      </c>
      <c r="BP111" s="63">
        <f t="shared" si="27"/>
        <v>271200</v>
      </c>
      <c r="BQ111" s="63">
        <f t="shared" si="28"/>
        <v>361600</v>
      </c>
      <c r="BR111" s="63">
        <f t="shared" si="29"/>
        <v>361600</v>
      </c>
      <c r="BS111" s="63">
        <f t="shared" si="30"/>
        <v>361600</v>
      </c>
    </row>
    <row r="112" spans="1:71">
      <c r="A112" s="28">
        <f t="shared" si="21"/>
        <v>111</v>
      </c>
      <c r="B112" s="30" t="s">
        <v>809</v>
      </c>
      <c r="C112" s="30" t="s">
        <v>92</v>
      </c>
      <c r="D112" s="30" t="s">
        <v>809</v>
      </c>
      <c r="E112" s="30" t="s">
        <v>810</v>
      </c>
      <c r="F112" s="30"/>
      <c r="G112" s="30" t="s">
        <v>367</v>
      </c>
      <c r="H112" s="35" t="s">
        <v>368</v>
      </c>
      <c r="I112" s="30">
        <v>2100</v>
      </c>
      <c r="J112" s="30"/>
      <c r="K112" s="30" t="s">
        <v>532</v>
      </c>
      <c r="L112" s="63"/>
      <c r="M112" s="63"/>
      <c r="N112" s="63"/>
      <c r="O112" s="63"/>
      <c r="P112" s="63"/>
      <c r="Q112" s="42">
        <v>2.2374</v>
      </c>
      <c r="R112" s="47">
        <f t="shared" si="22"/>
        <v>313236</v>
      </c>
      <c r="S112" s="48">
        <v>425106</v>
      </c>
      <c r="T112" s="48">
        <f t="shared" si="23"/>
        <v>140000</v>
      </c>
      <c r="U112" s="63"/>
      <c r="V112" s="63"/>
      <c r="W112" s="63"/>
      <c r="X112" s="63"/>
      <c r="Y112" s="39">
        <v>20000</v>
      </c>
      <c r="Z112" s="39">
        <v>20000</v>
      </c>
      <c r="AA112" s="39">
        <v>20000</v>
      </c>
      <c r="AB112" s="39">
        <v>20000</v>
      </c>
      <c r="AC112" s="39">
        <v>20000</v>
      </c>
      <c r="AD112" s="39">
        <v>20000</v>
      </c>
      <c r="AE112" s="39">
        <v>20000</v>
      </c>
      <c r="AF112" s="39">
        <v>20000</v>
      </c>
      <c r="AG112" s="63"/>
      <c r="AH112" s="63"/>
      <c r="AI112" s="63"/>
      <c r="AJ112" s="63"/>
      <c r="AK112" s="63"/>
      <c r="AL112" s="63"/>
      <c r="AM112" s="63"/>
      <c r="AN112" s="63"/>
      <c r="AO112" s="63"/>
      <c r="AP112" s="63"/>
      <c r="AQ112" s="63"/>
      <c r="AR112" s="63"/>
      <c r="AS112" s="63"/>
      <c r="AT112" s="63" t="s">
        <v>116</v>
      </c>
      <c r="AU112" s="30" t="s">
        <v>532</v>
      </c>
      <c r="AV112" s="63"/>
      <c r="AW112" s="63"/>
      <c r="AX112" s="63"/>
      <c r="AY112" s="63"/>
      <c r="AZ112" s="63"/>
      <c r="BA112" s="63"/>
      <c r="BB112" s="63"/>
      <c r="BC112" s="63"/>
      <c r="BD112" s="63"/>
      <c r="BE112" s="63"/>
      <c r="BF112" s="63"/>
      <c r="BG112" s="63"/>
      <c r="BH112" s="63"/>
      <c r="BI112" s="63"/>
      <c r="BJ112" s="63"/>
      <c r="BK112" s="63"/>
      <c r="BL112" s="63">
        <f t="shared" si="31"/>
        <v>44748</v>
      </c>
      <c r="BM112" s="63">
        <f t="shared" si="24"/>
        <v>44748</v>
      </c>
      <c r="BN112" s="63">
        <f t="shared" si="25"/>
        <v>44748</v>
      </c>
      <c r="BO112" s="63">
        <f t="shared" si="26"/>
        <v>44748</v>
      </c>
      <c r="BP112" s="63">
        <f t="shared" si="27"/>
        <v>44748</v>
      </c>
      <c r="BQ112" s="63">
        <f t="shared" si="28"/>
        <v>44748</v>
      </c>
      <c r="BR112" s="63">
        <f t="shared" si="29"/>
        <v>44748</v>
      </c>
      <c r="BS112" s="63">
        <f t="shared" si="30"/>
        <v>44748</v>
      </c>
    </row>
    <row r="113" spans="1:71">
      <c r="A113" s="28">
        <f t="shared" si="21"/>
        <v>112</v>
      </c>
      <c r="B113" s="30" t="s">
        <v>809</v>
      </c>
      <c r="C113" s="30" t="s">
        <v>92</v>
      </c>
      <c r="D113" s="30" t="s">
        <v>809</v>
      </c>
      <c r="E113" s="30" t="s">
        <v>810</v>
      </c>
      <c r="F113" s="30"/>
      <c r="G113" s="30" t="s">
        <v>369</v>
      </c>
      <c r="H113" s="35" t="s">
        <v>370</v>
      </c>
      <c r="I113" s="30">
        <v>2100</v>
      </c>
      <c r="J113" s="30"/>
      <c r="K113" s="30" t="s">
        <v>532</v>
      </c>
      <c r="L113" s="63"/>
      <c r="M113" s="63"/>
      <c r="N113" s="63"/>
      <c r="O113" s="63"/>
      <c r="P113" s="63"/>
      <c r="Q113" s="42">
        <v>2.2374</v>
      </c>
      <c r="R113" s="47">
        <f t="shared" si="22"/>
        <v>78309</v>
      </c>
      <c r="S113" s="48">
        <v>1968912</v>
      </c>
      <c r="T113" s="48">
        <f t="shared" si="23"/>
        <v>35000</v>
      </c>
      <c r="U113" s="63"/>
      <c r="V113" s="63"/>
      <c r="W113" s="63"/>
      <c r="X113" s="63"/>
      <c r="Y113" s="39">
        <v>10000</v>
      </c>
      <c r="Z113" s="39">
        <v>5000</v>
      </c>
      <c r="AA113" s="39">
        <v>5000</v>
      </c>
      <c r="AB113" s="39">
        <v>5000</v>
      </c>
      <c r="AC113" s="39">
        <v>5000</v>
      </c>
      <c r="AD113" s="39">
        <v>5000</v>
      </c>
      <c r="AE113" s="39">
        <v>5000</v>
      </c>
      <c r="AF113" s="39">
        <v>5000</v>
      </c>
      <c r="AG113" s="63"/>
      <c r="AH113" s="63"/>
      <c r="AI113" s="63"/>
      <c r="AJ113" s="63"/>
      <c r="AK113" s="63"/>
      <c r="AL113" s="63"/>
      <c r="AM113" s="63"/>
      <c r="AN113" s="63"/>
      <c r="AO113" s="63"/>
      <c r="AP113" s="63"/>
      <c r="AQ113" s="63"/>
      <c r="AR113" s="63"/>
      <c r="AS113" s="63"/>
      <c r="AT113" s="63" t="s">
        <v>116</v>
      </c>
      <c r="AU113" s="30" t="s">
        <v>532</v>
      </c>
      <c r="AV113" s="63"/>
      <c r="AW113" s="63"/>
      <c r="AX113" s="63"/>
      <c r="AY113" s="63"/>
      <c r="AZ113" s="63"/>
      <c r="BA113" s="63"/>
      <c r="BB113" s="63"/>
      <c r="BC113" s="63"/>
      <c r="BD113" s="63"/>
      <c r="BE113" s="63"/>
      <c r="BF113" s="63"/>
      <c r="BG113" s="63"/>
      <c r="BH113" s="63"/>
      <c r="BI113" s="63"/>
      <c r="BJ113" s="63"/>
      <c r="BK113" s="63"/>
      <c r="BL113" s="63">
        <f t="shared" si="31"/>
        <v>22374</v>
      </c>
      <c r="BM113" s="63">
        <f t="shared" si="24"/>
        <v>11187</v>
      </c>
      <c r="BN113" s="63">
        <f t="shared" si="25"/>
        <v>11187</v>
      </c>
      <c r="BO113" s="63">
        <f t="shared" si="26"/>
        <v>11187</v>
      </c>
      <c r="BP113" s="63">
        <f t="shared" si="27"/>
        <v>11187</v>
      </c>
      <c r="BQ113" s="63">
        <f t="shared" si="28"/>
        <v>11187</v>
      </c>
      <c r="BR113" s="63">
        <f t="shared" si="29"/>
        <v>11187</v>
      </c>
      <c r="BS113" s="63">
        <f t="shared" si="30"/>
        <v>11187</v>
      </c>
    </row>
    <row r="114" spans="1:71">
      <c r="A114" s="28">
        <f t="shared" si="21"/>
        <v>113</v>
      </c>
      <c r="B114" s="30" t="s">
        <v>811</v>
      </c>
      <c r="C114" s="30" t="s">
        <v>527</v>
      </c>
      <c r="D114" s="30" t="s">
        <v>812</v>
      </c>
      <c r="E114" s="30" t="s">
        <v>810</v>
      </c>
      <c r="F114" s="30" t="s">
        <v>813</v>
      </c>
      <c r="G114" s="30" t="s">
        <v>439</v>
      </c>
      <c r="H114" s="35" t="s">
        <v>440</v>
      </c>
      <c r="I114" s="30"/>
      <c r="J114" s="30"/>
      <c r="K114" s="30" t="s">
        <v>745</v>
      </c>
      <c r="L114" s="63"/>
      <c r="M114" s="63"/>
      <c r="N114" s="63"/>
      <c r="O114" s="63"/>
      <c r="P114" s="63"/>
      <c r="Q114" s="42">
        <v>2.03</v>
      </c>
      <c r="R114" s="47">
        <f t="shared" si="22"/>
        <v>5213222.7</v>
      </c>
      <c r="S114" s="48">
        <v>5580835.4</v>
      </c>
      <c r="T114" s="48">
        <f t="shared" si="23"/>
        <v>2568090</v>
      </c>
      <c r="U114" s="63"/>
      <c r="V114" s="63"/>
      <c r="W114" s="63"/>
      <c r="X114" s="63"/>
      <c r="Y114" s="39">
        <v>291070</v>
      </c>
      <c r="Z114" s="39">
        <v>350000</v>
      </c>
      <c r="AA114" s="39">
        <v>350000</v>
      </c>
      <c r="AB114" s="39">
        <v>323570</v>
      </c>
      <c r="AC114" s="39">
        <v>372970</v>
      </c>
      <c r="AD114" s="39">
        <v>385370</v>
      </c>
      <c r="AE114" s="39">
        <v>393850</v>
      </c>
      <c r="AF114" s="39">
        <v>392330</v>
      </c>
      <c r="AG114" s="63"/>
      <c r="AH114" s="63"/>
      <c r="AI114" s="63"/>
      <c r="AJ114" s="63"/>
      <c r="AK114" s="63"/>
      <c r="AL114" s="63"/>
      <c r="AM114" s="63"/>
      <c r="AN114" s="63"/>
      <c r="AO114" s="63"/>
      <c r="AP114" s="63"/>
      <c r="AQ114" s="63"/>
      <c r="AR114" s="63"/>
      <c r="AS114" s="63"/>
      <c r="AT114" s="63" t="s">
        <v>116</v>
      </c>
      <c r="AU114" s="30" t="s">
        <v>688</v>
      </c>
      <c r="AV114" s="63"/>
      <c r="AW114" s="63"/>
      <c r="AX114" s="63"/>
      <c r="AY114" s="63"/>
      <c r="AZ114" s="63"/>
      <c r="BA114" s="63"/>
      <c r="BB114" s="63"/>
      <c r="BC114" s="63"/>
      <c r="BD114" s="63"/>
      <c r="BE114" s="63"/>
      <c r="BF114" s="63"/>
      <c r="BG114" s="63"/>
      <c r="BH114" s="63"/>
      <c r="BI114" s="63"/>
      <c r="BJ114" s="63"/>
      <c r="BK114" s="63"/>
      <c r="BL114" s="63">
        <f t="shared" si="31"/>
        <v>590872.1</v>
      </c>
      <c r="BM114" s="63">
        <f t="shared" si="24"/>
        <v>710500</v>
      </c>
      <c r="BN114" s="63">
        <f t="shared" si="25"/>
        <v>710500</v>
      </c>
      <c r="BO114" s="63">
        <f t="shared" si="26"/>
        <v>656847.1</v>
      </c>
      <c r="BP114" s="63">
        <f t="shared" si="27"/>
        <v>757129.1</v>
      </c>
      <c r="BQ114" s="63">
        <f t="shared" si="28"/>
        <v>782301.1</v>
      </c>
      <c r="BR114" s="63">
        <f t="shared" si="29"/>
        <v>799515.5</v>
      </c>
      <c r="BS114" s="63">
        <f t="shared" si="30"/>
        <v>796429.9</v>
      </c>
    </row>
    <row r="115" spans="1:71">
      <c r="A115" s="28">
        <f t="shared" si="21"/>
        <v>114</v>
      </c>
      <c r="B115" s="30" t="s">
        <v>811</v>
      </c>
      <c r="C115" s="30" t="s">
        <v>527</v>
      </c>
      <c r="D115" s="30" t="s">
        <v>812</v>
      </c>
      <c r="E115" s="30" t="s">
        <v>810</v>
      </c>
      <c r="F115" s="30" t="s">
        <v>813</v>
      </c>
      <c r="G115" s="30" t="s">
        <v>448</v>
      </c>
      <c r="H115" s="35" t="s">
        <v>449</v>
      </c>
      <c r="I115" s="30"/>
      <c r="J115" s="30"/>
      <c r="K115" s="30" t="s">
        <v>745</v>
      </c>
      <c r="L115" s="63"/>
      <c r="M115" s="63"/>
      <c r="N115" s="63"/>
      <c r="O115" s="63"/>
      <c r="P115" s="63"/>
      <c r="Q115" s="42">
        <v>2.068</v>
      </c>
      <c r="R115" s="47">
        <f t="shared" si="22"/>
        <v>1085402.208</v>
      </c>
      <c r="S115" s="48">
        <v>977709.04</v>
      </c>
      <c r="T115" s="48">
        <f t="shared" si="23"/>
        <v>524856</v>
      </c>
      <c r="U115" s="63"/>
      <c r="V115" s="63"/>
      <c r="W115" s="63"/>
      <c r="X115" s="63"/>
      <c r="Y115" s="39">
        <v>73924</v>
      </c>
      <c r="Z115" s="39">
        <v>66856</v>
      </c>
      <c r="AA115" s="39">
        <v>80000</v>
      </c>
      <c r="AB115" s="39">
        <v>80000</v>
      </c>
      <c r="AC115" s="39">
        <v>80000</v>
      </c>
      <c r="AD115" s="39">
        <v>80000</v>
      </c>
      <c r="AE115" s="39">
        <v>80000</v>
      </c>
      <c r="AF115" s="39">
        <v>58000</v>
      </c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 t="s">
        <v>116</v>
      </c>
      <c r="AU115" s="30" t="s">
        <v>688</v>
      </c>
      <c r="AV115" s="63"/>
      <c r="AW115" s="63"/>
      <c r="AX115" s="63"/>
      <c r="AY115" s="63"/>
      <c r="AZ115" s="63"/>
      <c r="BA115" s="63"/>
      <c r="BB115" s="63"/>
      <c r="BC115" s="63"/>
      <c r="BD115" s="63"/>
      <c r="BE115" s="63"/>
      <c r="BF115" s="63"/>
      <c r="BG115" s="63"/>
      <c r="BH115" s="63"/>
      <c r="BI115" s="63"/>
      <c r="BJ115" s="63"/>
      <c r="BK115" s="63"/>
      <c r="BL115" s="63">
        <f t="shared" si="31"/>
        <v>152874.832</v>
      </c>
      <c r="BM115" s="63">
        <f t="shared" si="24"/>
        <v>138258.208</v>
      </c>
      <c r="BN115" s="63">
        <f t="shared" si="25"/>
        <v>165440</v>
      </c>
      <c r="BO115" s="63">
        <f t="shared" si="26"/>
        <v>165440</v>
      </c>
      <c r="BP115" s="63">
        <f t="shared" si="27"/>
        <v>165440</v>
      </c>
      <c r="BQ115" s="63">
        <f t="shared" si="28"/>
        <v>165440</v>
      </c>
      <c r="BR115" s="63">
        <f t="shared" si="29"/>
        <v>165440</v>
      </c>
      <c r="BS115" s="63">
        <f t="shared" si="30"/>
        <v>119944</v>
      </c>
    </row>
    <row r="116" spans="1:71">
      <c r="A116" s="28">
        <f t="shared" si="21"/>
        <v>115</v>
      </c>
      <c r="B116" s="30" t="s">
        <v>814</v>
      </c>
      <c r="C116" s="30" t="s">
        <v>72</v>
      </c>
      <c r="D116" s="30" t="s">
        <v>812</v>
      </c>
      <c r="E116" s="30" t="s">
        <v>810</v>
      </c>
      <c r="F116" s="30" t="s">
        <v>813</v>
      </c>
      <c r="G116" s="30" t="s">
        <v>371</v>
      </c>
      <c r="H116" s="35" t="s">
        <v>372</v>
      </c>
      <c r="I116" s="30"/>
      <c r="J116" s="30"/>
      <c r="K116" s="30" t="s">
        <v>532</v>
      </c>
      <c r="L116" s="63"/>
      <c r="M116" s="63"/>
      <c r="N116" s="63"/>
      <c r="O116" s="63"/>
      <c r="P116" s="63"/>
      <c r="Q116" s="42">
        <v>2.17</v>
      </c>
      <c r="R116" s="47">
        <f t="shared" si="22"/>
        <v>397110</v>
      </c>
      <c r="S116" s="48">
        <v>121520</v>
      </c>
      <c r="T116" s="48">
        <f t="shared" si="23"/>
        <v>183000</v>
      </c>
      <c r="U116" s="63"/>
      <c r="V116" s="63"/>
      <c r="W116" s="63"/>
      <c r="X116" s="63"/>
      <c r="Y116" s="31">
        <v>6000</v>
      </c>
      <c r="Z116" s="31">
        <v>6000</v>
      </c>
      <c r="AA116" s="31">
        <v>6000</v>
      </c>
      <c r="AB116" s="31">
        <v>75000</v>
      </c>
      <c r="AC116" s="31">
        <v>60000</v>
      </c>
      <c r="AD116" s="31">
        <v>8000</v>
      </c>
      <c r="AE116" s="31">
        <v>20000</v>
      </c>
      <c r="AF116" s="31">
        <v>8000</v>
      </c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 t="s">
        <v>116</v>
      </c>
      <c r="AU116" s="30" t="s">
        <v>532</v>
      </c>
      <c r="AV116" s="63"/>
      <c r="AW116" s="63"/>
      <c r="AX116" s="63"/>
      <c r="AY116" s="63"/>
      <c r="AZ116" s="63"/>
      <c r="BA116" s="63"/>
      <c r="BB116" s="63"/>
      <c r="BC116" s="63"/>
      <c r="BD116" s="63"/>
      <c r="BE116" s="63"/>
      <c r="BF116" s="63"/>
      <c r="BG116" s="63"/>
      <c r="BH116" s="63"/>
      <c r="BI116" s="63"/>
      <c r="BJ116" s="63"/>
      <c r="BK116" s="63"/>
      <c r="BL116" s="63">
        <f t="shared" si="31"/>
        <v>13020</v>
      </c>
      <c r="BM116" s="63">
        <f t="shared" si="24"/>
        <v>13020</v>
      </c>
      <c r="BN116" s="63">
        <f t="shared" si="25"/>
        <v>13020</v>
      </c>
      <c r="BO116" s="63">
        <f t="shared" si="26"/>
        <v>162750</v>
      </c>
      <c r="BP116" s="63">
        <f t="shared" si="27"/>
        <v>130200</v>
      </c>
      <c r="BQ116" s="63">
        <f t="shared" si="28"/>
        <v>17360</v>
      </c>
      <c r="BR116" s="63">
        <f t="shared" si="29"/>
        <v>43400</v>
      </c>
      <c r="BS116" s="63">
        <f t="shared" si="30"/>
        <v>17360</v>
      </c>
    </row>
    <row r="117" spans="1:71">
      <c r="A117" s="28">
        <f t="shared" si="21"/>
        <v>116</v>
      </c>
      <c r="B117" s="30" t="s">
        <v>815</v>
      </c>
      <c r="C117" s="30" t="s">
        <v>92</v>
      </c>
      <c r="D117" s="30" t="s">
        <v>816</v>
      </c>
      <c r="E117" s="30" t="s">
        <v>810</v>
      </c>
      <c r="F117" s="30" t="s">
        <v>817</v>
      </c>
      <c r="G117" s="30" t="s">
        <v>455</v>
      </c>
      <c r="H117" s="35" t="s">
        <v>456</v>
      </c>
      <c r="I117" s="30"/>
      <c r="J117" s="30"/>
      <c r="K117" s="30" t="s">
        <v>745</v>
      </c>
      <c r="L117" s="63"/>
      <c r="M117" s="63"/>
      <c r="N117" s="63"/>
      <c r="O117" s="63"/>
      <c r="P117" s="63"/>
      <c r="Q117" s="42">
        <v>2.155</v>
      </c>
      <c r="R117" s="47">
        <f t="shared" si="22"/>
        <v>3871457.5</v>
      </c>
      <c r="S117" s="48">
        <v>4278752.5</v>
      </c>
      <c r="T117" s="48">
        <f t="shared" si="23"/>
        <v>1796500</v>
      </c>
      <c r="U117" s="63"/>
      <c r="V117" s="63"/>
      <c r="W117" s="63"/>
      <c r="X117" s="63"/>
      <c r="Y117" s="39">
        <v>189000</v>
      </c>
      <c r="Z117" s="39">
        <v>196500</v>
      </c>
      <c r="AA117" s="39">
        <v>200000</v>
      </c>
      <c r="AB117" s="39">
        <v>200000</v>
      </c>
      <c r="AC117" s="39">
        <v>300000</v>
      </c>
      <c r="AD117" s="39">
        <v>300000</v>
      </c>
      <c r="AE117" s="39">
        <v>300000</v>
      </c>
      <c r="AF117" s="39">
        <v>300000</v>
      </c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 t="s">
        <v>116</v>
      </c>
      <c r="AU117" s="30" t="s">
        <v>688</v>
      </c>
      <c r="AV117" s="63"/>
      <c r="AW117" s="63"/>
      <c r="AX117" s="63"/>
      <c r="AY117" s="63"/>
      <c r="AZ117" s="63"/>
      <c r="BA117" s="63"/>
      <c r="BB117" s="63"/>
      <c r="BC117" s="63"/>
      <c r="BD117" s="63"/>
      <c r="BE117" s="63"/>
      <c r="BF117" s="63"/>
      <c r="BG117" s="63"/>
      <c r="BH117" s="63"/>
      <c r="BI117" s="63"/>
      <c r="BJ117" s="63"/>
      <c r="BK117" s="63"/>
      <c r="BL117" s="63">
        <f t="shared" si="31"/>
        <v>407295</v>
      </c>
      <c r="BM117" s="63">
        <f t="shared" si="24"/>
        <v>423457.5</v>
      </c>
      <c r="BN117" s="63">
        <f t="shared" si="25"/>
        <v>431000</v>
      </c>
      <c r="BO117" s="63">
        <f t="shared" si="26"/>
        <v>431000</v>
      </c>
      <c r="BP117" s="63">
        <f t="shared" si="27"/>
        <v>646500</v>
      </c>
      <c r="BQ117" s="63">
        <f t="shared" si="28"/>
        <v>646500</v>
      </c>
      <c r="BR117" s="63">
        <f t="shared" si="29"/>
        <v>646500</v>
      </c>
      <c r="BS117" s="63">
        <f t="shared" si="30"/>
        <v>646500</v>
      </c>
    </row>
    <row r="118" spans="1:71">
      <c r="A118" s="28">
        <f t="shared" si="21"/>
        <v>117</v>
      </c>
      <c r="B118" s="30" t="s">
        <v>815</v>
      </c>
      <c r="C118" s="30" t="s">
        <v>92</v>
      </c>
      <c r="D118" s="30" t="s">
        <v>816</v>
      </c>
      <c r="E118" s="30" t="s">
        <v>810</v>
      </c>
      <c r="F118" s="30" t="s">
        <v>817</v>
      </c>
      <c r="G118" s="30" t="s">
        <v>445</v>
      </c>
      <c r="H118" s="35" t="s">
        <v>446</v>
      </c>
      <c r="I118" s="30"/>
      <c r="J118" s="30"/>
      <c r="K118" s="30" t="s">
        <v>745</v>
      </c>
      <c r="L118" s="63"/>
      <c r="M118" s="63"/>
      <c r="N118" s="63"/>
      <c r="O118" s="63"/>
      <c r="P118" s="63"/>
      <c r="Q118" s="42">
        <v>2</v>
      </c>
      <c r="R118" s="47">
        <f t="shared" si="22"/>
        <v>2781000</v>
      </c>
      <c r="S118" s="48">
        <v>2610000</v>
      </c>
      <c r="T118" s="48">
        <f t="shared" si="23"/>
        <v>1390500</v>
      </c>
      <c r="U118" s="63"/>
      <c r="V118" s="63"/>
      <c r="W118" s="63"/>
      <c r="X118" s="63"/>
      <c r="Y118" s="39">
        <v>135000</v>
      </c>
      <c r="Z118" s="39">
        <v>210000</v>
      </c>
      <c r="AA118" s="39">
        <v>210000</v>
      </c>
      <c r="AB118" s="39">
        <v>240000</v>
      </c>
      <c r="AC118" s="39">
        <v>250500</v>
      </c>
      <c r="AD118" s="39">
        <v>150000</v>
      </c>
      <c r="AE118" s="39">
        <v>150000</v>
      </c>
      <c r="AF118" s="39">
        <v>180000</v>
      </c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 t="s">
        <v>116</v>
      </c>
      <c r="AU118" s="30" t="s">
        <v>688</v>
      </c>
      <c r="AV118" s="63"/>
      <c r="AW118" s="63"/>
      <c r="AX118" s="63"/>
      <c r="AY118" s="63"/>
      <c r="AZ118" s="63"/>
      <c r="BA118" s="63"/>
      <c r="BB118" s="63"/>
      <c r="BC118" s="63"/>
      <c r="BD118" s="63"/>
      <c r="BE118" s="63"/>
      <c r="BF118" s="63"/>
      <c r="BG118" s="63"/>
      <c r="BH118" s="63"/>
      <c r="BI118" s="63"/>
      <c r="BJ118" s="63"/>
      <c r="BK118" s="63"/>
      <c r="BL118" s="63">
        <f t="shared" si="31"/>
        <v>270000</v>
      </c>
      <c r="BM118" s="63">
        <f t="shared" si="24"/>
        <v>420000</v>
      </c>
      <c r="BN118" s="63">
        <f t="shared" si="25"/>
        <v>420000</v>
      </c>
      <c r="BO118" s="63">
        <f t="shared" si="26"/>
        <v>480000</v>
      </c>
      <c r="BP118" s="63">
        <f t="shared" si="27"/>
        <v>501000</v>
      </c>
      <c r="BQ118" s="63">
        <f t="shared" si="28"/>
        <v>300000</v>
      </c>
      <c r="BR118" s="63">
        <f t="shared" si="29"/>
        <v>300000</v>
      </c>
      <c r="BS118" s="63">
        <f t="shared" si="30"/>
        <v>360000</v>
      </c>
    </row>
    <row r="119" spans="1:71">
      <c r="A119" s="28">
        <f t="shared" si="21"/>
        <v>118</v>
      </c>
      <c r="B119" s="30" t="s">
        <v>818</v>
      </c>
      <c r="C119" s="30" t="s">
        <v>92</v>
      </c>
      <c r="D119" s="30" t="s">
        <v>819</v>
      </c>
      <c r="E119" s="30" t="s">
        <v>810</v>
      </c>
      <c r="F119" s="30" t="s">
        <v>820</v>
      </c>
      <c r="G119" s="30" t="s">
        <v>439</v>
      </c>
      <c r="H119" s="35" t="s">
        <v>440</v>
      </c>
      <c r="I119" s="30"/>
      <c r="J119" s="30"/>
      <c r="K119" s="30" t="s">
        <v>745</v>
      </c>
      <c r="L119" s="63"/>
      <c r="M119" s="63"/>
      <c r="N119" s="63"/>
      <c r="O119" s="63"/>
      <c r="P119" s="63"/>
      <c r="Q119" s="42">
        <v>2.28</v>
      </c>
      <c r="R119" s="47">
        <f t="shared" si="22"/>
        <v>3192000</v>
      </c>
      <c r="S119" s="48">
        <v>3648000</v>
      </c>
      <c r="T119" s="48">
        <f t="shared" si="23"/>
        <v>1400000</v>
      </c>
      <c r="U119" s="63"/>
      <c r="V119" s="63"/>
      <c r="W119" s="63"/>
      <c r="X119" s="63"/>
      <c r="Y119" s="39">
        <v>200000</v>
      </c>
      <c r="Z119" s="39">
        <v>200000</v>
      </c>
      <c r="AA119" s="39">
        <v>200000</v>
      </c>
      <c r="AB119" s="39">
        <v>200000</v>
      </c>
      <c r="AC119" s="39">
        <v>200000</v>
      </c>
      <c r="AD119" s="39">
        <v>200000</v>
      </c>
      <c r="AE119" s="39">
        <v>200000</v>
      </c>
      <c r="AF119" s="39">
        <v>200000</v>
      </c>
      <c r="AG119" s="63"/>
      <c r="AH119" s="63"/>
      <c r="AI119" s="63"/>
      <c r="AJ119" s="63"/>
      <c r="AK119" s="63"/>
      <c r="AL119" s="63"/>
      <c r="AM119" s="63"/>
      <c r="AN119" s="63"/>
      <c r="AO119" s="63"/>
      <c r="AP119" s="63"/>
      <c r="AQ119" s="63"/>
      <c r="AR119" s="63"/>
      <c r="AS119" s="63"/>
      <c r="AT119" s="63" t="s">
        <v>116</v>
      </c>
      <c r="AU119" s="30" t="s">
        <v>688</v>
      </c>
      <c r="AV119" s="63"/>
      <c r="AW119" s="63"/>
      <c r="AX119" s="63"/>
      <c r="AY119" s="63"/>
      <c r="AZ119" s="63"/>
      <c r="BA119" s="63"/>
      <c r="BB119" s="63"/>
      <c r="BC119" s="63"/>
      <c r="BD119" s="63"/>
      <c r="BE119" s="63"/>
      <c r="BF119" s="63"/>
      <c r="BG119" s="63"/>
      <c r="BH119" s="63"/>
      <c r="BI119" s="63"/>
      <c r="BJ119" s="63"/>
      <c r="BK119" s="63"/>
      <c r="BL119" s="63">
        <f t="shared" si="31"/>
        <v>456000</v>
      </c>
      <c r="BM119" s="63">
        <f t="shared" si="24"/>
        <v>456000</v>
      </c>
      <c r="BN119" s="63">
        <f t="shared" si="25"/>
        <v>456000</v>
      </c>
      <c r="BO119" s="63">
        <f t="shared" si="26"/>
        <v>456000</v>
      </c>
      <c r="BP119" s="63">
        <f t="shared" si="27"/>
        <v>456000</v>
      </c>
      <c r="BQ119" s="63">
        <f t="shared" si="28"/>
        <v>456000</v>
      </c>
      <c r="BR119" s="63">
        <f t="shared" si="29"/>
        <v>456000</v>
      </c>
      <c r="BS119" s="63">
        <f t="shared" si="30"/>
        <v>456000</v>
      </c>
    </row>
    <row r="120" spans="1:71">
      <c r="A120" s="28">
        <f t="shared" si="21"/>
        <v>119</v>
      </c>
      <c r="B120" s="30" t="s">
        <v>821</v>
      </c>
      <c r="C120" s="30" t="s">
        <v>72</v>
      </c>
      <c r="D120" s="30" t="s">
        <v>822</v>
      </c>
      <c r="E120" s="30" t="s">
        <v>810</v>
      </c>
      <c r="F120" s="30" t="s">
        <v>774</v>
      </c>
      <c r="G120" s="30" t="s">
        <v>210</v>
      </c>
      <c r="H120" s="35" t="s">
        <v>211</v>
      </c>
      <c r="I120" s="30"/>
      <c r="J120" s="30"/>
      <c r="K120" s="30" t="s">
        <v>107</v>
      </c>
      <c r="L120" s="63"/>
      <c r="M120" s="63"/>
      <c r="N120" s="63"/>
      <c r="O120" s="63"/>
      <c r="P120" s="63"/>
      <c r="Q120" s="42">
        <v>0.19</v>
      </c>
      <c r="R120" s="47">
        <f t="shared" si="22"/>
        <v>251750</v>
      </c>
      <c r="S120" s="48">
        <v>245100</v>
      </c>
      <c r="T120" s="48">
        <f t="shared" si="23"/>
        <v>1325000</v>
      </c>
      <c r="U120" s="63"/>
      <c r="V120" s="63"/>
      <c r="W120" s="63"/>
      <c r="X120" s="63"/>
      <c r="Y120" s="40">
        <v>120000</v>
      </c>
      <c r="Z120" s="40">
        <v>240000</v>
      </c>
      <c r="AA120" s="40">
        <v>175000</v>
      </c>
      <c r="AB120" s="40">
        <v>210000</v>
      </c>
      <c r="AC120" s="40">
        <v>175000</v>
      </c>
      <c r="AD120" s="40">
        <v>175000</v>
      </c>
      <c r="AE120" s="40">
        <v>175000</v>
      </c>
      <c r="AF120" s="40">
        <v>175000</v>
      </c>
      <c r="AG120" s="63"/>
      <c r="AH120" s="63"/>
      <c r="AI120" s="63"/>
      <c r="AJ120" s="63"/>
      <c r="AK120" s="63"/>
      <c r="AL120" s="63"/>
      <c r="AM120" s="63"/>
      <c r="AN120" s="63"/>
      <c r="AO120" s="63"/>
      <c r="AP120" s="63"/>
      <c r="AQ120" s="63"/>
      <c r="AR120" s="63"/>
      <c r="AS120" s="63"/>
      <c r="AT120" s="63" t="s">
        <v>116</v>
      </c>
      <c r="AU120" s="30" t="s">
        <v>81</v>
      </c>
      <c r="AV120" s="63"/>
      <c r="AW120" s="63"/>
      <c r="AX120" s="63"/>
      <c r="AY120" s="63"/>
      <c r="AZ120" s="63"/>
      <c r="BA120" s="63"/>
      <c r="BB120" s="63"/>
      <c r="BC120" s="63"/>
      <c r="BD120" s="63"/>
      <c r="BE120" s="63"/>
      <c r="BF120" s="63"/>
      <c r="BG120" s="63"/>
      <c r="BH120" s="63"/>
      <c r="BI120" s="63"/>
      <c r="BJ120" s="63"/>
      <c r="BK120" s="63"/>
      <c r="BL120" s="63">
        <f t="shared" ref="BL120:BL186" si="33">$Q120*Y120</f>
        <v>22800</v>
      </c>
      <c r="BM120" s="63">
        <f t="shared" si="24"/>
        <v>45600</v>
      </c>
      <c r="BN120" s="63">
        <f t="shared" si="25"/>
        <v>33250</v>
      </c>
      <c r="BO120" s="63">
        <f t="shared" si="26"/>
        <v>39900</v>
      </c>
      <c r="BP120" s="63">
        <f t="shared" si="27"/>
        <v>33250</v>
      </c>
      <c r="BQ120" s="63">
        <f t="shared" si="28"/>
        <v>33250</v>
      </c>
      <c r="BR120" s="63">
        <f t="shared" si="29"/>
        <v>33250</v>
      </c>
      <c r="BS120" s="63">
        <f t="shared" si="30"/>
        <v>33250</v>
      </c>
    </row>
    <row r="121" spans="1:71">
      <c r="A121" s="28">
        <f t="shared" si="21"/>
        <v>120</v>
      </c>
      <c r="B121" s="30" t="s">
        <v>821</v>
      </c>
      <c r="C121" s="30" t="s">
        <v>72</v>
      </c>
      <c r="D121" s="30" t="s">
        <v>822</v>
      </c>
      <c r="E121" s="30" t="s">
        <v>810</v>
      </c>
      <c r="F121" s="30" t="s">
        <v>774</v>
      </c>
      <c r="G121" s="30" t="s">
        <v>165</v>
      </c>
      <c r="H121" s="35" t="s">
        <v>166</v>
      </c>
      <c r="I121" s="30"/>
      <c r="J121" s="30"/>
      <c r="K121" s="30" t="s">
        <v>107</v>
      </c>
      <c r="L121" s="63"/>
      <c r="M121" s="63"/>
      <c r="N121" s="63"/>
      <c r="O121" s="63"/>
      <c r="P121" s="63"/>
      <c r="Q121" s="42">
        <v>0.32</v>
      </c>
      <c r="R121" s="47">
        <f t="shared" si="22"/>
        <v>181440</v>
      </c>
      <c r="S121" s="48">
        <v>207360</v>
      </c>
      <c r="T121" s="48">
        <f t="shared" si="23"/>
        <v>567000</v>
      </c>
      <c r="U121" s="63"/>
      <c r="V121" s="63"/>
      <c r="W121" s="63"/>
      <c r="X121" s="63"/>
      <c r="Y121" s="40">
        <v>81000</v>
      </c>
      <c r="Z121" s="40">
        <v>81000</v>
      </c>
      <c r="AA121" s="40">
        <v>81000</v>
      </c>
      <c r="AB121" s="40">
        <v>81000</v>
      </c>
      <c r="AC121" s="40">
        <v>81000</v>
      </c>
      <c r="AD121" s="40">
        <v>81000</v>
      </c>
      <c r="AE121" s="40">
        <v>81000</v>
      </c>
      <c r="AF121" s="40">
        <v>81000</v>
      </c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 t="s">
        <v>116</v>
      </c>
      <c r="AU121" s="30" t="s">
        <v>81</v>
      </c>
      <c r="AV121" s="63"/>
      <c r="AW121" s="63"/>
      <c r="AX121" s="63"/>
      <c r="AY121" s="63"/>
      <c r="AZ121" s="63"/>
      <c r="BA121" s="63"/>
      <c r="BB121" s="63"/>
      <c r="BC121" s="63"/>
      <c r="BD121" s="63"/>
      <c r="BE121" s="63"/>
      <c r="BF121" s="63"/>
      <c r="BG121" s="63"/>
      <c r="BH121" s="63"/>
      <c r="BI121" s="63"/>
      <c r="BJ121" s="63"/>
      <c r="BK121" s="63"/>
      <c r="BL121" s="63">
        <f t="shared" si="33"/>
        <v>25920</v>
      </c>
      <c r="BM121" s="63">
        <f t="shared" si="24"/>
        <v>25920</v>
      </c>
      <c r="BN121" s="63">
        <f t="shared" si="25"/>
        <v>25920</v>
      </c>
      <c r="BO121" s="63">
        <f t="shared" si="26"/>
        <v>25920</v>
      </c>
      <c r="BP121" s="63">
        <f t="shared" si="27"/>
        <v>25920</v>
      </c>
      <c r="BQ121" s="63">
        <f t="shared" si="28"/>
        <v>25920</v>
      </c>
      <c r="BR121" s="63">
        <f t="shared" si="29"/>
        <v>25920</v>
      </c>
      <c r="BS121" s="63">
        <f t="shared" si="30"/>
        <v>25920</v>
      </c>
    </row>
    <row r="122" spans="1:71">
      <c r="A122" s="28">
        <f t="shared" si="21"/>
        <v>121</v>
      </c>
      <c r="B122" s="30" t="s">
        <v>823</v>
      </c>
      <c r="C122" s="30" t="s">
        <v>72</v>
      </c>
      <c r="D122" s="30" t="s">
        <v>822</v>
      </c>
      <c r="E122" s="30" t="s">
        <v>810</v>
      </c>
      <c r="F122" s="30" t="s">
        <v>774</v>
      </c>
      <c r="G122" s="30" t="s">
        <v>256</v>
      </c>
      <c r="H122" s="35" t="s">
        <v>824</v>
      </c>
      <c r="I122" s="30"/>
      <c r="J122" s="30"/>
      <c r="K122" s="30" t="s">
        <v>799</v>
      </c>
      <c r="L122" s="63"/>
      <c r="M122" s="63"/>
      <c r="N122" s="63"/>
      <c r="O122" s="63"/>
      <c r="P122" s="63"/>
      <c r="Q122" s="42">
        <v>0.32</v>
      </c>
      <c r="R122" s="47">
        <f t="shared" si="22"/>
        <v>448000</v>
      </c>
      <c r="S122" s="48">
        <v>512000</v>
      </c>
      <c r="T122" s="48">
        <f t="shared" si="23"/>
        <v>1400000</v>
      </c>
      <c r="U122" s="63"/>
      <c r="V122" s="63"/>
      <c r="W122" s="63"/>
      <c r="X122" s="63"/>
      <c r="Y122" s="40">
        <v>200000</v>
      </c>
      <c r="Z122" s="40">
        <v>200000</v>
      </c>
      <c r="AA122" s="40">
        <v>200000</v>
      </c>
      <c r="AB122" s="40">
        <v>200000</v>
      </c>
      <c r="AC122" s="40">
        <v>200000</v>
      </c>
      <c r="AD122" s="40">
        <v>200000</v>
      </c>
      <c r="AE122" s="40">
        <v>200000</v>
      </c>
      <c r="AF122" s="40">
        <v>200000</v>
      </c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 t="s">
        <v>116</v>
      </c>
      <c r="AU122" s="30" t="s">
        <v>81</v>
      </c>
      <c r="AV122" s="63"/>
      <c r="AW122" s="63"/>
      <c r="AX122" s="63"/>
      <c r="AY122" s="63"/>
      <c r="AZ122" s="63"/>
      <c r="BA122" s="63"/>
      <c r="BB122" s="63"/>
      <c r="BC122" s="63"/>
      <c r="BD122" s="63"/>
      <c r="BE122" s="63"/>
      <c r="BF122" s="63"/>
      <c r="BG122" s="63"/>
      <c r="BH122" s="63"/>
      <c r="BI122" s="63"/>
      <c r="BJ122" s="63"/>
      <c r="BK122" s="63"/>
      <c r="BL122" s="63">
        <f t="shared" si="33"/>
        <v>64000</v>
      </c>
      <c r="BM122" s="63">
        <f t="shared" si="24"/>
        <v>64000</v>
      </c>
      <c r="BN122" s="63">
        <f t="shared" si="25"/>
        <v>64000</v>
      </c>
      <c r="BO122" s="63">
        <f t="shared" si="26"/>
        <v>64000</v>
      </c>
      <c r="BP122" s="63">
        <f t="shared" si="27"/>
        <v>64000</v>
      </c>
      <c r="BQ122" s="63">
        <f t="shared" si="28"/>
        <v>64000</v>
      </c>
      <c r="BR122" s="63">
        <f t="shared" si="29"/>
        <v>64000</v>
      </c>
      <c r="BS122" s="63">
        <f t="shared" si="30"/>
        <v>64000</v>
      </c>
    </row>
    <row r="123" spans="1:71">
      <c r="A123" s="28">
        <f t="shared" si="21"/>
        <v>122</v>
      </c>
      <c r="B123" s="30" t="s">
        <v>825</v>
      </c>
      <c r="C123" s="30" t="s">
        <v>92</v>
      </c>
      <c r="D123" s="30" t="s">
        <v>822</v>
      </c>
      <c r="E123" s="30" t="s">
        <v>810</v>
      </c>
      <c r="F123" s="30" t="s">
        <v>774</v>
      </c>
      <c r="G123" s="30" t="s">
        <v>261</v>
      </c>
      <c r="H123" s="35" t="s">
        <v>262</v>
      </c>
      <c r="I123" s="30"/>
      <c r="J123" s="30"/>
      <c r="K123" s="30" t="s">
        <v>799</v>
      </c>
      <c r="L123" s="63"/>
      <c r="M123" s="63"/>
      <c r="N123" s="63"/>
      <c r="O123" s="63"/>
      <c r="P123" s="63"/>
      <c r="Q123" s="42">
        <v>0.28</v>
      </c>
      <c r="R123" s="47">
        <f t="shared" si="22"/>
        <v>904400</v>
      </c>
      <c r="S123" s="48">
        <v>1176000</v>
      </c>
      <c r="T123" s="48">
        <f t="shared" si="23"/>
        <v>3230000</v>
      </c>
      <c r="U123" s="63"/>
      <c r="V123" s="63"/>
      <c r="W123" s="63"/>
      <c r="X123" s="63"/>
      <c r="Y123" s="40">
        <v>400000</v>
      </c>
      <c r="Z123" s="40">
        <v>420000</v>
      </c>
      <c r="AA123" s="40">
        <v>210000</v>
      </c>
      <c r="AB123" s="40">
        <v>300000</v>
      </c>
      <c r="AC123" s="40">
        <v>500000</v>
      </c>
      <c r="AD123" s="40">
        <v>600000</v>
      </c>
      <c r="AE123" s="40">
        <v>600000</v>
      </c>
      <c r="AF123" s="40">
        <v>600000</v>
      </c>
      <c r="AG123" s="63"/>
      <c r="AH123" s="63"/>
      <c r="AI123" s="63"/>
      <c r="AJ123" s="63"/>
      <c r="AK123" s="63"/>
      <c r="AL123" s="63"/>
      <c r="AM123" s="63"/>
      <c r="AN123" s="63"/>
      <c r="AO123" s="63"/>
      <c r="AP123" s="63"/>
      <c r="AQ123" s="63"/>
      <c r="AR123" s="63"/>
      <c r="AS123" s="63"/>
      <c r="AT123" s="63" t="s">
        <v>116</v>
      </c>
      <c r="AU123" s="30" t="s">
        <v>81</v>
      </c>
      <c r="AV123" s="63"/>
      <c r="AW123" s="63"/>
      <c r="AX123" s="63"/>
      <c r="AY123" s="63"/>
      <c r="AZ123" s="63"/>
      <c r="BA123" s="63"/>
      <c r="BB123" s="63"/>
      <c r="BC123" s="63"/>
      <c r="BD123" s="63"/>
      <c r="BE123" s="63"/>
      <c r="BF123" s="63"/>
      <c r="BG123" s="63"/>
      <c r="BH123" s="63"/>
      <c r="BI123" s="63"/>
      <c r="BJ123" s="63"/>
      <c r="BK123" s="63"/>
      <c r="BL123" s="63">
        <f t="shared" si="33"/>
        <v>112000</v>
      </c>
      <c r="BM123" s="63">
        <f t="shared" si="24"/>
        <v>117600</v>
      </c>
      <c r="BN123" s="63">
        <f t="shared" si="25"/>
        <v>58800</v>
      </c>
      <c r="BO123" s="63">
        <f t="shared" si="26"/>
        <v>84000</v>
      </c>
      <c r="BP123" s="63">
        <f t="shared" si="27"/>
        <v>140000</v>
      </c>
      <c r="BQ123" s="63">
        <f t="shared" si="28"/>
        <v>168000</v>
      </c>
      <c r="BR123" s="63">
        <f t="shared" si="29"/>
        <v>168000</v>
      </c>
      <c r="BS123" s="63">
        <f t="shared" si="30"/>
        <v>168000</v>
      </c>
    </row>
    <row r="124" spans="1:71">
      <c r="A124" s="28">
        <f t="shared" si="21"/>
        <v>123</v>
      </c>
      <c r="B124" s="30" t="s">
        <v>826</v>
      </c>
      <c r="C124" s="30" t="s">
        <v>72</v>
      </c>
      <c r="D124" s="30" t="s">
        <v>822</v>
      </c>
      <c r="E124" s="30" t="s">
        <v>810</v>
      </c>
      <c r="F124" s="30" t="s">
        <v>774</v>
      </c>
      <c r="G124" s="30" t="s">
        <v>256</v>
      </c>
      <c r="H124" s="35" t="s">
        <v>824</v>
      </c>
      <c r="I124" s="30"/>
      <c r="J124" s="30"/>
      <c r="K124" s="30" t="s">
        <v>799</v>
      </c>
      <c r="L124" s="63"/>
      <c r="M124" s="63"/>
      <c r="N124" s="63"/>
      <c r="O124" s="63"/>
      <c r="P124" s="63"/>
      <c r="Q124" s="42">
        <v>0.32</v>
      </c>
      <c r="R124" s="47">
        <f t="shared" si="22"/>
        <v>259200</v>
      </c>
      <c r="S124" s="48">
        <v>291200</v>
      </c>
      <c r="T124" s="48">
        <f t="shared" si="23"/>
        <v>810000</v>
      </c>
      <c r="U124" s="63"/>
      <c r="V124" s="63"/>
      <c r="W124" s="63"/>
      <c r="X124" s="63"/>
      <c r="Y124" s="40">
        <v>100000</v>
      </c>
      <c r="Z124" s="40">
        <v>210000</v>
      </c>
      <c r="AA124" s="40">
        <v>100000</v>
      </c>
      <c r="AB124" s="40">
        <v>100000</v>
      </c>
      <c r="AC124" s="40">
        <v>100000</v>
      </c>
      <c r="AD124" s="40">
        <v>100000</v>
      </c>
      <c r="AE124" s="40">
        <v>100000</v>
      </c>
      <c r="AF124" s="40">
        <v>100000</v>
      </c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 t="s">
        <v>116</v>
      </c>
      <c r="AU124" s="30" t="s">
        <v>81</v>
      </c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>
        <f t="shared" si="33"/>
        <v>32000</v>
      </c>
      <c r="BM124" s="63">
        <f t="shared" si="24"/>
        <v>67200</v>
      </c>
      <c r="BN124" s="63">
        <f t="shared" si="25"/>
        <v>32000</v>
      </c>
      <c r="BO124" s="63">
        <f t="shared" si="26"/>
        <v>32000</v>
      </c>
      <c r="BP124" s="63">
        <f t="shared" si="27"/>
        <v>32000</v>
      </c>
      <c r="BQ124" s="63">
        <f t="shared" si="28"/>
        <v>32000</v>
      </c>
      <c r="BR124" s="63">
        <f t="shared" si="29"/>
        <v>32000</v>
      </c>
      <c r="BS124" s="63">
        <f t="shared" si="30"/>
        <v>32000</v>
      </c>
    </row>
    <row r="125" spans="1:71">
      <c r="A125" s="28">
        <f t="shared" si="21"/>
        <v>124</v>
      </c>
      <c r="B125" s="30" t="s">
        <v>827</v>
      </c>
      <c r="C125" s="30" t="s">
        <v>72</v>
      </c>
      <c r="D125" s="30" t="s">
        <v>822</v>
      </c>
      <c r="E125" s="30" t="s">
        <v>810</v>
      </c>
      <c r="F125" s="30" t="s">
        <v>774</v>
      </c>
      <c r="G125" s="30" t="s">
        <v>173</v>
      </c>
      <c r="H125" s="35" t="s">
        <v>174</v>
      </c>
      <c r="I125" s="30"/>
      <c r="J125" s="30"/>
      <c r="K125" s="30" t="s">
        <v>828</v>
      </c>
      <c r="L125" s="63"/>
      <c r="M125" s="63"/>
      <c r="N125" s="63"/>
      <c r="O125" s="63"/>
      <c r="P125" s="63"/>
      <c r="Q125" s="42">
        <v>0.25</v>
      </c>
      <c r="R125" s="47">
        <f t="shared" si="22"/>
        <v>390000</v>
      </c>
      <c r="S125" s="48">
        <v>400000</v>
      </c>
      <c r="T125" s="48">
        <f t="shared" si="23"/>
        <v>1560000</v>
      </c>
      <c r="U125" s="63"/>
      <c r="V125" s="63"/>
      <c r="W125" s="63"/>
      <c r="X125" s="63"/>
      <c r="Y125" s="40">
        <v>200000</v>
      </c>
      <c r="Z125" s="40">
        <v>200000</v>
      </c>
      <c r="AA125" s="40">
        <v>200000</v>
      </c>
      <c r="AB125" s="40">
        <v>360000</v>
      </c>
      <c r="AC125" s="40">
        <v>200000</v>
      </c>
      <c r="AD125" s="40">
        <v>200000</v>
      </c>
      <c r="AE125" s="40">
        <v>200000</v>
      </c>
      <c r="AF125" s="40">
        <v>200000</v>
      </c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 t="s">
        <v>116</v>
      </c>
      <c r="AU125" s="30" t="s">
        <v>81</v>
      </c>
      <c r="AV125" s="63"/>
      <c r="AW125" s="63"/>
      <c r="AX125" s="63"/>
      <c r="AY125" s="63"/>
      <c r="AZ125" s="63"/>
      <c r="BA125" s="63"/>
      <c r="BB125" s="63"/>
      <c r="BC125" s="63"/>
      <c r="BD125" s="63"/>
      <c r="BE125" s="63"/>
      <c r="BF125" s="63"/>
      <c r="BG125" s="63"/>
      <c r="BH125" s="63"/>
      <c r="BI125" s="63"/>
      <c r="BJ125" s="63"/>
      <c r="BK125" s="63"/>
      <c r="BL125" s="63">
        <f t="shared" si="33"/>
        <v>50000</v>
      </c>
      <c r="BM125" s="63">
        <f t="shared" si="24"/>
        <v>50000</v>
      </c>
      <c r="BN125" s="63">
        <f t="shared" si="25"/>
        <v>50000</v>
      </c>
      <c r="BO125" s="63">
        <f t="shared" si="26"/>
        <v>90000</v>
      </c>
      <c r="BP125" s="63">
        <f t="shared" si="27"/>
        <v>50000</v>
      </c>
      <c r="BQ125" s="63">
        <f t="shared" si="28"/>
        <v>50000</v>
      </c>
      <c r="BR125" s="63">
        <f t="shared" si="29"/>
        <v>50000</v>
      </c>
      <c r="BS125" s="63">
        <f t="shared" si="30"/>
        <v>50000</v>
      </c>
    </row>
    <row r="126" spans="1:71">
      <c r="A126" s="28">
        <f t="shared" si="21"/>
        <v>125</v>
      </c>
      <c r="B126" s="30" t="s">
        <v>829</v>
      </c>
      <c r="C126" s="30" t="s">
        <v>72</v>
      </c>
      <c r="D126" s="30" t="s">
        <v>822</v>
      </c>
      <c r="E126" s="30" t="s">
        <v>810</v>
      </c>
      <c r="F126" s="30" t="s">
        <v>774</v>
      </c>
      <c r="G126" s="30" t="s">
        <v>231</v>
      </c>
      <c r="H126" s="35" t="s">
        <v>232</v>
      </c>
      <c r="I126" s="30"/>
      <c r="J126" s="30"/>
      <c r="K126" s="30" t="s">
        <v>830</v>
      </c>
      <c r="L126" s="63"/>
      <c r="M126" s="63"/>
      <c r="N126" s="63"/>
      <c r="O126" s="63"/>
      <c r="P126" s="63"/>
      <c r="Q126" s="42">
        <v>0.32</v>
      </c>
      <c r="R126" s="47">
        <f t="shared" si="22"/>
        <v>25600</v>
      </c>
      <c r="S126" s="48">
        <v>28160</v>
      </c>
      <c r="T126" s="48">
        <f t="shared" si="23"/>
        <v>80000</v>
      </c>
      <c r="U126" s="63"/>
      <c r="V126" s="63"/>
      <c r="W126" s="63"/>
      <c r="X126" s="63"/>
      <c r="Y126" s="40">
        <v>8000</v>
      </c>
      <c r="Z126" s="40">
        <v>8000</v>
      </c>
      <c r="AA126" s="40">
        <v>12000</v>
      </c>
      <c r="AB126" s="40">
        <v>12000</v>
      </c>
      <c r="AC126" s="40">
        <v>12000</v>
      </c>
      <c r="AD126" s="40">
        <v>12000</v>
      </c>
      <c r="AE126" s="40">
        <v>12000</v>
      </c>
      <c r="AF126" s="40">
        <v>12000</v>
      </c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 t="s">
        <v>116</v>
      </c>
      <c r="AU126" s="30" t="s">
        <v>81</v>
      </c>
      <c r="AV126" s="63"/>
      <c r="AW126" s="63"/>
      <c r="AX126" s="63"/>
      <c r="AY126" s="63"/>
      <c r="AZ126" s="63"/>
      <c r="BA126" s="63"/>
      <c r="BB126" s="63"/>
      <c r="BC126" s="63"/>
      <c r="BD126" s="63"/>
      <c r="BE126" s="63"/>
      <c r="BF126" s="63"/>
      <c r="BG126" s="63"/>
      <c r="BH126" s="63"/>
      <c r="BI126" s="63"/>
      <c r="BJ126" s="63"/>
      <c r="BK126" s="63"/>
      <c r="BL126" s="63">
        <f t="shared" si="33"/>
        <v>2560</v>
      </c>
      <c r="BM126" s="63">
        <f t="shared" si="24"/>
        <v>2560</v>
      </c>
      <c r="BN126" s="63">
        <f t="shared" si="25"/>
        <v>3840</v>
      </c>
      <c r="BO126" s="63">
        <f t="shared" si="26"/>
        <v>3840</v>
      </c>
      <c r="BP126" s="63">
        <f t="shared" si="27"/>
        <v>3840</v>
      </c>
      <c r="BQ126" s="63">
        <f t="shared" si="28"/>
        <v>3840</v>
      </c>
      <c r="BR126" s="63">
        <f t="shared" si="29"/>
        <v>3840</v>
      </c>
      <c r="BS126" s="63">
        <f t="shared" si="30"/>
        <v>3840</v>
      </c>
    </row>
    <row r="127" spans="1:71">
      <c r="A127" s="28">
        <f t="shared" si="21"/>
        <v>126</v>
      </c>
      <c r="B127" s="30" t="s">
        <v>831</v>
      </c>
      <c r="C127" s="30" t="s">
        <v>72</v>
      </c>
      <c r="D127" s="30" t="s">
        <v>691</v>
      </c>
      <c r="E127" s="30" t="s">
        <v>810</v>
      </c>
      <c r="F127" s="30" t="s">
        <v>774</v>
      </c>
      <c r="G127" s="30" t="s">
        <v>167</v>
      </c>
      <c r="H127" s="35" t="s">
        <v>168</v>
      </c>
      <c r="I127" s="30">
        <v>1134</v>
      </c>
      <c r="J127" s="30" t="s">
        <v>169</v>
      </c>
      <c r="K127" s="30" t="s">
        <v>832</v>
      </c>
      <c r="L127" s="63"/>
      <c r="M127" s="63"/>
      <c r="N127" s="63"/>
      <c r="O127" s="63"/>
      <c r="P127" s="63"/>
      <c r="Q127" s="42">
        <v>0.32</v>
      </c>
      <c r="R127" s="47">
        <f t="shared" si="22"/>
        <v>280000</v>
      </c>
      <c r="S127" s="48">
        <v>320000</v>
      </c>
      <c r="T127" s="48">
        <f t="shared" si="23"/>
        <v>875000</v>
      </c>
      <c r="U127" s="63"/>
      <c r="V127" s="63"/>
      <c r="W127" s="63"/>
      <c r="X127" s="63"/>
      <c r="Y127" s="40">
        <v>125000</v>
      </c>
      <c r="Z127" s="40">
        <v>125000</v>
      </c>
      <c r="AA127" s="40">
        <v>125000</v>
      </c>
      <c r="AB127" s="40">
        <v>125000</v>
      </c>
      <c r="AC127" s="40">
        <v>125000</v>
      </c>
      <c r="AD127" s="40">
        <v>125000</v>
      </c>
      <c r="AE127" s="40">
        <v>125000</v>
      </c>
      <c r="AF127" s="40">
        <v>125000</v>
      </c>
      <c r="AG127" s="63"/>
      <c r="AH127" s="63"/>
      <c r="AI127" s="63"/>
      <c r="AJ127" s="63"/>
      <c r="AK127" s="63"/>
      <c r="AL127" s="63"/>
      <c r="AM127" s="63"/>
      <c r="AN127" s="63"/>
      <c r="AO127" s="63"/>
      <c r="AP127" s="63"/>
      <c r="AQ127" s="63"/>
      <c r="AR127" s="63"/>
      <c r="AS127" s="63"/>
      <c r="AT127" s="63" t="s">
        <v>116</v>
      </c>
      <c r="AU127" s="30" t="s">
        <v>81</v>
      </c>
      <c r="AV127" s="63"/>
      <c r="AW127" s="63"/>
      <c r="AX127" s="63"/>
      <c r="AY127" s="63"/>
      <c r="AZ127" s="63"/>
      <c r="BA127" s="63"/>
      <c r="BB127" s="63"/>
      <c r="BC127" s="63"/>
      <c r="BD127" s="63"/>
      <c r="BE127" s="63"/>
      <c r="BF127" s="63"/>
      <c r="BG127" s="63"/>
      <c r="BH127" s="63"/>
      <c r="BI127" s="63"/>
      <c r="BJ127" s="63"/>
      <c r="BK127" s="63"/>
      <c r="BL127" s="63">
        <f t="shared" si="33"/>
        <v>40000</v>
      </c>
      <c r="BM127" s="63">
        <f t="shared" si="24"/>
        <v>40000</v>
      </c>
      <c r="BN127" s="63">
        <f t="shared" si="25"/>
        <v>40000</v>
      </c>
      <c r="BO127" s="63">
        <f t="shared" si="26"/>
        <v>40000</v>
      </c>
      <c r="BP127" s="63">
        <f t="shared" si="27"/>
        <v>40000</v>
      </c>
      <c r="BQ127" s="63">
        <f t="shared" si="28"/>
        <v>40000</v>
      </c>
      <c r="BR127" s="63">
        <f t="shared" si="29"/>
        <v>40000</v>
      </c>
      <c r="BS127" s="63">
        <f t="shared" si="30"/>
        <v>40000</v>
      </c>
    </row>
    <row r="128" spans="1:71">
      <c r="A128" s="28">
        <f t="shared" si="21"/>
        <v>127</v>
      </c>
      <c r="B128" s="30" t="s">
        <v>833</v>
      </c>
      <c r="C128" s="30" t="s">
        <v>92</v>
      </c>
      <c r="D128" s="30" t="s">
        <v>691</v>
      </c>
      <c r="E128" s="30" t="s">
        <v>810</v>
      </c>
      <c r="F128" s="30" t="s">
        <v>774</v>
      </c>
      <c r="G128" s="30" t="s">
        <v>272</v>
      </c>
      <c r="H128" s="35" t="s">
        <v>273</v>
      </c>
      <c r="I128" s="30"/>
      <c r="J128" s="30"/>
      <c r="K128" s="30" t="s">
        <v>834</v>
      </c>
      <c r="L128" s="63"/>
      <c r="M128" s="63"/>
      <c r="N128" s="63"/>
      <c r="O128" s="63"/>
      <c r="P128" s="63"/>
      <c r="Q128" s="42">
        <v>0.32</v>
      </c>
      <c r="R128" s="47">
        <f t="shared" si="22"/>
        <v>67200</v>
      </c>
      <c r="S128" s="48">
        <v>76800</v>
      </c>
      <c r="T128" s="48">
        <f t="shared" si="23"/>
        <v>210000</v>
      </c>
      <c r="U128" s="63"/>
      <c r="V128" s="63"/>
      <c r="W128" s="63"/>
      <c r="X128" s="63"/>
      <c r="Y128" s="40">
        <v>30000</v>
      </c>
      <c r="Z128" s="40">
        <v>30000</v>
      </c>
      <c r="AA128" s="40">
        <v>30000</v>
      </c>
      <c r="AB128" s="40">
        <v>30000</v>
      </c>
      <c r="AC128" s="40">
        <v>30000</v>
      </c>
      <c r="AD128" s="40">
        <v>30000</v>
      </c>
      <c r="AE128" s="40">
        <v>30000</v>
      </c>
      <c r="AF128" s="40">
        <v>30000</v>
      </c>
      <c r="AG128" s="63"/>
      <c r="AH128" s="63"/>
      <c r="AI128" s="63"/>
      <c r="AJ128" s="63"/>
      <c r="AK128" s="63"/>
      <c r="AL128" s="63"/>
      <c r="AM128" s="63"/>
      <c r="AN128" s="63"/>
      <c r="AO128" s="63"/>
      <c r="AP128" s="63"/>
      <c r="AQ128" s="63"/>
      <c r="AR128" s="63"/>
      <c r="AS128" s="63"/>
      <c r="AT128" s="63" t="s">
        <v>116</v>
      </c>
      <c r="AU128" s="30" t="s">
        <v>81</v>
      </c>
      <c r="AV128" s="63"/>
      <c r="AW128" s="63"/>
      <c r="AX128" s="63"/>
      <c r="AY128" s="63"/>
      <c r="AZ128" s="63"/>
      <c r="BA128" s="63"/>
      <c r="BB128" s="63"/>
      <c r="BC128" s="63"/>
      <c r="BD128" s="63"/>
      <c r="BE128" s="63"/>
      <c r="BF128" s="63"/>
      <c r="BG128" s="63"/>
      <c r="BH128" s="63"/>
      <c r="BI128" s="63"/>
      <c r="BJ128" s="63"/>
      <c r="BK128" s="63"/>
      <c r="BL128" s="63">
        <f t="shared" si="33"/>
        <v>9600</v>
      </c>
      <c r="BM128" s="63">
        <f t="shared" si="24"/>
        <v>9600</v>
      </c>
      <c r="BN128" s="63">
        <f t="shared" si="25"/>
        <v>9600</v>
      </c>
      <c r="BO128" s="63">
        <f t="shared" si="26"/>
        <v>9600</v>
      </c>
      <c r="BP128" s="63">
        <f t="shared" si="27"/>
        <v>9600</v>
      </c>
      <c r="BQ128" s="63">
        <f t="shared" si="28"/>
        <v>9600</v>
      </c>
      <c r="BR128" s="63">
        <f t="shared" si="29"/>
        <v>9600</v>
      </c>
      <c r="BS128" s="63">
        <f t="shared" si="30"/>
        <v>9600</v>
      </c>
    </row>
    <row r="129" spans="1:71">
      <c r="A129" s="28">
        <f t="shared" si="21"/>
        <v>128</v>
      </c>
      <c r="B129" s="30" t="s">
        <v>835</v>
      </c>
      <c r="C129" s="30" t="s">
        <v>72</v>
      </c>
      <c r="D129" s="30" t="s">
        <v>691</v>
      </c>
      <c r="E129" s="30" t="s">
        <v>810</v>
      </c>
      <c r="F129" s="30" t="s">
        <v>774</v>
      </c>
      <c r="G129" s="30" t="s">
        <v>203</v>
      </c>
      <c r="H129" s="35" t="s">
        <v>205</v>
      </c>
      <c r="I129" s="30">
        <v>2642</v>
      </c>
      <c r="J129" s="30"/>
      <c r="K129" s="30" t="s">
        <v>836</v>
      </c>
      <c r="L129" s="63"/>
      <c r="M129" s="63"/>
      <c r="N129" s="63"/>
      <c r="O129" s="63"/>
      <c r="P129" s="63"/>
      <c r="Q129" s="70">
        <v>0.32</v>
      </c>
      <c r="R129" s="47">
        <f t="shared" si="22"/>
        <v>121920</v>
      </c>
      <c r="S129" s="48">
        <v>0</v>
      </c>
      <c r="T129" s="48">
        <f t="shared" si="23"/>
        <v>381000</v>
      </c>
      <c r="U129" s="63"/>
      <c r="V129" s="63"/>
      <c r="W129" s="63"/>
      <c r="X129" s="63"/>
      <c r="Y129" s="40">
        <v>60000</v>
      </c>
      <c r="Z129" s="40"/>
      <c r="AA129" s="40"/>
      <c r="AB129" s="40">
        <v>381000</v>
      </c>
      <c r="AC129" s="40"/>
      <c r="AD129" s="40"/>
      <c r="AE129" s="40"/>
      <c r="AF129" s="40"/>
      <c r="AG129" s="63"/>
      <c r="AH129" s="63"/>
      <c r="AI129" s="63"/>
      <c r="AJ129" s="63"/>
      <c r="AK129" s="63"/>
      <c r="AL129" s="63"/>
      <c r="AM129" s="63"/>
      <c r="AN129" s="63"/>
      <c r="AO129" s="63"/>
      <c r="AP129" s="63"/>
      <c r="AQ129" s="63"/>
      <c r="AR129" s="63"/>
      <c r="AS129" s="63"/>
      <c r="AT129" s="63" t="s">
        <v>116</v>
      </c>
      <c r="AU129" s="30" t="s">
        <v>81</v>
      </c>
      <c r="AV129" s="63"/>
      <c r="AW129" s="63"/>
      <c r="AX129" s="63"/>
      <c r="AY129" s="63"/>
      <c r="AZ129" s="63"/>
      <c r="BA129" s="63"/>
      <c r="BB129" s="63"/>
      <c r="BC129" s="63"/>
      <c r="BD129" s="63"/>
      <c r="BE129" s="63"/>
      <c r="BF129" s="63"/>
      <c r="BG129" s="63"/>
      <c r="BH129" s="63"/>
      <c r="BI129" s="63"/>
      <c r="BJ129" s="63"/>
      <c r="BK129" s="63"/>
      <c r="BL129" s="63">
        <f t="shared" si="33"/>
        <v>19200</v>
      </c>
      <c r="BM129" s="63">
        <f t="shared" si="24"/>
        <v>0</v>
      </c>
      <c r="BN129" s="63">
        <f t="shared" si="25"/>
        <v>0</v>
      </c>
      <c r="BO129" s="63">
        <f t="shared" si="26"/>
        <v>121920</v>
      </c>
      <c r="BP129" s="63">
        <f t="shared" si="27"/>
        <v>0</v>
      </c>
      <c r="BQ129" s="63">
        <f t="shared" si="28"/>
        <v>0</v>
      </c>
      <c r="BR129" s="63">
        <f t="shared" si="29"/>
        <v>0</v>
      </c>
      <c r="BS129" s="63">
        <f t="shared" si="30"/>
        <v>0</v>
      </c>
    </row>
    <row r="130" spans="1:71">
      <c r="A130" s="28">
        <f t="shared" si="21"/>
        <v>129</v>
      </c>
      <c r="B130" s="30" t="s">
        <v>837</v>
      </c>
      <c r="C130" s="30" t="s">
        <v>72</v>
      </c>
      <c r="D130" s="30" t="s">
        <v>691</v>
      </c>
      <c r="E130" s="30" t="s">
        <v>810</v>
      </c>
      <c r="F130" s="30" t="s">
        <v>774</v>
      </c>
      <c r="G130" s="30" t="s">
        <v>253</v>
      </c>
      <c r="H130" s="35"/>
      <c r="I130" s="30"/>
      <c r="J130" s="30"/>
      <c r="K130" s="30" t="s">
        <v>838</v>
      </c>
      <c r="L130" s="63"/>
      <c r="M130" s="63"/>
      <c r="N130" s="63"/>
      <c r="O130" s="63"/>
      <c r="P130" s="63"/>
      <c r="Q130" s="71"/>
      <c r="R130" s="47">
        <f t="shared" si="22"/>
        <v>0</v>
      </c>
      <c r="S130" s="48">
        <v>0</v>
      </c>
      <c r="T130" s="48">
        <f t="shared" si="23"/>
        <v>0</v>
      </c>
      <c r="U130" s="63"/>
      <c r="V130" s="63"/>
      <c r="W130" s="63"/>
      <c r="X130" s="63"/>
      <c r="Y130" s="40"/>
      <c r="Z130" s="40"/>
      <c r="AA130" s="40"/>
      <c r="AB130" s="40"/>
      <c r="AC130" s="40"/>
      <c r="AD130" s="40"/>
      <c r="AE130" s="40"/>
      <c r="AF130" s="40"/>
      <c r="AG130" s="63"/>
      <c r="AH130" s="63"/>
      <c r="AI130" s="63"/>
      <c r="AJ130" s="63"/>
      <c r="AK130" s="63"/>
      <c r="AL130" s="63"/>
      <c r="AM130" s="63"/>
      <c r="AN130" s="63"/>
      <c r="AO130" s="63"/>
      <c r="AP130" s="63"/>
      <c r="AQ130" s="63"/>
      <c r="AR130" s="63"/>
      <c r="AS130" s="63"/>
      <c r="AT130" s="63" t="s">
        <v>116</v>
      </c>
      <c r="AU130" s="30" t="s">
        <v>81</v>
      </c>
      <c r="AV130" s="63"/>
      <c r="AW130" s="63"/>
      <c r="AX130" s="63"/>
      <c r="AY130" s="63"/>
      <c r="AZ130" s="63"/>
      <c r="BA130" s="63"/>
      <c r="BB130" s="63"/>
      <c r="BC130" s="63"/>
      <c r="BD130" s="63"/>
      <c r="BE130" s="63"/>
      <c r="BF130" s="63"/>
      <c r="BG130" s="63"/>
      <c r="BH130" s="63"/>
      <c r="BI130" s="63"/>
      <c r="BJ130" s="63"/>
      <c r="BK130" s="63"/>
      <c r="BL130" s="63">
        <f t="shared" si="33"/>
        <v>0</v>
      </c>
      <c r="BM130" s="63">
        <f t="shared" si="24"/>
        <v>0</v>
      </c>
      <c r="BN130" s="63">
        <f t="shared" si="25"/>
        <v>0</v>
      </c>
      <c r="BO130" s="63">
        <f t="shared" si="26"/>
        <v>0</v>
      </c>
      <c r="BP130" s="63">
        <f t="shared" si="27"/>
        <v>0</v>
      </c>
      <c r="BQ130" s="63">
        <f t="shared" si="28"/>
        <v>0</v>
      </c>
      <c r="BR130" s="63">
        <f t="shared" si="29"/>
        <v>0</v>
      </c>
      <c r="BS130" s="63">
        <f t="shared" si="30"/>
        <v>0</v>
      </c>
    </row>
    <row r="131" spans="1:71">
      <c r="A131" s="28">
        <f t="shared" ref="A131:A194" si="34">ROW()-1</f>
        <v>130</v>
      </c>
      <c r="B131" s="30" t="s">
        <v>839</v>
      </c>
      <c r="C131" s="30" t="s">
        <v>92</v>
      </c>
      <c r="D131" s="30" t="s">
        <v>691</v>
      </c>
      <c r="E131" s="30" t="s">
        <v>810</v>
      </c>
      <c r="F131" s="30" t="s">
        <v>774</v>
      </c>
      <c r="G131" s="30" t="s">
        <v>452</v>
      </c>
      <c r="H131" s="35" t="s">
        <v>454</v>
      </c>
      <c r="I131" s="30"/>
      <c r="J131" s="30"/>
      <c r="K131" s="30" t="s">
        <v>745</v>
      </c>
      <c r="L131" s="63"/>
      <c r="M131" s="63"/>
      <c r="N131" s="63"/>
      <c r="O131" s="63"/>
      <c r="P131" s="63"/>
      <c r="Q131" s="42">
        <v>2.07</v>
      </c>
      <c r="R131" s="47">
        <f t="shared" ref="R131:R194" si="35">Q131*T131</f>
        <v>1759500</v>
      </c>
      <c r="S131" s="48">
        <v>1987200</v>
      </c>
      <c r="T131" s="48">
        <f t="shared" ref="T131:T194" si="36">SUM(Z131:AF131)</f>
        <v>850000</v>
      </c>
      <c r="U131" s="63"/>
      <c r="V131" s="63"/>
      <c r="W131" s="63"/>
      <c r="X131" s="63"/>
      <c r="Y131" s="40">
        <v>110000</v>
      </c>
      <c r="Z131" s="40">
        <v>110000</v>
      </c>
      <c r="AA131" s="40">
        <v>110000</v>
      </c>
      <c r="AB131" s="40">
        <v>110000</v>
      </c>
      <c r="AC131" s="40">
        <v>130000</v>
      </c>
      <c r="AD131" s="40">
        <v>130000</v>
      </c>
      <c r="AE131" s="40">
        <v>130000</v>
      </c>
      <c r="AF131" s="40">
        <v>130000</v>
      </c>
      <c r="AG131" s="63"/>
      <c r="AH131" s="63"/>
      <c r="AI131" s="63"/>
      <c r="AJ131" s="63"/>
      <c r="AK131" s="63"/>
      <c r="AL131" s="63"/>
      <c r="AM131" s="63"/>
      <c r="AN131" s="63"/>
      <c r="AO131" s="63"/>
      <c r="AP131" s="63"/>
      <c r="AQ131" s="63"/>
      <c r="AR131" s="63"/>
      <c r="AS131" s="63"/>
      <c r="AT131" s="63" t="s">
        <v>116</v>
      </c>
      <c r="AU131" s="30" t="s">
        <v>688</v>
      </c>
      <c r="AV131" s="63"/>
      <c r="AW131" s="63"/>
      <c r="AX131" s="63"/>
      <c r="AY131" s="63"/>
      <c r="AZ131" s="63"/>
      <c r="BA131" s="63"/>
      <c r="BB131" s="63"/>
      <c r="BC131" s="63"/>
      <c r="BD131" s="63"/>
      <c r="BE131" s="63"/>
      <c r="BF131" s="63"/>
      <c r="BG131" s="63"/>
      <c r="BH131" s="63"/>
      <c r="BI131" s="63"/>
      <c r="BJ131" s="63"/>
      <c r="BK131" s="63"/>
      <c r="BL131" s="63">
        <f t="shared" si="33"/>
        <v>227700</v>
      </c>
      <c r="BM131" s="63">
        <f t="shared" ref="BM131:BM194" si="37">$Q131*Z131</f>
        <v>227700</v>
      </c>
      <c r="BN131" s="63">
        <f t="shared" ref="BN131:BN194" si="38">$Q131*AA131</f>
        <v>227700</v>
      </c>
      <c r="BO131" s="63">
        <f t="shared" ref="BO131:BO194" si="39">$Q131*AB131</f>
        <v>227700</v>
      </c>
      <c r="BP131" s="63">
        <f t="shared" ref="BP131:BP194" si="40">$Q131*AC131</f>
        <v>269100</v>
      </c>
      <c r="BQ131" s="63">
        <f t="shared" ref="BQ131:BQ194" si="41">$Q131*AD131</f>
        <v>269100</v>
      </c>
      <c r="BR131" s="63">
        <f t="shared" ref="BR131:BR194" si="42">$Q131*AE131</f>
        <v>269100</v>
      </c>
      <c r="BS131" s="63">
        <f t="shared" ref="BS131:BS194" si="43">$Q131*AF131</f>
        <v>269100</v>
      </c>
    </row>
    <row r="132" spans="1:71">
      <c r="A132" s="28">
        <f t="shared" si="34"/>
        <v>131</v>
      </c>
      <c r="B132" s="30" t="s">
        <v>839</v>
      </c>
      <c r="C132" s="30" t="s">
        <v>92</v>
      </c>
      <c r="D132" s="30" t="s">
        <v>691</v>
      </c>
      <c r="E132" s="30" t="s">
        <v>810</v>
      </c>
      <c r="F132" s="30" t="s">
        <v>774</v>
      </c>
      <c r="G132" s="30" t="s">
        <v>471</v>
      </c>
      <c r="H132" s="35" t="s">
        <v>472</v>
      </c>
      <c r="I132" s="30"/>
      <c r="J132" s="30"/>
      <c r="K132" s="30" t="s">
        <v>745</v>
      </c>
      <c r="L132" s="63"/>
      <c r="M132" s="63"/>
      <c r="N132" s="63"/>
      <c r="O132" s="63"/>
      <c r="P132" s="63"/>
      <c r="Q132" s="71"/>
      <c r="R132" s="47">
        <f t="shared" si="35"/>
        <v>0</v>
      </c>
      <c r="S132" s="48">
        <v>0</v>
      </c>
      <c r="T132" s="48">
        <f t="shared" si="36"/>
        <v>0</v>
      </c>
      <c r="U132" s="63"/>
      <c r="V132" s="63"/>
      <c r="W132" s="63"/>
      <c r="X132" s="63"/>
      <c r="Y132" s="40"/>
      <c r="Z132" s="40"/>
      <c r="AA132" s="40"/>
      <c r="AB132" s="40"/>
      <c r="AC132" s="40"/>
      <c r="AD132" s="40"/>
      <c r="AE132" s="40"/>
      <c r="AF132" s="40"/>
      <c r="AG132" s="63"/>
      <c r="AH132" s="63"/>
      <c r="AI132" s="63"/>
      <c r="AJ132" s="63"/>
      <c r="AK132" s="63"/>
      <c r="AL132" s="63"/>
      <c r="AM132" s="63"/>
      <c r="AN132" s="63"/>
      <c r="AO132" s="63"/>
      <c r="AP132" s="63"/>
      <c r="AQ132" s="63"/>
      <c r="AR132" s="63"/>
      <c r="AS132" s="63"/>
      <c r="AT132" s="63" t="s">
        <v>116</v>
      </c>
      <c r="AU132" s="30" t="s">
        <v>688</v>
      </c>
      <c r="AV132" s="63"/>
      <c r="AW132" s="63"/>
      <c r="AX132" s="63"/>
      <c r="AY132" s="63"/>
      <c r="AZ132" s="63"/>
      <c r="BA132" s="63"/>
      <c r="BB132" s="63"/>
      <c r="BC132" s="63"/>
      <c r="BD132" s="63"/>
      <c r="BE132" s="63"/>
      <c r="BF132" s="63"/>
      <c r="BG132" s="63"/>
      <c r="BH132" s="63"/>
      <c r="BI132" s="63"/>
      <c r="BJ132" s="63"/>
      <c r="BK132" s="63"/>
      <c r="BL132" s="63">
        <f t="shared" si="33"/>
        <v>0</v>
      </c>
      <c r="BM132" s="63">
        <f t="shared" si="37"/>
        <v>0</v>
      </c>
      <c r="BN132" s="63">
        <f t="shared" si="38"/>
        <v>0</v>
      </c>
      <c r="BO132" s="63">
        <f t="shared" si="39"/>
        <v>0</v>
      </c>
      <c r="BP132" s="63">
        <f t="shared" si="40"/>
        <v>0</v>
      </c>
      <c r="BQ132" s="63">
        <f t="shared" si="41"/>
        <v>0</v>
      </c>
      <c r="BR132" s="63">
        <f t="shared" si="42"/>
        <v>0</v>
      </c>
      <c r="BS132" s="63">
        <f t="shared" si="43"/>
        <v>0</v>
      </c>
    </row>
    <row r="133" spans="1:71">
      <c r="A133" s="28">
        <f t="shared" si="34"/>
        <v>132</v>
      </c>
      <c r="B133" s="30" t="s">
        <v>839</v>
      </c>
      <c r="C133" s="30" t="s">
        <v>92</v>
      </c>
      <c r="D133" s="30" t="s">
        <v>691</v>
      </c>
      <c r="E133" s="30" t="s">
        <v>810</v>
      </c>
      <c r="F133" s="30" t="s">
        <v>774</v>
      </c>
      <c r="G133" s="30" t="s">
        <v>448</v>
      </c>
      <c r="H133" s="35" t="s">
        <v>449</v>
      </c>
      <c r="I133" s="30"/>
      <c r="J133" s="30"/>
      <c r="K133" s="30" t="s">
        <v>745</v>
      </c>
      <c r="L133" s="63"/>
      <c r="M133" s="63"/>
      <c r="N133" s="63"/>
      <c r="O133" s="63"/>
      <c r="P133" s="63"/>
      <c r="Q133" s="71"/>
      <c r="R133" s="47">
        <f t="shared" si="35"/>
        <v>0</v>
      </c>
      <c r="S133" s="48">
        <v>0</v>
      </c>
      <c r="T133" s="48">
        <f t="shared" si="36"/>
        <v>0</v>
      </c>
      <c r="U133" s="63"/>
      <c r="V133" s="63"/>
      <c r="W133" s="63"/>
      <c r="X133" s="63"/>
      <c r="Y133" s="40"/>
      <c r="Z133" s="40"/>
      <c r="AA133" s="40"/>
      <c r="AB133" s="40"/>
      <c r="AC133" s="40"/>
      <c r="AD133" s="40"/>
      <c r="AE133" s="40"/>
      <c r="AF133" s="40"/>
      <c r="AG133" s="63"/>
      <c r="AH133" s="63"/>
      <c r="AI133" s="63"/>
      <c r="AJ133" s="63"/>
      <c r="AK133" s="63"/>
      <c r="AL133" s="63"/>
      <c r="AM133" s="63"/>
      <c r="AN133" s="63"/>
      <c r="AO133" s="63"/>
      <c r="AP133" s="63"/>
      <c r="AQ133" s="63"/>
      <c r="AR133" s="63"/>
      <c r="AS133" s="63"/>
      <c r="AT133" s="63" t="s">
        <v>116</v>
      </c>
      <c r="AU133" s="30" t="s">
        <v>688</v>
      </c>
      <c r="AV133" s="63"/>
      <c r="AW133" s="63"/>
      <c r="AX133" s="63"/>
      <c r="AY133" s="63"/>
      <c r="AZ133" s="63"/>
      <c r="BA133" s="63"/>
      <c r="BB133" s="63"/>
      <c r="BC133" s="63"/>
      <c r="BD133" s="63"/>
      <c r="BE133" s="63"/>
      <c r="BF133" s="63"/>
      <c r="BG133" s="63"/>
      <c r="BH133" s="63"/>
      <c r="BI133" s="63"/>
      <c r="BJ133" s="63"/>
      <c r="BK133" s="63"/>
      <c r="BL133" s="63">
        <f t="shared" si="33"/>
        <v>0</v>
      </c>
      <c r="BM133" s="63">
        <f t="shared" si="37"/>
        <v>0</v>
      </c>
      <c r="BN133" s="63">
        <f t="shared" si="38"/>
        <v>0</v>
      </c>
      <c r="BO133" s="63">
        <f t="shared" si="39"/>
        <v>0</v>
      </c>
      <c r="BP133" s="63">
        <f t="shared" si="40"/>
        <v>0</v>
      </c>
      <c r="BQ133" s="63">
        <f t="shared" si="41"/>
        <v>0</v>
      </c>
      <c r="BR133" s="63">
        <f t="shared" si="42"/>
        <v>0</v>
      </c>
      <c r="BS133" s="63">
        <f t="shared" si="43"/>
        <v>0</v>
      </c>
    </row>
    <row r="134" spans="1:71">
      <c r="A134" s="28">
        <f t="shared" si="34"/>
        <v>133</v>
      </c>
      <c r="B134" s="30" t="s">
        <v>840</v>
      </c>
      <c r="C134" s="30" t="s">
        <v>72</v>
      </c>
      <c r="D134" s="30" t="s">
        <v>691</v>
      </c>
      <c r="E134" s="30" t="s">
        <v>810</v>
      </c>
      <c r="F134" s="30" t="s">
        <v>774</v>
      </c>
      <c r="G134" s="30" t="s">
        <v>439</v>
      </c>
      <c r="H134" s="35" t="s">
        <v>440</v>
      </c>
      <c r="I134" s="30"/>
      <c r="J134" s="30"/>
      <c r="K134" s="30" t="s">
        <v>745</v>
      </c>
      <c r="L134" s="63"/>
      <c r="M134" s="63"/>
      <c r="N134" s="63"/>
      <c r="O134" s="63"/>
      <c r="P134" s="63"/>
      <c r="Q134" s="42">
        <v>2.18</v>
      </c>
      <c r="R134" s="47">
        <f t="shared" si="35"/>
        <v>418560</v>
      </c>
      <c r="S134" s="48">
        <v>1133600</v>
      </c>
      <c r="T134" s="48">
        <f t="shared" si="36"/>
        <v>192000</v>
      </c>
      <c r="U134" s="63"/>
      <c r="V134" s="63"/>
      <c r="W134" s="63"/>
      <c r="X134" s="63"/>
      <c r="Y134" s="40">
        <v>50000</v>
      </c>
      <c r="Z134" s="40">
        <v>24000</v>
      </c>
      <c r="AA134" s="40">
        <v>24000</v>
      </c>
      <c r="AB134" s="40">
        <v>24000</v>
      </c>
      <c r="AC134" s="40">
        <v>30000</v>
      </c>
      <c r="AD134" s="40">
        <v>30000</v>
      </c>
      <c r="AE134" s="40">
        <v>30000</v>
      </c>
      <c r="AF134" s="40">
        <v>30000</v>
      </c>
      <c r="AG134" s="63"/>
      <c r="AH134" s="63"/>
      <c r="AI134" s="63"/>
      <c r="AJ134" s="63"/>
      <c r="AK134" s="63"/>
      <c r="AL134" s="63"/>
      <c r="AM134" s="63"/>
      <c r="AN134" s="63"/>
      <c r="AO134" s="63"/>
      <c r="AP134" s="63"/>
      <c r="AQ134" s="63"/>
      <c r="AR134" s="63"/>
      <c r="AS134" s="63"/>
      <c r="AT134" s="63" t="s">
        <v>116</v>
      </c>
      <c r="AU134" s="30" t="s">
        <v>688</v>
      </c>
      <c r="AV134" s="63"/>
      <c r="AW134" s="63"/>
      <c r="AX134" s="63"/>
      <c r="AY134" s="63"/>
      <c r="AZ134" s="63"/>
      <c r="BA134" s="63"/>
      <c r="BB134" s="63"/>
      <c r="BC134" s="63"/>
      <c r="BD134" s="63"/>
      <c r="BE134" s="63"/>
      <c r="BF134" s="63"/>
      <c r="BG134" s="63"/>
      <c r="BH134" s="63"/>
      <c r="BI134" s="63"/>
      <c r="BJ134" s="63"/>
      <c r="BK134" s="63"/>
      <c r="BL134" s="63">
        <f t="shared" si="33"/>
        <v>109000</v>
      </c>
      <c r="BM134" s="63">
        <f t="shared" si="37"/>
        <v>52320</v>
      </c>
      <c r="BN134" s="63">
        <f t="shared" si="38"/>
        <v>52320</v>
      </c>
      <c r="BO134" s="63">
        <f t="shared" si="39"/>
        <v>52320</v>
      </c>
      <c r="BP134" s="63">
        <f t="shared" si="40"/>
        <v>65400</v>
      </c>
      <c r="BQ134" s="63">
        <f t="shared" si="41"/>
        <v>65400</v>
      </c>
      <c r="BR134" s="63">
        <f t="shared" si="42"/>
        <v>65400</v>
      </c>
      <c r="BS134" s="63">
        <f t="shared" si="43"/>
        <v>65400</v>
      </c>
    </row>
    <row r="135" spans="1:71">
      <c r="A135" s="28">
        <f t="shared" si="34"/>
        <v>134</v>
      </c>
      <c r="B135" s="30" t="s">
        <v>840</v>
      </c>
      <c r="C135" s="30" t="s">
        <v>72</v>
      </c>
      <c r="D135" s="30" t="s">
        <v>691</v>
      </c>
      <c r="E135" s="30" t="s">
        <v>810</v>
      </c>
      <c r="F135" s="30" t="s">
        <v>774</v>
      </c>
      <c r="G135" s="30" t="s">
        <v>448</v>
      </c>
      <c r="H135" s="35" t="s">
        <v>449</v>
      </c>
      <c r="I135" s="30"/>
      <c r="J135" s="30"/>
      <c r="K135" s="30" t="s">
        <v>745</v>
      </c>
      <c r="L135" s="63"/>
      <c r="M135" s="63"/>
      <c r="N135" s="63"/>
      <c r="O135" s="63"/>
      <c r="P135" s="63"/>
      <c r="Q135" s="42">
        <v>2.3</v>
      </c>
      <c r="R135" s="47">
        <f t="shared" si="35"/>
        <v>0</v>
      </c>
      <c r="S135" s="48">
        <v>2357500</v>
      </c>
      <c r="T135" s="48">
        <f t="shared" si="36"/>
        <v>0</v>
      </c>
      <c r="U135" s="63"/>
      <c r="V135" s="63"/>
      <c r="W135" s="63"/>
      <c r="X135" s="63"/>
      <c r="Y135" s="40">
        <v>100000</v>
      </c>
      <c r="Z135" s="40"/>
      <c r="AA135" s="40"/>
      <c r="AB135" s="40"/>
      <c r="AC135" s="40"/>
      <c r="AD135" s="40"/>
      <c r="AE135" s="40"/>
      <c r="AF135" s="40"/>
      <c r="AG135" s="63"/>
      <c r="AH135" s="63"/>
      <c r="AI135" s="63"/>
      <c r="AJ135" s="63"/>
      <c r="AK135" s="63"/>
      <c r="AL135" s="63"/>
      <c r="AM135" s="63"/>
      <c r="AN135" s="63"/>
      <c r="AO135" s="63"/>
      <c r="AP135" s="63"/>
      <c r="AQ135" s="63"/>
      <c r="AR135" s="63"/>
      <c r="AS135" s="63"/>
      <c r="AT135" s="63" t="s">
        <v>116</v>
      </c>
      <c r="AU135" s="30" t="s">
        <v>688</v>
      </c>
      <c r="AV135" s="63"/>
      <c r="AW135" s="63"/>
      <c r="AX135" s="63"/>
      <c r="AY135" s="63"/>
      <c r="AZ135" s="63"/>
      <c r="BA135" s="63"/>
      <c r="BB135" s="63"/>
      <c r="BC135" s="63"/>
      <c r="BD135" s="63"/>
      <c r="BE135" s="63"/>
      <c r="BF135" s="63"/>
      <c r="BG135" s="63"/>
      <c r="BH135" s="63"/>
      <c r="BI135" s="63"/>
      <c r="BJ135" s="63"/>
      <c r="BK135" s="63"/>
      <c r="BL135" s="63">
        <f t="shared" si="33"/>
        <v>230000</v>
      </c>
      <c r="BM135" s="63">
        <f t="shared" si="37"/>
        <v>0</v>
      </c>
      <c r="BN135" s="63">
        <f t="shared" si="38"/>
        <v>0</v>
      </c>
      <c r="BO135" s="63">
        <f t="shared" si="39"/>
        <v>0</v>
      </c>
      <c r="BP135" s="63">
        <f t="shared" si="40"/>
        <v>0</v>
      </c>
      <c r="BQ135" s="63">
        <f t="shared" si="41"/>
        <v>0</v>
      </c>
      <c r="BR135" s="63">
        <f t="shared" si="42"/>
        <v>0</v>
      </c>
      <c r="BS135" s="63">
        <f t="shared" si="43"/>
        <v>0</v>
      </c>
    </row>
    <row r="136" spans="1:71">
      <c r="A136" s="28">
        <f t="shared" si="34"/>
        <v>135</v>
      </c>
      <c r="B136" s="30" t="s">
        <v>773</v>
      </c>
      <c r="C136" s="30" t="s">
        <v>92</v>
      </c>
      <c r="D136" s="30" t="s">
        <v>691</v>
      </c>
      <c r="E136" s="30" t="s">
        <v>810</v>
      </c>
      <c r="F136" s="30" t="s">
        <v>774</v>
      </c>
      <c r="G136" s="30" t="s">
        <v>452</v>
      </c>
      <c r="H136" s="35" t="s">
        <v>453</v>
      </c>
      <c r="I136" s="30"/>
      <c r="J136" s="30"/>
      <c r="K136" s="30" t="s">
        <v>745</v>
      </c>
      <c r="L136" s="63"/>
      <c r="M136" s="63"/>
      <c r="N136" s="63"/>
      <c r="O136" s="63"/>
      <c r="P136" s="63"/>
      <c r="Q136" s="42">
        <v>2.07</v>
      </c>
      <c r="R136" s="47">
        <f t="shared" si="35"/>
        <v>1531800</v>
      </c>
      <c r="S136" s="48">
        <v>1738800</v>
      </c>
      <c r="T136" s="48">
        <f t="shared" si="36"/>
        <v>740000</v>
      </c>
      <c r="U136" s="63"/>
      <c r="V136" s="63"/>
      <c r="W136" s="63"/>
      <c r="X136" s="63"/>
      <c r="Y136" s="40">
        <v>100000</v>
      </c>
      <c r="Z136" s="40">
        <v>100000</v>
      </c>
      <c r="AA136" s="40">
        <v>100000</v>
      </c>
      <c r="AB136" s="40">
        <v>100000</v>
      </c>
      <c r="AC136" s="40">
        <v>110000</v>
      </c>
      <c r="AD136" s="40">
        <v>110000</v>
      </c>
      <c r="AE136" s="40">
        <v>110000</v>
      </c>
      <c r="AF136" s="40">
        <v>110000</v>
      </c>
      <c r="AG136" s="63"/>
      <c r="AH136" s="63"/>
      <c r="AI136" s="63"/>
      <c r="AJ136" s="63"/>
      <c r="AK136" s="63"/>
      <c r="AL136" s="63"/>
      <c r="AM136" s="63"/>
      <c r="AN136" s="63"/>
      <c r="AO136" s="63"/>
      <c r="AP136" s="63"/>
      <c r="AQ136" s="63"/>
      <c r="AR136" s="63"/>
      <c r="AS136" s="63"/>
      <c r="AT136" s="63" t="s">
        <v>116</v>
      </c>
      <c r="AU136" s="30" t="s">
        <v>688</v>
      </c>
      <c r="AV136" s="63"/>
      <c r="AW136" s="63"/>
      <c r="AX136" s="63"/>
      <c r="AY136" s="63"/>
      <c r="AZ136" s="63"/>
      <c r="BA136" s="63"/>
      <c r="BB136" s="63"/>
      <c r="BC136" s="63"/>
      <c r="BD136" s="63"/>
      <c r="BE136" s="63"/>
      <c r="BF136" s="63"/>
      <c r="BG136" s="63"/>
      <c r="BH136" s="63"/>
      <c r="BI136" s="63"/>
      <c r="BJ136" s="63"/>
      <c r="BK136" s="63"/>
      <c r="BL136" s="63">
        <f t="shared" si="33"/>
        <v>207000</v>
      </c>
      <c r="BM136" s="63">
        <f t="shared" si="37"/>
        <v>207000</v>
      </c>
      <c r="BN136" s="63">
        <f t="shared" si="38"/>
        <v>207000</v>
      </c>
      <c r="BO136" s="63">
        <f t="shared" si="39"/>
        <v>207000</v>
      </c>
      <c r="BP136" s="63">
        <f t="shared" si="40"/>
        <v>227700</v>
      </c>
      <c r="BQ136" s="63">
        <f t="shared" si="41"/>
        <v>227700</v>
      </c>
      <c r="BR136" s="63">
        <f t="shared" si="42"/>
        <v>227700</v>
      </c>
      <c r="BS136" s="63">
        <f t="shared" si="43"/>
        <v>227700</v>
      </c>
    </row>
    <row r="137" spans="1:71">
      <c r="A137" s="28">
        <f t="shared" si="34"/>
        <v>136</v>
      </c>
      <c r="B137" s="30" t="s">
        <v>841</v>
      </c>
      <c r="C137" s="30" t="s">
        <v>92</v>
      </c>
      <c r="D137" s="30" t="s">
        <v>691</v>
      </c>
      <c r="E137" s="30" t="s">
        <v>810</v>
      </c>
      <c r="F137" s="30" t="s">
        <v>774</v>
      </c>
      <c r="G137" s="30" t="s">
        <v>445</v>
      </c>
      <c r="H137" s="35" t="s">
        <v>446</v>
      </c>
      <c r="I137" s="30"/>
      <c r="J137" s="30"/>
      <c r="K137" s="30" t="s">
        <v>745</v>
      </c>
      <c r="L137" s="63"/>
      <c r="M137" s="63"/>
      <c r="N137" s="63"/>
      <c r="O137" s="63"/>
      <c r="P137" s="63"/>
      <c r="Q137" s="42">
        <v>2.02</v>
      </c>
      <c r="R137" s="47">
        <f t="shared" si="35"/>
        <v>1272600</v>
      </c>
      <c r="S137" s="48">
        <v>1454400</v>
      </c>
      <c r="T137" s="48">
        <f t="shared" si="36"/>
        <v>630000</v>
      </c>
      <c r="U137" s="63"/>
      <c r="V137" s="63"/>
      <c r="W137" s="63"/>
      <c r="X137" s="63"/>
      <c r="Y137" s="40">
        <v>90000</v>
      </c>
      <c r="Z137" s="40">
        <v>90000</v>
      </c>
      <c r="AA137" s="40">
        <v>90000</v>
      </c>
      <c r="AB137" s="40">
        <v>90000</v>
      </c>
      <c r="AC137" s="40">
        <v>90000</v>
      </c>
      <c r="AD137" s="40">
        <v>90000</v>
      </c>
      <c r="AE137" s="40">
        <v>90000</v>
      </c>
      <c r="AF137" s="40">
        <v>90000</v>
      </c>
      <c r="AG137" s="63"/>
      <c r="AH137" s="63"/>
      <c r="AI137" s="63"/>
      <c r="AJ137" s="63"/>
      <c r="AK137" s="63"/>
      <c r="AL137" s="63"/>
      <c r="AM137" s="63"/>
      <c r="AN137" s="63"/>
      <c r="AO137" s="63"/>
      <c r="AP137" s="63"/>
      <c r="AQ137" s="63"/>
      <c r="AR137" s="63"/>
      <c r="AS137" s="63"/>
      <c r="AT137" s="63" t="s">
        <v>116</v>
      </c>
      <c r="AU137" s="30" t="s">
        <v>688</v>
      </c>
      <c r="AV137" s="63"/>
      <c r="AW137" s="63"/>
      <c r="AX137" s="63"/>
      <c r="AY137" s="63"/>
      <c r="AZ137" s="63"/>
      <c r="BA137" s="63"/>
      <c r="BB137" s="63"/>
      <c r="BC137" s="63"/>
      <c r="BD137" s="63"/>
      <c r="BE137" s="63"/>
      <c r="BF137" s="63"/>
      <c r="BG137" s="63"/>
      <c r="BH137" s="63"/>
      <c r="BI137" s="63"/>
      <c r="BJ137" s="63"/>
      <c r="BK137" s="63"/>
      <c r="BL137" s="63">
        <f t="shared" si="33"/>
        <v>181800</v>
      </c>
      <c r="BM137" s="63">
        <f t="shared" si="37"/>
        <v>181800</v>
      </c>
      <c r="BN137" s="63">
        <f t="shared" si="38"/>
        <v>181800</v>
      </c>
      <c r="BO137" s="63">
        <f t="shared" si="39"/>
        <v>181800</v>
      </c>
      <c r="BP137" s="63">
        <f t="shared" si="40"/>
        <v>181800</v>
      </c>
      <c r="BQ137" s="63">
        <f t="shared" si="41"/>
        <v>181800</v>
      </c>
      <c r="BR137" s="63">
        <f t="shared" si="42"/>
        <v>181800</v>
      </c>
      <c r="BS137" s="63">
        <f t="shared" si="43"/>
        <v>181800</v>
      </c>
    </row>
    <row r="138" spans="1:71">
      <c r="A138" s="28">
        <f t="shared" si="34"/>
        <v>137</v>
      </c>
      <c r="B138" s="30" t="s">
        <v>842</v>
      </c>
      <c r="C138" s="30" t="s">
        <v>92</v>
      </c>
      <c r="D138" s="30" t="s">
        <v>691</v>
      </c>
      <c r="E138" s="30" t="s">
        <v>810</v>
      </c>
      <c r="F138" s="30" t="s">
        <v>774</v>
      </c>
      <c r="G138" s="30" t="s">
        <v>439</v>
      </c>
      <c r="H138" s="35" t="s">
        <v>440</v>
      </c>
      <c r="I138" s="30"/>
      <c r="J138" s="30"/>
      <c r="K138" s="30" t="s">
        <v>745</v>
      </c>
      <c r="L138" s="63"/>
      <c r="M138" s="63"/>
      <c r="N138" s="63"/>
      <c r="O138" s="63"/>
      <c r="P138" s="63"/>
      <c r="Q138" s="42">
        <v>2.18</v>
      </c>
      <c r="R138" s="47">
        <f t="shared" si="35"/>
        <v>2877600</v>
      </c>
      <c r="S138" s="48">
        <v>3270000</v>
      </c>
      <c r="T138" s="48">
        <f t="shared" si="36"/>
        <v>1320000</v>
      </c>
      <c r="U138" s="63"/>
      <c r="V138" s="63"/>
      <c r="W138" s="63"/>
      <c r="X138" s="63"/>
      <c r="Y138" s="40">
        <v>180000</v>
      </c>
      <c r="Z138" s="40">
        <v>180000</v>
      </c>
      <c r="AA138" s="40">
        <v>180000</v>
      </c>
      <c r="AB138" s="40">
        <v>180000</v>
      </c>
      <c r="AC138" s="40">
        <v>195000</v>
      </c>
      <c r="AD138" s="40">
        <v>195000</v>
      </c>
      <c r="AE138" s="40">
        <v>195000</v>
      </c>
      <c r="AF138" s="40">
        <v>195000</v>
      </c>
      <c r="AG138" s="63"/>
      <c r="AH138" s="63"/>
      <c r="AI138" s="63"/>
      <c r="AJ138" s="63"/>
      <c r="AK138" s="63"/>
      <c r="AL138" s="63"/>
      <c r="AM138" s="63"/>
      <c r="AN138" s="63"/>
      <c r="AO138" s="63"/>
      <c r="AP138" s="63"/>
      <c r="AQ138" s="63"/>
      <c r="AR138" s="63"/>
      <c r="AS138" s="63"/>
      <c r="AT138" s="63" t="s">
        <v>116</v>
      </c>
      <c r="AU138" s="30" t="s">
        <v>688</v>
      </c>
      <c r="AV138" s="63"/>
      <c r="AW138" s="63"/>
      <c r="AX138" s="63"/>
      <c r="AY138" s="63"/>
      <c r="AZ138" s="63"/>
      <c r="BA138" s="63"/>
      <c r="BB138" s="63"/>
      <c r="BC138" s="63"/>
      <c r="BD138" s="63"/>
      <c r="BE138" s="63"/>
      <c r="BF138" s="63"/>
      <c r="BG138" s="63"/>
      <c r="BH138" s="63"/>
      <c r="BI138" s="63"/>
      <c r="BJ138" s="63"/>
      <c r="BK138" s="63"/>
      <c r="BL138" s="63">
        <f t="shared" si="33"/>
        <v>392400</v>
      </c>
      <c r="BM138" s="63">
        <f t="shared" si="37"/>
        <v>392400</v>
      </c>
      <c r="BN138" s="63">
        <f t="shared" si="38"/>
        <v>392400</v>
      </c>
      <c r="BO138" s="63">
        <f t="shared" si="39"/>
        <v>392400</v>
      </c>
      <c r="BP138" s="63">
        <f t="shared" si="40"/>
        <v>425100</v>
      </c>
      <c r="BQ138" s="63">
        <f t="shared" si="41"/>
        <v>425100</v>
      </c>
      <c r="BR138" s="63">
        <f t="shared" si="42"/>
        <v>425100</v>
      </c>
      <c r="BS138" s="63">
        <f t="shared" si="43"/>
        <v>425100</v>
      </c>
    </row>
    <row r="139" spans="1:71">
      <c r="A139" s="28">
        <f t="shared" si="34"/>
        <v>138</v>
      </c>
      <c r="B139" s="30" t="s">
        <v>843</v>
      </c>
      <c r="C139" s="30" t="s">
        <v>72</v>
      </c>
      <c r="D139" s="30" t="s">
        <v>691</v>
      </c>
      <c r="E139" s="30" t="s">
        <v>810</v>
      </c>
      <c r="F139" s="30" t="s">
        <v>774</v>
      </c>
      <c r="G139" s="30" t="s">
        <v>467</v>
      </c>
      <c r="H139" s="35" t="s">
        <v>468</v>
      </c>
      <c r="I139" s="30"/>
      <c r="J139" s="30"/>
      <c r="K139" s="30" t="s">
        <v>735</v>
      </c>
      <c r="L139" s="63"/>
      <c r="M139" s="63"/>
      <c r="N139" s="63"/>
      <c r="O139" s="63"/>
      <c r="P139" s="63"/>
      <c r="Q139" s="42">
        <v>6.5</v>
      </c>
      <c r="R139" s="47">
        <f t="shared" si="35"/>
        <v>455000</v>
      </c>
      <c r="S139" s="48">
        <v>520000</v>
      </c>
      <c r="T139" s="48">
        <f t="shared" si="36"/>
        <v>70000</v>
      </c>
      <c r="U139" s="63"/>
      <c r="V139" s="63"/>
      <c r="W139" s="63"/>
      <c r="X139" s="63"/>
      <c r="Y139" s="40">
        <v>10000</v>
      </c>
      <c r="Z139" s="40">
        <v>10000</v>
      </c>
      <c r="AA139" s="40">
        <v>10000</v>
      </c>
      <c r="AB139" s="40">
        <v>10000</v>
      </c>
      <c r="AC139" s="40">
        <v>10000</v>
      </c>
      <c r="AD139" s="40">
        <v>10000</v>
      </c>
      <c r="AE139" s="40">
        <v>10000</v>
      </c>
      <c r="AF139" s="40">
        <v>10000</v>
      </c>
      <c r="AG139" s="63"/>
      <c r="AH139" s="63"/>
      <c r="AI139" s="63"/>
      <c r="AJ139" s="63"/>
      <c r="AK139" s="63"/>
      <c r="AL139" s="63"/>
      <c r="AM139" s="63"/>
      <c r="AN139" s="63"/>
      <c r="AO139" s="63"/>
      <c r="AP139" s="63"/>
      <c r="AQ139" s="63"/>
      <c r="AR139" s="63"/>
      <c r="AS139" s="63"/>
      <c r="AT139" s="63" t="s">
        <v>116</v>
      </c>
      <c r="AU139" s="30" t="s">
        <v>688</v>
      </c>
      <c r="AV139" s="63"/>
      <c r="AW139" s="63"/>
      <c r="AX139" s="63"/>
      <c r="AY139" s="63"/>
      <c r="AZ139" s="63"/>
      <c r="BA139" s="63"/>
      <c r="BB139" s="63"/>
      <c r="BC139" s="63"/>
      <c r="BD139" s="63"/>
      <c r="BE139" s="63"/>
      <c r="BF139" s="63"/>
      <c r="BG139" s="63"/>
      <c r="BH139" s="63"/>
      <c r="BI139" s="63"/>
      <c r="BJ139" s="63"/>
      <c r="BK139" s="63"/>
      <c r="BL139" s="63">
        <f t="shared" si="33"/>
        <v>65000</v>
      </c>
      <c r="BM139" s="63">
        <f t="shared" si="37"/>
        <v>65000</v>
      </c>
      <c r="BN139" s="63">
        <f t="shared" si="38"/>
        <v>65000</v>
      </c>
      <c r="BO139" s="63">
        <f t="shared" si="39"/>
        <v>65000</v>
      </c>
      <c r="BP139" s="63">
        <f t="shared" si="40"/>
        <v>65000</v>
      </c>
      <c r="BQ139" s="63">
        <f t="shared" si="41"/>
        <v>65000</v>
      </c>
      <c r="BR139" s="63">
        <f t="shared" si="42"/>
        <v>65000</v>
      </c>
      <c r="BS139" s="63">
        <f t="shared" si="43"/>
        <v>65000</v>
      </c>
    </row>
    <row r="140" spans="1:71">
      <c r="A140" s="28">
        <f t="shared" si="34"/>
        <v>139</v>
      </c>
      <c r="B140" s="30" t="s">
        <v>844</v>
      </c>
      <c r="C140" s="30" t="s">
        <v>72</v>
      </c>
      <c r="D140" s="30" t="s">
        <v>691</v>
      </c>
      <c r="E140" s="30" t="s">
        <v>810</v>
      </c>
      <c r="F140" s="30" t="s">
        <v>774</v>
      </c>
      <c r="G140" s="30" t="s">
        <v>396</v>
      </c>
      <c r="H140" s="35" t="s">
        <v>397</v>
      </c>
      <c r="I140" s="30"/>
      <c r="J140" s="30"/>
      <c r="K140" s="30" t="s">
        <v>845</v>
      </c>
      <c r="L140" s="63"/>
      <c r="M140" s="63"/>
      <c r="N140" s="63"/>
      <c r="O140" s="63"/>
      <c r="P140" s="63"/>
      <c r="Q140" s="42">
        <v>2.7</v>
      </c>
      <c r="R140" s="47">
        <f t="shared" si="35"/>
        <v>244350</v>
      </c>
      <c r="S140" s="48">
        <v>265950</v>
      </c>
      <c r="T140" s="48">
        <f t="shared" si="36"/>
        <v>90500</v>
      </c>
      <c r="U140" s="63"/>
      <c r="V140" s="63"/>
      <c r="W140" s="63"/>
      <c r="X140" s="63"/>
      <c r="Y140" s="40">
        <v>8000</v>
      </c>
      <c r="Z140" s="40">
        <v>8000</v>
      </c>
      <c r="AA140" s="40">
        <v>12500</v>
      </c>
      <c r="AB140" s="40">
        <v>12500</v>
      </c>
      <c r="AC140" s="40">
        <v>12500</v>
      </c>
      <c r="AD140" s="40">
        <v>15000</v>
      </c>
      <c r="AE140" s="40">
        <v>15000</v>
      </c>
      <c r="AF140" s="40">
        <v>15000</v>
      </c>
      <c r="AG140" s="63"/>
      <c r="AH140" s="63"/>
      <c r="AI140" s="63"/>
      <c r="AJ140" s="63"/>
      <c r="AK140" s="63"/>
      <c r="AL140" s="63"/>
      <c r="AM140" s="63"/>
      <c r="AN140" s="63"/>
      <c r="AO140" s="63"/>
      <c r="AP140" s="63"/>
      <c r="AQ140" s="63"/>
      <c r="AR140" s="63"/>
      <c r="AS140" s="63"/>
      <c r="AT140" s="63" t="s">
        <v>116</v>
      </c>
      <c r="AU140" s="30" t="s">
        <v>545</v>
      </c>
      <c r="AV140" s="63"/>
      <c r="AW140" s="63"/>
      <c r="AX140" s="63"/>
      <c r="AY140" s="63"/>
      <c r="AZ140" s="63"/>
      <c r="BA140" s="63"/>
      <c r="BB140" s="63"/>
      <c r="BC140" s="63"/>
      <c r="BD140" s="63"/>
      <c r="BE140" s="63"/>
      <c r="BF140" s="63"/>
      <c r="BG140" s="63"/>
      <c r="BH140" s="63"/>
      <c r="BI140" s="63"/>
      <c r="BJ140" s="63"/>
      <c r="BK140" s="63"/>
      <c r="BL140" s="63">
        <f t="shared" si="33"/>
        <v>21600</v>
      </c>
      <c r="BM140" s="63">
        <f t="shared" si="37"/>
        <v>21600</v>
      </c>
      <c r="BN140" s="63">
        <f t="shared" si="38"/>
        <v>33750</v>
      </c>
      <c r="BO140" s="63">
        <f t="shared" si="39"/>
        <v>33750</v>
      </c>
      <c r="BP140" s="63">
        <f t="shared" si="40"/>
        <v>33750</v>
      </c>
      <c r="BQ140" s="63">
        <f t="shared" si="41"/>
        <v>40500</v>
      </c>
      <c r="BR140" s="63">
        <f t="shared" si="42"/>
        <v>40500</v>
      </c>
      <c r="BS140" s="63">
        <f t="shared" si="43"/>
        <v>40500</v>
      </c>
    </row>
    <row r="141" spans="1:71">
      <c r="A141" s="28">
        <f t="shared" si="34"/>
        <v>140</v>
      </c>
      <c r="B141" s="30" t="s">
        <v>846</v>
      </c>
      <c r="C141" s="30" t="s">
        <v>72</v>
      </c>
      <c r="D141" s="30" t="s">
        <v>691</v>
      </c>
      <c r="E141" s="30" t="s">
        <v>810</v>
      </c>
      <c r="F141" s="30" t="s">
        <v>774</v>
      </c>
      <c r="G141" s="30" t="s">
        <v>457</v>
      </c>
      <c r="H141" s="35" t="s">
        <v>458</v>
      </c>
      <c r="I141" s="30"/>
      <c r="J141" s="30"/>
      <c r="K141" s="30" t="s">
        <v>745</v>
      </c>
      <c r="L141" s="63"/>
      <c r="M141" s="63"/>
      <c r="N141" s="63"/>
      <c r="O141" s="63"/>
      <c r="P141" s="63"/>
      <c r="Q141" s="42">
        <v>1.3</v>
      </c>
      <c r="R141" s="47">
        <f t="shared" si="35"/>
        <v>910000</v>
      </c>
      <c r="S141" s="48">
        <v>1040000</v>
      </c>
      <c r="T141" s="48">
        <f t="shared" si="36"/>
        <v>700000</v>
      </c>
      <c r="U141" s="63"/>
      <c r="V141" s="63"/>
      <c r="W141" s="63"/>
      <c r="X141" s="63"/>
      <c r="Y141" s="40">
        <v>100000</v>
      </c>
      <c r="Z141" s="40">
        <v>100000</v>
      </c>
      <c r="AA141" s="40">
        <v>100000</v>
      </c>
      <c r="AB141" s="40">
        <v>100000</v>
      </c>
      <c r="AC141" s="40">
        <v>100000</v>
      </c>
      <c r="AD141" s="40">
        <v>100000</v>
      </c>
      <c r="AE141" s="40">
        <v>100000</v>
      </c>
      <c r="AF141" s="40">
        <v>100000</v>
      </c>
      <c r="AG141" s="63"/>
      <c r="AH141" s="63"/>
      <c r="AI141" s="63"/>
      <c r="AJ141" s="63"/>
      <c r="AK141" s="63"/>
      <c r="AL141" s="63"/>
      <c r="AM141" s="63"/>
      <c r="AN141" s="63"/>
      <c r="AO141" s="63"/>
      <c r="AP141" s="63"/>
      <c r="AQ141" s="63"/>
      <c r="AR141" s="63"/>
      <c r="AS141" s="63"/>
      <c r="AT141" s="63" t="s">
        <v>116</v>
      </c>
      <c r="AU141" s="30" t="s">
        <v>688</v>
      </c>
      <c r="AV141" s="63"/>
      <c r="AW141" s="63"/>
      <c r="AX141" s="63"/>
      <c r="AY141" s="63"/>
      <c r="AZ141" s="63"/>
      <c r="BA141" s="63"/>
      <c r="BB141" s="63"/>
      <c r="BC141" s="63"/>
      <c r="BD141" s="63"/>
      <c r="BE141" s="63"/>
      <c r="BF141" s="63"/>
      <c r="BG141" s="63"/>
      <c r="BH141" s="63"/>
      <c r="BI141" s="63"/>
      <c r="BJ141" s="63"/>
      <c r="BK141" s="63"/>
      <c r="BL141" s="63">
        <f t="shared" si="33"/>
        <v>130000</v>
      </c>
      <c r="BM141" s="63">
        <f t="shared" si="37"/>
        <v>130000</v>
      </c>
      <c r="BN141" s="63">
        <f t="shared" si="38"/>
        <v>130000</v>
      </c>
      <c r="BO141" s="63">
        <f t="shared" si="39"/>
        <v>130000</v>
      </c>
      <c r="BP141" s="63">
        <f t="shared" si="40"/>
        <v>130000</v>
      </c>
      <c r="BQ141" s="63">
        <f t="shared" si="41"/>
        <v>130000</v>
      </c>
      <c r="BR141" s="63">
        <f t="shared" si="42"/>
        <v>130000</v>
      </c>
      <c r="BS141" s="63">
        <f t="shared" si="43"/>
        <v>130000</v>
      </c>
    </row>
    <row r="142" spans="1:71">
      <c r="A142" s="28">
        <f t="shared" si="34"/>
        <v>141</v>
      </c>
      <c r="B142" s="30" t="s">
        <v>847</v>
      </c>
      <c r="C142" s="30" t="s">
        <v>92</v>
      </c>
      <c r="D142" s="30" t="s">
        <v>691</v>
      </c>
      <c r="E142" s="30" t="s">
        <v>810</v>
      </c>
      <c r="F142" s="30" t="s">
        <v>774</v>
      </c>
      <c r="G142" s="32" t="s">
        <v>433</v>
      </c>
      <c r="H142" s="35" t="s">
        <v>434</v>
      </c>
      <c r="I142" s="30"/>
      <c r="J142" s="30"/>
      <c r="K142" s="30" t="s">
        <v>737</v>
      </c>
      <c r="L142" s="63"/>
      <c r="M142" s="63"/>
      <c r="N142" s="63"/>
      <c r="O142" s="63"/>
      <c r="P142" s="63"/>
      <c r="Q142" s="42">
        <v>1.7</v>
      </c>
      <c r="R142" s="47">
        <f t="shared" si="35"/>
        <v>1011500</v>
      </c>
      <c r="S142" s="48">
        <v>1156000</v>
      </c>
      <c r="T142" s="48">
        <f t="shared" si="36"/>
        <v>595000</v>
      </c>
      <c r="U142" s="63"/>
      <c r="V142" s="63"/>
      <c r="W142" s="63"/>
      <c r="X142" s="63"/>
      <c r="Y142" s="40">
        <v>85000</v>
      </c>
      <c r="Z142" s="40">
        <v>85000</v>
      </c>
      <c r="AA142" s="40">
        <v>85000</v>
      </c>
      <c r="AB142" s="40">
        <v>85000</v>
      </c>
      <c r="AC142" s="40">
        <v>85000</v>
      </c>
      <c r="AD142" s="40">
        <v>85000</v>
      </c>
      <c r="AE142" s="40">
        <v>85000</v>
      </c>
      <c r="AF142" s="40">
        <v>85000</v>
      </c>
      <c r="AG142" s="63"/>
      <c r="AH142" s="63"/>
      <c r="AI142" s="63"/>
      <c r="AJ142" s="63"/>
      <c r="AK142" s="63"/>
      <c r="AL142" s="63"/>
      <c r="AM142" s="63"/>
      <c r="AN142" s="63"/>
      <c r="AO142" s="63"/>
      <c r="AP142" s="63"/>
      <c r="AQ142" s="63"/>
      <c r="AR142" s="63"/>
      <c r="AS142" s="63"/>
      <c r="AT142" s="63" t="s">
        <v>116</v>
      </c>
      <c r="AU142" s="30" t="s">
        <v>688</v>
      </c>
      <c r="AV142" s="63"/>
      <c r="AW142" s="63"/>
      <c r="AX142" s="63"/>
      <c r="AY142" s="63"/>
      <c r="AZ142" s="63"/>
      <c r="BA142" s="63"/>
      <c r="BB142" s="63"/>
      <c r="BC142" s="63"/>
      <c r="BD142" s="63"/>
      <c r="BE142" s="63"/>
      <c r="BF142" s="63"/>
      <c r="BG142" s="63"/>
      <c r="BH142" s="63"/>
      <c r="BI142" s="63"/>
      <c r="BJ142" s="63"/>
      <c r="BK142" s="63"/>
      <c r="BL142" s="63">
        <f t="shared" si="33"/>
        <v>144500</v>
      </c>
      <c r="BM142" s="63">
        <f t="shared" si="37"/>
        <v>144500</v>
      </c>
      <c r="BN142" s="63">
        <f t="shared" si="38"/>
        <v>144500</v>
      </c>
      <c r="BO142" s="63">
        <f t="shared" si="39"/>
        <v>144500</v>
      </c>
      <c r="BP142" s="63">
        <f t="shared" si="40"/>
        <v>144500</v>
      </c>
      <c r="BQ142" s="63">
        <f t="shared" si="41"/>
        <v>144500</v>
      </c>
      <c r="BR142" s="63">
        <f t="shared" si="42"/>
        <v>144500</v>
      </c>
      <c r="BS142" s="63">
        <f t="shared" si="43"/>
        <v>144500</v>
      </c>
    </row>
    <row r="143" spans="1:71">
      <c r="A143" s="28">
        <f t="shared" si="34"/>
        <v>142</v>
      </c>
      <c r="B143" s="30" t="s">
        <v>848</v>
      </c>
      <c r="C143" s="30" t="s">
        <v>72</v>
      </c>
      <c r="D143" s="30" t="s">
        <v>691</v>
      </c>
      <c r="E143" s="30" t="s">
        <v>810</v>
      </c>
      <c r="F143" s="30" t="s">
        <v>774</v>
      </c>
      <c r="G143" s="30" t="s">
        <v>457</v>
      </c>
      <c r="H143" s="35" t="s">
        <v>458</v>
      </c>
      <c r="I143" s="30"/>
      <c r="J143" s="30"/>
      <c r="K143" s="30" t="s">
        <v>745</v>
      </c>
      <c r="L143" s="63"/>
      <c r="M143" s="63"/>
      <c r="N143" s="63"/>
      <c r="O143" s="63"/>
      <c r="P143" s="63"/>
      <c r="Q143" s="42">
        <v>1.3</v>
      </c>
      <c r="R143" s="47">
        <f t="shared" si="35"/>
        <v>1137500</v>
      </c>
      <c r="S143" s="48">
        <v>1300000</v>
      </c>
      <c r="T143" s="48">
        <f t="shared" si="36"/>
        <v>875000</v>
      </c>
      <c r="U143" s="63"/>
      <c r="V143" s="63"/>
      <c r="W143" s="63"/>
      <c r="X143" s="63"/>
      <c r="Y143" s="40">
        <v>125000</v>
      </c>
      <c r="Z143" s="40">
        <v>125000</v>
      </c>
      <c r="AA143" s="40">
        <v>125000</v>
      </c>
      <c r="AB143" s="40">
        <v>125000</v>
      </c>
      <c r="AC143" s="40">
        <v>125000</v>
      </c>
      <c r="AD143" s="40">
        <v>125000</v>
      </c>
      <c r="AE143" s="40">
        <v>125000</v>
      </c>
      <c r="AF143" s="40">
        <v>125000</v>
      </c>
      <c r="AG143" s="63"/>
      <c r="AH143" s="63"/>
      <c r="AI143" s="63"/>
      <c r="AJ143" s="63"/>
      <c r="AK143" s="63"/>
      <c r="AL143" s="63"/>
      <c r="AM143" s="63"/>
      <c r="AN143" s="63"/>
      <c r="AO143" s="63"/>
      <c r="AP143" s="63"/>
      <c r="AQ143" s="63"/>
      <c r="AR143" s="63"/>
      <c r="AS143" s="63"/>
      <c r="AT143" s="63" t="s">
        <v>116</v>
      </c>
      <c r="AU143" s="30" t="s">
        <v>688</v>
      </c>
      <c r="AV143" s="63"/>
      <c r="AW143" s="63"/>
      <c r="AX143" s="63"/>
      <c r="AY143" s="63"/>
      <c r="AZ143" s="63"/>
      <c r="BA143" s="63"/>
      <c r="BB143" s="63"/>
      <c r="BC143" s="63"/>
      <c r="BD143" s="63"/>
      <c r="BE143" s="63"/>
      <c r="BF143" s="63"/>
      <c r="BG143" s="63"/>
      <c r="BH143" s="63"/>
      <c r="BI143" s="63"/>
      <c r="BJ143" s="63"/>
      <c r="BK143" s="63"/>
      <c r="BL143" s="63">
        <f t="shared" si="33"/>
        <v>162500</v>
      </c>
      <c r="BM143" s="63">
        <f t="shared" si="37"/>
        <v>162500</v>
      </c>
      <c r="BN143" s="63">
        <f t="shared" si="38"/>
        <v>162500</v>
      </c>
      <c r="BO143" s="63">
        <f t="shared" si="39"/>
        <v>162500</v>
      </c>
      <c r="BP143" s="63">
        <f t="shared" si="40"/>
        <v>162500</v>
      </c>
      <c r="BQ143" s="63">
        <f t="shared" si="41"/>
        <v>162500</v>
      </c>
      <c r="BR143" s="63">
        <f t="shared" si="42"/>
        <v>162500</v>
      </c>
      <c r="BS143" s="63">
        <f t="shared" si="43"/>
        <v>162500</v>
      </c>
    </row>
    <row r="144" spans="1:71">
      <c r="A144" s="28">
        <f t="shared" si="34"/>
        <v>143</v>
      </c>
      <c r="B144" s="30" t="s">
        <v>849</v>
      </c>
      <c r="C144" s="30" t="s">
        <v>92</v>
      </c>
      <c r="D144" s="30" t="s">
        <v>850</v>
      </c>
      <c r="E144" s="30" t="s">
        <v>810</v>
      </c>
      <c r="F144" s="30" t="s">
        <v>851</v>
      </c>
      <c r="G144" s="30" t="s">
        <v>445</v>
      </c>
      <c r="H144" s="35" t="s">
        <v>447</v>
      </c>
      <c r="I144" s="30"/>
      <c r="J144" s="30"/>
      <c r="K144" s="30" t="s">
        <v>745</v>
      </c>
      <c r="L144" s="63"/>
      <c r="M144" s="63"/>
      <c r="N144" s="63"/>
      <c r="O144" s="63"/>
      <c r="P144" s="63"/>
      <c r="Q144" s="42">
        <v>2.03</v>
      </c>
      <c r="R144" s="47">
        <f t="shared" si="35"/>
        <v>3857000</v>
      </c>
      <c r="S144" s="48">
        <v>4263000</v>
      </c>
      <c r="T144" s="48">
        <f t="shared" si="36"/>
        <v>1900000</v>
      </c>
      <c r="U144" s="63"/>
      <c r="V144" s="63"/>
      <c r="W144" s="63"/>
      <c r="X144" s="63"/>
      <c r="Y144" s="39">
        <v>200000</v>
      </c>
      <c r="Z144" s="39">
        <v>200000</v>
      </c>
      <c r="AA144" s="39">
        <v>200000</v>
      </c>
      <c r="AB144" s="39">
        <v>200000</v>
      </c>
      <c r="AC144" s="39">
        <v>300000</v>
      </c>
      <c r="AD144" s="39">
        <v>300000</v>
      </c>
      <c r="AE144" s="39">
        <v>300000</v>
      </c>
      <c r="AF144" s="39">
        <v>400000</v>
      </c>
      <c r="AG144" s="63"/>
      <c r="AH144" s="63"/>
      <c r="AI144" s="63"/>
      <c r="AJ144" s="63"/>
      <c r="AK144" s="63"/>
      <c r="AL144" s="63"/>
      <c r="AM144" s="63"/>
      <c r="AN144" s="63"/>
      <c r="AO144" s="63"/>
      <c r="AP144" s="63"/>
      <c r="AQ144" s="63"/>
      <c r="AR144" s="63"/>
      <c r="AS144" s="63"/>
      <c r="AT144" s="63" t="s">
        <v>116</v>
      </c>
      <c r="AU144" s="30" t="s">
        <v>688</v>
      </c>
      <c r="AV144" s="63"/>
      <c r="AW144" s="63"/>
      <c r="AX144" s="63"/>
      <c r="AY144" s="63"/>
      <c r="AZ144" s="63"/>
      <c r="BA144" s="63"/>
      <c r="BB144" s="63"/>
      <c r="BC144" s="63"/>
      <c r="BD144" s="63"/>
      <c r="BE144" s="63"/>
      <c r="BF144" s="63"/>
      <c r="BG144" s="63"/>
      <c r="BH144" s="63"/>
      <c r="BI144" s="63"/>
      <c r="BJ144" s="63"/>
      <c r="BK144" s="63"/>
      <c r="BL144" s="63">
        <f t="shared" si="33"/>
        <v>406000</v>
      </c>
      <c r="BM144" s="63">
        <f t="shared" si="37"/>
        <v>406000</v>
      </c>
      <c r="BN144" s="63">
        <f t="shared" si="38"/>
        <v>406000</v>
      </c>
      <c r="BO144" s="63">
        <f t="shared" si="39"/>
        <v>406000</v>
      </c>
      <c r="BP144" s="63">
        <f t="shared" si="40"/>
        <v>609000</v>
      </c>
      <c r="BQ144" s="63">
        <f t="shared" si="41"/>
        <v>609000</v>
      </c>
      <c r="BR144" s="63">
        <f t="shared" si="42"/>
        <v>609000</v>
      </c>
      <c r="BS144" s="63">
        <f t="shared" si="43"/>
        <v>812000</v>
      </c>
    </row>
    <row r="145" spans="1:71">
      <c r="A145" s="28">
        <f t="shared" si="34"/>
        <v>144</v>
      </c>
      <c r="B145" s="30" t="s">
        <v>849</v>
      </c>
      <c r="C145" s="30" t="s">
        <v>92</v>
      </c>
      <c r="D145" s="30" t="s">
        <v>850</v>
      </c>
      <c r="E145" s="30" t="s">
        <v>810</v>
      </c>
      <c r="F145" s="30" t="s">
        <v>851</v>
      </c>
      <c r="G145" s="30" t="s">
        <v>427</v>
      </c>
      <c r="H145" s="35" t="s">
        <v>428</v>
      </c>
      <c r="I145" s="30"/>
      <c r="J145" s="30"/>
      <c r="K145" s="30" t="s">
        <v>735</v>
      </c>
      <c r="L145" s="63"/>
      <c r="M145" s="63"/>
      <c r="N145" s="63"/>
      <c r="O145" s="63"/>
      <c r="P145" s="63"/>
      <c r="Q145" s="42">
        <v>1.5</v>
      </c>
      <c r="R145" s="47">
        <f t="shared" si="35"/>
        <v>210000</v>
      </c>
      <c r="S145" s="48">
        <v>240000</v>
      </c>
      <c r="T145" s="48">
        <f t="shared" si="36"/>
        <v>140000</v>
      </c>
      <c r="U145" s="63"/>
      <c r="V145" s="63"/>
      <c r="W145" s="63"/>
      <c r="X145" s="63"/>
      <c r="Y145" s="39">
        <v>20000</v>
      </c>
      <c r="Z145" s="39">
        <v>20000</v>
      </c>
      <c r="AA145" s="39">
        <v>20000</v>
      </c>
      <c r="AB145" s="39">
        <v>20000</v>
      </c>
      <c r="AC145" s="39">
        <v>20000</v>
      </c>
      <c r="AD145" s="39">
        <v>20000</v>
      </c>
      <c r="AE145" s="39">
        <v>20000</v>
      </c>
      <c r="AF145" s="39">
        <v>20000</v>
      </c>
      <c r="AG145" s="63"/>
      <c r="AH145" s="63"/>
      <c r="AI145" s="63"/>
      <c r="AJ145" s="63"/>
      <c r="AK145" s="63"/>
      <c r="AL145" s="63"/>
      <c r="AM145" s="63"/>
      <c r="AN145" s="63"/>
      <c r="AO145" s="63"/>
      <c r="AP145" s="63"/>
      <c r="AQ145" s="63"/>
      <c r="AR145" s="63"/>
      <c r="AS145" s="63"/>
      <c r="AT145" s="63" t="s">
        <v>116</v>
      </c>
      <c r="AU145" s="30" t="s">
        <v>688</v>
      </c>
      <c r="AV145" s="63"/>
      <c r="AW145" s="63"/>
      <c r="AX145" s="63"/>
      <c r="AY145" s="63"/>
      <c r="AZ145" s="63"/>
      <c r="BA145" s="63"/>
      <c r="BB145" s="63"/>
      <c r="BC145" s="63"/>
      <c r="BD145" s="63"/>
      <c r="BE145" s="63"/>
      <c r="BF145" s="63"/>
      <c r="BG145" s="63"/>
      <c r="BH145" s="63"/>
      <c r="BI145" s="63"/>
      <c r="BJ145" s="63"/>
      <c r="BK145" s="63"/>
      <c r="BL145" s="63">
        <f t="shared" si="33"/>
        <v>30000</v>
      </c>
      <c r="BM145" s="63">
        <f t="shared" si="37"/>
        <v>30000</v>
      </c>
      <c r="BN145" s="63">
        <f t="shared" si="38"/>
        <v>30000</v>
      </c>
      <c r="BO145" s="63">
        <f t="shared" si="39"/>
        <v>30000</v>
      </c>
      <c r="BP145" s="63">
        <f t="shared" si="40"/>
        <v>30000</v>
      </c>
      <c r="BQ145" s="63">
        <f t="shared" si="41"/>
        <v>30000</v>
      </c>
      <c r="BR145" s="63">
        <f t="shared" si="42"/>
        <v>30000</v>
      </c>
      <c r="BS145" s="63">
        <f t="shared" si="43"/>
        <v>30000</v>
      </c>
    </row>
    <row r="146" spans="1:71">
      <c r="A146" s="28">
        <f t="shared" si="34"/>
        <v>145</v>
      </c>
      <c r="B146" s="30" t="s">
        <v>852</v>
      </c>
      <c r="C146" s="30" t="s">
        <v>92</v>
      </c>
      <c r="D146" s="30" t="s">
        <v>850</v>
      </c>
      <c r="E146" s="30" t="s">
        <v>810</v>
      </c>
      <c r="F146" s="30" t="s">
        <v>851</v>
      </c>
      <c r="G146" s="30" t="s">
        <v>261</v>
      </c>
      <c r="H146" s="35" t="s">
        <v>262</v>
      </c>
      <c r="I146" s="30"/>
      <c r="J146" s="30"/>
      <c r="K146" s="30" t="s">
        <v>853</v>
      </c>
      <c r="L146" s="63"/>
      <c r="M146" s="63"/>
      <c r="N146" s="63"/>
      <c r="O146" s="63"/>
      <c r="P146" s="63"/>
      <c r="Q146" s="42">
        <v>0.35</v>
      </c>
      <c r="R146" s="47">
        <f t="shared" si="35"/>
        <v>504000</v>
      </c>
      <c r="S146" s="48">
        <v>546000</v>
      </c>
      <c r="T146" s="48">
        <f t="shared" si="36"/>
        <v>1440000</v>
      </c>
      <c r="U146" s="63"/>
      <c r="V146" s="63"/>
      <c r="W146" s="63"/>
      <c r="X146" s="63"/>
      <c r="Y146" s="39">
        <v>120000</v>
      </c>
      <c r="Z146" s="39">
        <v>120000</v>
      </c>
      <c r="AA146" s="39">
        <v>120000</v>
      </c>
      <c r="AB146" s="39">
        <v>200000</v>
      </c>
      <c r="AC146" s="39">
        <v>200000</v>
      </c>
      <c r="AD146" s="39">
        <v>200000</v>
      </c>
      <c r="AE146" s="39">
        <v>300000</v>
      </c>
      <c r="AF146" s="39">
        <v>300000</v>
      </c>
      <c r="AG146" s="63"/>
      <c r="AH146" s="63"/>
      <c r="AI146" s="63"/>
      <c r="AJ146" s="63"/>
      <c r="AK146" s="63"/>
      <c r="AL146" s="63"/>
      <c r="AM146" s="63"/>
      <c r="AN146" s="63"/>
      <c r="AO146" s="63"/>
      <c r="AP146" s="63"/>
      <c r="AQ146" s="63"/>
      <c r="AR146" s="63"/>
      <c r="AS146" s="63"/>
      <c r="AT146" s="63" t="s">
        <v>116</v>
      </c>
      <c r="AU146" s="30" t="s">
        <v>81</v>
      </c>
      <c r="AV146" s="63"/>
      <c r="AW146" s="63"/>
      <c r="AX146" s="63"/>
      <c r="AY146" s="63"/>
      <c r="AZ146" s="63"/>
      <c r="BA146" s="63"/>
      <c r="BB146" s="63"/>
      <c r="BC146" s="63"/>
      <c r="BD146" s="63"/>
      <c r="BE146" s="63"/>
      <c r="BF146" s="63"/>
      <c r="BG146" s="63"/>
      <c r="BH146" s="63"/>
      <c r="BI146" s="63"/>
      <c r="BJ146" s="63"/>
      <c r="BK146" s="63"/>
      <c r="BL146" s="63">
        <f t="shared" si="33"/>
        <v>42000</v>
      </c>
      <c r="BM146" s="63">
        <f t="shared" si="37"/>
        <v>42000</v>
      </c>
      <c r="BN146" s="63">
        <f t="shared" si="38"/>
        <v>42000</v>
      </c>
      <c r="BO146" s="63">
        <f t="shared" si="39"/>
        <v>70000</v>
      </c>
      <c r="BP146" s="63">
        <f t="shared" si="40"/>
        <v>70000</v>
      </c>
      <c r="BQ146" s="63">
        <f t="shared" si="41"/>
        <v>70000</v>
      </c>
      <c r="BR146" s="63">
        <f t="shared" si="42"/>
        <v>105000</v>
      </c>
      <c r="BS146" s="63">
        <f t="shared" si="43"/>
        <v>105000</v>
      </c>
    </row>
    <row r="147" spans="1:71">
      <c r="A147" s="28">
        <f t="shared" si="34"/>
        <v>146</v>
      </c>
      <c r="B147" s="30" t="s">
        <v>854</v>
      </c>
      <c r="C147" s="30" t="s">
        <v>72</v>
      </c>
      <c r="D147" s="30" t="s">
        <v>855</v>
      </c>
      <c r="E147" s="30" t="s">
        <v>810</v>
      </c>
      <c r="F147" s="30" t="s">
        <v>856</v>
      </c>
      <c r="G147" s="30" t="s">
        <v>452</v>
      </c>
      <c r="H147" s="35" t="s">
        <v>454</v>
      </c>
      <c r="I147" s="30"/>
      <c r="J147" s="30"/>
      <c r="K147" s="30" t="s">
        <v>745</v>
      </c>
      <c r="L147" s="63"/>
      <c r="M147" s="63"/>
      <c r="N147" s="63"/>
      <c r="O147" s="63"/>
      <c r="P147" s="63"/>
      <c r="Q147" s="42">
        <v>1.8</v>
      </c>
      <c r="R147" s="47">
        <f t="shared" si="35"/>
        <v>252000</v>
      </c>
      <c r="S147" s="48">
        <v>288000</v>
      </c>
      <c r="T147" s="48">
        <f t="shared" si="36"/>
        <v>140000</v>
      </c>
      <c r="U147" s="63"/>
      <c r="V147" s="63"/>
      <c r="W147" s="63"/>
      <c r="X147" s="63"/>
      <c r="Y147" s="39">
        <v>20000</v>
      </c>
      <c r="Z147" s="39">
        <v>20000</v>
      </c>
      <c r="AA147" s="39">
        <v>20000</v>
      </c>
      <c r="AB147" s="39">
        <v>20000</v>
      </c>
      <c r="AC147" s="39">
        <v>20000</v>
      </c>
      <c r="AD147" s="39">
        <v>20000</v>
      </c>
      <c r="AE147" s="39">
        <v>20000</v>
      </c>
      <c r="AF147" s="39">
        <v>20000</v>
      </c>
      <c r="AG147" s="63"/>
      <c r="AH147" s="63"/>
      <c r="AI147" s="63"/>
      <c r="AJ147" s="63"/>
      <c r="AK147" s="63"/>
      <c r="AL147" s="63"/>
      <c r="AM147" s="63"/>
      <c r="AN147" s="63"/>
      <c r="AO147" s="63"/>
      <c r="AP147" s="63"/>
      <c r="AQ147" s="63"/>
      <c r="AR147" s="63"/>
      <c r="AS147" s="63"/>
      <c r="AT147" s="63" t="s">
        <v>116</v>
      </c>
      <c r="AU147" s="30" t="s">
        <v>688</v>
      </c>
      <c r="AV147" s="63"/>
      <c r="AW147" s="63"/>
      <c r="AX147" s="63"/>
      <c r="AY147" s="63"/>
      <c r="AZ147" s="63"/>
      <c r="BA147" s="63"/>
      <c r="BB147" s="63"/>
      <c r="BC147" s="63"/>
      <c r="BD147" s="63"/>
      <c r="BE147" s="63"/>
      <c r="BF147" s="63"/>
      <c r="BG147" s="63"/>
      <c r="BH147" s="63"/>
      <c r="BI147" s="63"/>
      <c r="BJ147" s="63"/>
      <c r="BK147" s="63"/>
      <c r="BL147" s="63">
        <f t="shared" si="33"/>
        <v>36000</v>
      </c>
      <c r="BM147" s="63">
        <f t="shared" si="37"/>
        <v>36000</v>
      </c>
      <c r="BN147" s="63">
        <f t="shared" si="38"/>
        <v>36000</v>
      </c>
      <c r="BO147" s="63">
        <f t="shared" si="39"/>
        <v>36000</v>
      </c>
      <c r="BP147" s="63">
        <f t="shared" si="40"/>
        <v>36000</v>
      </c>
      <c r="BQ147" s="63">
        <f t="shared" si="41"/>
        <v>36000</v>
      </c>
      <c r="BR147" s="63">
        <f t="shared" si="42"/>
        <v>36000</v>
      </c>
      <c r="BS147" s="63">
        <f t="shared" si="43"/>
        <v>36000</v>
      </c>
    </row>
    <row r="148" spans="1:71">
      <c r="A148" s="28">
        <f t="shared" si="34"/>
        <v>147</v>
      </c>
      <c r="B148" s="30" t="s">
        <v>857</v>
      </c>
      <c r="C148" s="30" t="s">
        <v>72</v>
      </c>
      <c r="D148" s="30" t="s">
        <v>855</v>
      </c>
      <c r="E148" s="30" t="s">
        <v>810</v>
      </c>
      <c r="F148" s="30" t="s">
        <v>856</v>
      </c>
      <c r="G148" s="32" t="s">
        <v>433</v>
      </c>
      <c r="H148" s="35" t="s">
        <v>434</v>
      </c>
      <c r="I148" s="30"/>
      <c r="J148" s="30"/>
      <c r="K148" s="30" t="s">
        <v>737</v>
      </c>
      <c r="L148" s="63"/>
      <c r="M148" s="63"/>
      <c r="N148" s="63"/>
      <c r="O148" s="63"/>
      <c r="P148" s="63"/>
      <c r="Q148" s="42">
        <v>1.6</v>
      </c>
      <c r="R148" s="47">
        <f t="shared" si="35"/>
        <v>448000</v>
      </c>
      <c r="S148" s="48">
        <v>512000</v>
      </c>
      <c r="T148" s="48">
        <f t="shared" si="36"/>
        <v>280000</v>
      </c>
      <c r="U148" s="63"/>
      <c r="V148" s="63"/>
      <c r="W148" s="63"/>
      <c r="X148" s="63"/>
      <c r="Y148" s="39">
        <v>40000</v>
      </c>
      <c r="Z148" s="39">
        <v>40000</v>
      </c>
      <c r="AA148" s="39">
        <v>40000</v>
      </c>
      <c r="AB148" s="39">
        <v>40000</v>
      </c>
      <c r="AC148" s="39">
        <v>40000</v>
      </c>
      <c r="AD148" s="39">
        <v>40000</v>
      </c>
      <c r="AE148" s="39">
        <v>40000</v>
      </c>
      <c r="AF148" s="39">
        <v>40000</v>
      </c>
      <c r="AG148" s="63"/>
      <c r="AH148" s="63"/>
      <c r="AI148" s="63"/>
      <c r="AJ148" s="63"/>
      <c r="AK148" s="63"/>
      <c r="AL148" s="63"/>
      <c r="AM148" s="63"/>
      <c r="AN148" s="63"/>
      <c r="AO148" s="63"/>
      <c r="AP148" s="63"/>
      <c r="AQ148" s="63"/>
      <c r="AR148" s="63"/>
      <c r="AS148" s="63"/>
      <c r="AT148" s="63" t="s">
        <v>116</v>
      </c>
      <c r="AU148" s="30" t="s">
        <v>688</v>
      </c>
      <c r="AV148" s="63"/>
      <c r="AW148" s="63"/>
      <c r="AX148" s="63"/>
      <c r="AY148" s="63"/>
      <c r="AZ148" s="63"/>
      <c r="BA148" s="63"/>
      <c r="BB148" s="63"/>
      <c r="BC148" s="63"/>
      <c r="BD148" s="63"/>
      <c r="BE148" s="63"/>
      <c r="BF148" s="63"/>
      <c r="BG148" s="63"/>
      <c r="BH148" s="63"/>
      <c r="BI148" s="63"/>
      <c r="BJ148" s="63"/>
      <c r="BK148" s="63"/>
      <c r="BL148" s="63">
        <f t="shared" si="33"/>
        <v>64000</v>
      </c>
      <c r="BM148" s="63">
        <f t="shared" si="37"/>
        <v>64000</v>
      </c>
      <c r="BN148" s="63">
        <f t="shared" si="38"/>
        <v>64000</v>
      </c>
      <c r="BO148" s="63">
        <f t="shared" si="39"/>
        <v>64000</v>
      </c>
      <c r="BP148" s="63">
        <f t="shared" si="40"/>
        <v>64000</v>
      </c>
      <c r="BQ148" s="63">
        <f t="shared" si="41"/>
        <v>64000</v>
      </c>
      <c r="BR148" s="63">
        <f t="shared" si="42"/>
        <v>64000</v>
      </c>
      <c r="BS148" s="63">
        <f t="shared" si="43"/>
        <v>64000</v>
      </c>
    </row>
    <row r="149" spans="1:71">
      <c r="A149" s="28">
        <f t="shared" si="34"/>
        <v>148</v>
      </c>
      <c r="B149" s="30" t="s">
        <v>858</v>
      </c>
      <c r="C149" s="30" t="s">
        <v>72</v>
      </c>
      <c r="D149" s="30" t="s">
        <v>855</v>
      </c>
      <c r="E149" s="30" t="s">
        <v>810</v>
      </c>
      <c r="F149" s="30" t="s">
        <v>856</v>
      </c>
      <c r="G149" s="30" t="s">
        <v>421</v>
      </c>
      <c r="H149" s="35" t="s">
        <v>422</v>
      </c>
      <c r="I149" s="30"/>
      <c r="J149" s="30"/>
      <c r="K149" s="30" t="s">
        <v>845</v>
      </c>
      <c r="L149" s="63"/>
      <c r="M149" s="63"/>
      <c r="N149" s="63"/>
      <c r="O149" s="63"/>
      <c r="P149" s="63"/>
      <c r="Q149" s="42">
        <v>7</v>
      </c>
      <c r="R149" s="47">
        <f t="shared" si="35"/>
        <v>525000</v>
      </c>
      <c r="S149" s="48">
        <v>525000</v>
      </c>
      <c r="T149" s="48">
        <f t="shared" si="36"/>
        <v>75000</v>
      </c>
      <c r="U149" s="63"/>
      <c r="V149" s="63"/>
      <c r="W149" s="63"/>
      <c r="X149" s="63"/>
      <c r="Y149" s="39">
        <v>0</v>
      </c>
      <c r="Z149" s="39">
        <v>0</v>
      </c>
      <c r="AA149" s="39">
        <v>0</v>
      </c>
      <c r="AB149" s="39">
        <v>0</v>
      </c>
      <c r="AC149" s="39">
        <v>5000</v>
      </c>
      <c r="AD149" s="39">
        <v>10000</v>
      </c>
      <c r="AE149" s="39">
        <v>30000</v>
      </c>
      <c r="AF149" s="39">
        <v>30000</v>
      </c>
      <c r="AG149" s="63"/>
      <c r="AH149" s="63"/>
      <c r="AI149" s="63"/>
      <c r="AJ149" s="63"/>
      <c r="AK149" s="63"/>
      <c r="AL149" s="63"/>
      <c r="AM149" s="63"/>
      <c r="AN149" s="63"/>
      <c r="AO149" s="63"/>
      <c r="AP149" s="63"/>
      <c r="AQ149" s="63"/>
      <c r="AR149" s="63"/>
      <c r="AS149" s="63"/>
      <c r="AT149" s="63" t="s">
        <v>116</v>
      </c>
      <c r="AU149" s="30" t="s">
        <v>545</v>
      </c>
      <c r="AV149" s="63"/>
      <c r="AW149" s="63"/>
      <c r="AX149" s="63"/>
      <c r="AY149" s="63"/>
      <c r="AZ149" s="63"/>
      <c r="BA149" s="63"/>
      <c r="BB149" s="63"/>
      <c r="BC149" s="63"/>
      <c r="BD149" s="63"/>
      <c r="BE149" s="63"/>
      <c r="BF149" s="63"/>
      <c r="BG149" s="63"/>
      <c r="BH149" s="63"/>
      <c r="BI149" s="63"/>
      <c r="BJ149" s="63"/>
      <c r="BK149" s="63"/>
      <c r="BL149" s="63">
        <f t="shared" si="33"/>
        <v>0</v>
      </c>
      <c r="BM149" s="63">
        <f t="shared" si="37"/>
        <v>0</v>
      </c>
      <c r="BN149" s="63">
        <f t="shared" si="38"/>
        <v>0</v>
      </c>
      <c r="BO149" s="63">
        <f t="shared" si="39"/>
        <v>0</v>
      </c>
      <c r="BP149" s="63">
        <f t="shared" si="40"/>
        <v>35000</v>
      </c>
      <c r="BQ149" s="63">
        <f t="shared" si="41"/>
        <v>70000</v>
      </c>
      <c r="BR149" s="63">
        <f t="shared" si="42"/>
        <v>210000</v>
      </c>
      <c r="BS149" s="63">
        <f t="shared" si="43"/>
        <v>210000</v>
      </c>
    </row>
    <row r="150" spans="1:71">
      <c r="A150" s="28">
        <f t="shared" si="34"/>
        <v>149</v>
      </c>
      <c r="B150" s="30" t="s">
        <v>859</v>
      </c>
      <c r="C150" s="30" t="s">
        <v>72</v>
      </c>
      <c r="D150" s="30" t="s">
        <v>855</v>
      </c>
      <c r="E150" s="30" t="s">
        <v>810</v>
      </c>
      <c r="F150" s="30" t="s">
        <v>856</v>
      </c>
      <c r="G150" s="30" t="s">
        <v>423</v>
      </c>
      <c r="H150" s="35" t="s">
        <v>426</v>
      </c>
      <c r="I150" s="30"/>
      <c r="J150" s="30"/>
      <c r="K150" s="30" t="s">
        <v>735</v>
      </c>
      <c r="L150" s="63"/>
      <c r="M150" s="63"/>
      <c r="N150" s="63"/>
      <c r="O150" s="63"/>
      <c r="P150" s="63"/>
      <c r="Q150" s="42">
        <v>0.97</v>
      </c>
      <c r="R150" s="47">
        <f t="shared" si="35"/>
        <v>135800</v>
      </c>
      <c r="S150" s="48">
        <v>155200</v>
      </c>
      <c r="T150" s="48">
        <f t="shared" si="36"/>
        <v>140000</v>
      </c>
      <c r="U150" s="63"/>
      <c r="V150" s="63"/>
      <c r="W150" s="63"/>
      <c r="X150" s="63"/>
      <c r="Y150" s="39">
        <v>20000</v>
      </c>
      <c r="Z150" s="39">
        <v>20000</v>
      </c>
      <c r="AA150" s="39">
        <v>20000</v>
      </c>
      <c r="AB150" s="39">
        <v>20000</v>
      </c>
      <c r="AC150" s="39">
        <v>20000</v>
      </c>
      <c r="AD150" s="39">
        <v>20000</v>
      </c>
      <c r="AE150" s="39">
        <v>20000</v>
      </c>
      <c r="AF150" s="39">
        <v>20000</v>
      </c>
      <c r="AG150" s="63"/>
      <c r="AH150" s="63"/>
      <c r="AI150" s="63"/>
      <c r="AJ150" s="63"/>
      <c r="AK150" s="63"/>
      <c r="AL150" s="63"/>
      <c r="AM150" s="63"/>
      <c r="AN150" s="63"/>
      <c r="AO150" s="63"/>
      <c r="AP150" s="63"/>
      <c r="AQ150" s="63"/>
      <c r="AR150" s="63"/>
      <c r="AS150" s="63"/>
      <c r="AT150" s="63" t="s">
        <v>116</v>
      </c>
      <c r="AU150" s="30" t="s">
        <v>688</v>
      </c>
      <c r="AV150" s="63"/>
      <c r="AW150" s="63"/>
      <c r="AX150" s="63"/>
      <c r="AY150" s="63"/>
      <c r="AZ150" s="63"/>
      <c r="BA150" s="63"/>
      <c r="BB150" s="63"/>
      <c r="BC150" s="63"/>
      <c r="BD150" s="63"/>
      <c r="BE150" s="63"/>
      <c r="BF150" s="63"/>
      <c r="BG150" s="63"/>
      <c r="BH150" s="63"/>
      <c r="BI150" s="63"/>
      <c r="BJ150" s="63"/>
      <c r="BK150" s="63"/>
      <c r="BL150" s="63">
        <f t="shared" si="33"/>
        <v>19400</v>
      </c>
      <c r="BM150" s="63">
        <f t="shared" si="37"/>
        <v>19400</v>
      </c>
      <c r="BN150" s="63">
        <f t="shared" si="38"/>
        <v>19400</v>
      </c>
      <c r="BO150" s="63">
        <f t="shared" si="39"/>
        <v>19400</v>
      </c>
      <c r="BP150" s="63">
        <f t="shared" si="40"/>
        <v>19400</v>
      </c>
      <c r="BQ150" s="63">
        <f t="shared" si="41"/>
        <v>19400</v>
      </c>
      <c r="BR150" s="63">
        <f t="shared" si="42"/>
        <v>19400</v>
      </c>
      <c r="BS150" s="63">
        <f t="shared" si="43"/>
        <v>19400</v>
      </c>
    </row>
    <row r="151" spans="1:71">
      <c r="A151" s="28">
        <f t="shared" si="34"/>
        <v>150</v>
      </c>
      <c r="B151" s="30" t="s">
        <v>859</v>
      </c>
      <c r="C151" s="30" t="s">
        <v>72</v>
      </c>
      <c r="D151" s="30" t="s">
        <v>855</v>
      </c>
      <c r="E151" s="30" t="s">
        <v>810</v>
      </c>
      <c r="F151" s="30" t="s">
        <v>856</v>
      </c>
      <c r="G151" s="30" t="s">
        <v>393</v>
      </c>
      <c r="H151" s="35" t="s">
        <v>394</v>
      </c>
      <c r="I151" s="30"/>
      <c r="J151" s="30"/>
      <c r="K151" s="30" t="s">
        <v>845</v>
      </c>
      <c r="L151" s="63"/>
      <c r="M151" s="63"/>
      <c r="N151" s="63"/>
      <c r="O151" s="63"/>
      <c r="P151" s="63"/>
      <c r="Q151" s="42">
        <v>2.6</v>
      </c>
      <c r="R151" s="47">
        <f t="shared" si="35"/>
        <v>109200</v>
      </c>
      <c r="S151" s="48">
        <v>124800</v>
      </c>
      <c r="T151" s="48">
        <f t="shared" si="36"/>
        <v>42000</v>
      </c>
      <c r="U151" s="63"/>
      <c r="V151" s="63"/>
      <c r="W151" s="63"/>
      <c r="X151" s="63"/>
      <c r="Y151" s="39">
        <v>6000</v>
      </c>
      <c r="Z151" s="39">
        <v>6000</v>
      </c>
      <c r="AA151" s="39">
        <v>6000</v>
      </c>
      <c r="AB151" s="39">
        <v>6000</v>
      </c>
      <c r="AC151" s="39">
        <v>6000</v>
      </c>
      <c r="AD151" s="39">
        <v>6000</v>
      </c>
      <c r="AE151" s="39">
        <v>6000</v>
      </c>
      <c r="AF151" s="39">
        <v>6000</v>
      </c>
      <c r="AG151" s="63"/>
      <c r="AH151" s="63"/>
      <c r="AI151" s="63"/>
      <c r="AJ151" s="63"/>
      <c r="AK151" s="63"/>
      <c r="AL151" s="63"/>
      <c r="AM151" s="63"/>
      <c r="AN151" s="63"/>
      <c r="AO151" s="63"/>
      <c r="AP151" s="63"/>
      <c r="AQ151" s="63"/>
      <c r="AR151" s="63"/>
      <c r="AS151" s="63"/>
      <c r="AT151" s="63" t="s">
        <v>116</v>
      </c>
      <c r="AU151" s="30" t="s">
        <v>545</v>
      </c>
      <c r="AV151" s="63"/>
      <c r="AW151" s="63"/>
      <c r="AX151" s="63"/>
      <c r="AY151" s="63"/>
      <c r="AZ151" s="63"/>
      <c r="BA151" s="63"/>
      <c r="BB151" s="63"/>
      <c r="BC151" s="63"/>
      <c r="BD151" s="63"/>
      <c r="BE151" s="63"/>
      <c r="BF151" s="63"/>
      <c r="BG151" s="63"/>
      <c r="BH151" s="63"/>
      <c r="BI151" s="63"/>
      <c r="BJ151" s="63"/>
      <c r="BK151" s="63"/>
      <c r="BL151" s="63">
        <f t="shared" si="33"/>
        <v>15600</v>
      </c>
      <c r="BM151" s="63">
        <f t="shared" si="37"/>
        <v>15600</v>
      </c>
      <c r="BN151" s="63">
        <f t="shared" si="38"/>
        <v>15600</v>
      </c>
      <c r="BO151" s="63">
        <f t="shared" si="39"/>
        <v>15600</v>
      </c>
      <c r="BP151" s="63">
        <f t="shared" si="40"/>
        <v>15600</v>
      </c>
      <c r="BQ151" s="63">
        <f t="shared" si="41"/>
        <v>15600</v>
      </c>
      <c r="BR151" s="63">
        <f t="shared" si="42"/>
        <v>15600</v>
      </c>
      <c r="BS151" s="63">
        <f t="shared" si="43"/>
        <v>15600</v>
      </c>
    </row>
    <row r="152" spans="1:71">
      <c r="A152" s="28">
        <f t="shared" si="34"/>
        <v>151</v>
      </c>
      <c r="B152" s="30" t="s">
        <v>860</v>
      </c>
      <c r="C152" s="30" t="s">
        <v>72</v>
      </c>
      <c r="D152" s="30" t="s">
        <v>855</v>
      </c>
      <c r="E152" s="30" t="s">
        <v>810</v>
      </c>
      <c r="F152" s="30" t="s">
        <v>856</v>
      </c>
      <c r="G152" s="32" t="s">
        <v>433</v>
      </c>
      <c r="H152" s="35" t="s">
        <v>434</v>
      </c>
      <c r="I152" s="30"/>
      <c r="J152" s="30"/>
      <c r="K152" s="30" t="s">
        <v>737</v>
      </c>
      <c r="L152" s="63"/>
      <c r="M152" s="63"/>
      <c r="N152" s="63"/>
      <c r="O152" s="63"/>
      <c r="P152" s="63"/>
      <c r="Q152" s="42">
        <v>1.6</v>
      </c>
      <c r="R152" s="47">
        <f t="shared" si="35"/>
        <v>448000</v>
      </c>
      <c r="S152" s="48">
        <v>656000</v>
      </c>
      <c r="T152" s="48">
        <f t="shared" si="36"/>
        <v>280000</v>
      </c>
      <c r="U152" s="63"/>
      <c r="V152" s="63"/>
      <c r="W152" s="63"/>
      <c r="X152" s="63"/>
      <c r="Y152" s="39">
        <v>130000</v>
      </c>
      <c r="Z152" s="39">
        <v>100000</v>
      </c>
      <c r="AA152" s="39">
        <v>30000</v>
      </c>
      <c r="AB152" s="39">
        <v>30000</v>
      </c>
      <c r="AC152" s="39">
        <v>30000</v>
      </c>
      <c r="AD152" s="39">
        <v>30000</v>
      </c>
      <c r="AE152" s="39">
        <v>30000</v>
      </c>
      <c r="AF152" s="39">
        <v>30000</v>
      </c>
      <c r="AG152" s="63"/>
      <c r="AH152" s="63"/>
      <c r="AI152" s="63"/>
      <c r="AJ152" s="63"/>
      <c r="AK152" s="63"/>
      <c r="AL152" s="63"/>
      <c r="AM152" s="63"/>
      <c r="AN152" s="63"/>
      <c r="AO152" s="63"/>
      <c r="AP152" s="63"/>
      <c r="AQ152" s="63"/>
      <c r="AR152" s="63"/>
      <c r="AS152" s="63"/>
      <c r="AT152" s="63" t="s">
        <v>116</v>
      </c>
      <c r="AU152" s="30" t="s">
        <v>688</v>
      </c>
      <c r="AV152" s="63"/>
      <c r="AW152" s="63"/>
      <c r="AX152" s="63"/>
      <c r="AY152" s="63"/>
      <c r="AZ152" s="63"/>
      <c r="BA152" s="63"/>
      <c r="BB152" s="63"/>
      <c r="BC152" s="63"/>
      <c r="BD152" s="63"/>
      <c r="BE152" s="63"/>
      <c r="BF152" s="63"/>
      <c r="BG152" s="63"/>
      <c r="BH152" s="63"/>
      <c r="BI152" s="63"/>
      <c r="BJ152" s="63"/>
      <c r="BK152" s="63"/>
      <c r="BL152" s="63">
        <f t="shared" si="33"/>
        <v>208000</v>
      </c>
      <c r="BM152" s="63">
        <f t="shared" si="37"/>
        <v>160000</v>
      </c>
      <c r="BN152" s="63">
        <f t="shared" si="38"/>
        <v>48000</v>
      </c>
      <c r="BO152" s="63">
        <f t="shared" si="39"/>
        <v>48000</v>
      </c>
      <c r="BP152" s="63">
        <f t="shared" si="40"/>
        <v>48000</v>
      </c>
      <c r="BQ152" s="63">
        <f t="shared" si="41"/>
        <v>48000</v>
      </c>
      <c r="BR152" s="63">
        <f t="shared" si="42"/>
        <v>48000</v>
      </c>
      <c r="BS152" s="63">
        <f t="shared" si="43"/>
        <v>48000</v>
      </c>
    </row>
    <row r="153" spans="1:71">
      <c r="A153" s="28">
        <f t="shared" si="34"/>
        <v>152</v>
      </c>
      <c r="B153" s="30" t="s">
        <v>860</v>
      </c>
      <c r="C153" s="30" t="s">
        <v>72</v>
      </c>
      <c r="D153" s="30" t="s">
        <v>855</v>
      </c>
      <c r="E153" s="30" t="s">
        <v>810</v>
      </c>
      <c r="F153" s="30" t="s">
        <v>856</v>
      </c>
      <c r="G153" s="30" t="s">
        <v>413</v>
      </c>
      <c r="H153" s="35" t="s">
        <v>414</v>
      </c>
      <c r="I153" s="30"/>
      <c r="J153" s="30"/>
      <c r="K153" s="30" t="s">
        <v>761</v>
      </c>
      <c r="L153" s="63"/>
      <c r="M153" s="63"/>
      <c r="N153" s="63"/>
      <c r="O153" s="63"/>
      <c r="P153" s="63"/>
      <c r="Q153" s="42">
        <v>3.3</v>
      </c>
      <c r="R153" s="47">
        <f t="shared" si="35"/>
        <v>188100</v>
      </c>
      <c r="S153" s="48">
        <v>207900</v>
      </c>
      <c r="T153" s="48">
        <f t="shared" si="36"/>
        <v>57000</v>
      </c>
      <c r="U153" s="63"/>
      <c r="V153" s="63"/>
      <c r="W153" s="63"/>
      <c r="X153" s="63"/>
      <c r="Y153" s="39">
        <v>6000</v>
      </c>
      <c r="Z153" s="39">
        <v>6000</v>
      </c>
      <c r="AA153" s="39">
        <v>6000</v>
      </c>
      <c r="AB153" s="39">
        <v>9000</v>
      </c>
      <c r="AC153" s="39">
        <v>9000</v>
      </c>
      <c r="AD153" s="39">
        <v>9000</v>
      </c>
      <c r="AE153" s="39">
        <v>9000</v>
      </c>
      <c r="AF153" s="39">
        <v>9000</v>
      </c>
      <c r="AG153" s="63"/>
      <c r="AH153" s="63"/>
      <c r="AI153" s="63"/>
      <c r="AJ153" s="63"/>
      <c r="AK153" s="63"/>
      <c r="AL153" s="63"/>
      <c r="AM153" s="63"/>
      <c r="AN153" s="63"/>
      <c r="AO153" s="63"/>
      <c r="AP153" s="63"/>
      <c r="AQ153" s="63"/>
      <c r="AR153" s="63"/>
      <c r="AS153" s="63"/>
      <c r="AT153" s="63" t="s">
        <v>116</v>
      </c>
      <c r="AU153" s="30" t="s">
        <v>545</v>
      </c>
      <c r="AV153" s="63"/>
      <c r="AW153" s="63"/>
      <c r="AX153" s="63"/>
      <c r="AY153" s="63"/>
      <c r="AZ153" s="63"/>
      <c r="BA153" s="63"/>
      <c r="BB153" s="63"/>
      <c r="BC153" s="63"/>
      <c r="BD153" s="63"/>
      <c r="BE153" s="63"/>
      <c r="BF153" s="63"/>
      <c r="BG153" s="63"/>
      <c r="BH153" s="63"/>
      <c r="BI153" s="63"/>
      <c r="BJ153" s="63"/>
      <c r="BK153" s="63"/>
      <c r="BL153" s="63">
        <f t="shared" si="33"/>
        <v>19800</v>
      </c>
      <c r="BM153" s="63">
        <f t="shared" si="37"/>
        <v>19800</v>
      </c>
      <c r="BN153" s="63">
        <f t="shared" si="38"/>
        <v>19800</v>
      </c>
      <c r="BO153" s="63">
        <f t="shared" si="39"/>
        <v>29700</v>
      </c>
      <c r="BP153" s="63">
        <f t="shared" si="40"/>
        <v>29700</v>
      </c>
      <c r="BQ153" s="63">
        <f t="shared" si="41"/>
        <v>29700</v>
      </c>
      <c r="BR153" s="63">
        <f t="shared" si="42"/>
        <v>29700</v>
      </c>
      <c r="BS153" s="63">
        <f t="shared" si="43"/>
        <v>29700</v>
      </c>
    </row>
    <row r="154" spans="1:71">
      <c r="A154" s="28">
        <f t="shared" si="34"/>
        <v>153</v>
      </c>
      <c r="B154" s="30" t="s">
        <v>860</v>
      </c>
      <c r="C154" s="30" t="s">
        <v>72</v>
      </c>
      <c r="D154" s="30" t="s">
        <v>855</v>
      </c>
      <c r="E154" s="30" t="s">
        <v>810</v>
      </c>
      <c r="F154" s="30" t="s">
        <v>856</v>
      </c>
      <c r="G154" s="30" t="s">
        <v>76</v>
      </c>
      <c r="H154" s="35" t="s">
        <v>170</v>
      </c>
      <c r="I154" s="30"/>
      <c r="J154" s="30"/>
      <c r="K154" s="30"/>
      <c r="L154" s="63"/>
      <c r="M154" s="63"/>
      <c r="N154" s="63"/>
      <c r="O154" s="63"/>
      <c r="P154" s="63"/>
      <c r="Q154" s="42">
        <v>0.28</v>
      </c>
      <c r="R154" s="47">
        <f t="shared" si="35"/>
        <v>14000</v>
      </c>
      <c r="S154" s="48">
        <v>14000</v>
      </c>
      <c r="T154" s="48">
        <f t="shared" si="36"/>
        <v>50000</v>
      </c>
      <c r="U154" s="63"/>
      <c r="V154" s="63"/>
      <c r="W154" s="63"/>
      <c r="X154" s="63"/>
      <c r="Y154" s="39">
        <v>50000</v>
      </c>
      <c r="Z154" s="39"/>
      <c r="AA154" s="39"/>
      <c r="AB154" s="39">
        <v>50000</v>
      </c>
      <c r="AC154" s="39"/>
      <c r="AD154" s="39"/>
      <c r="AE154" s="39"/>
      <c r="AF154" s="39"/>
      <c r="AG154" s="63"/>
      <c r="AH154" s="63"/>
      <c r="AI154" s="63"/>
      <c r="AJ154" s="63"/>
      <c r="AK154" s="63"/>
      <c r="AL154" s="63"/>
      <c r="AM154" s="63"/>
      <c r="AN154" s="63"/>
      <c r="AO154" s="63"/>
      <c r="AP154" s="63"/>
      <c r="AQ154" s="63"/>
      <c r="AR154" s="63"/>
      <c r="AS154" s="63"/>
      <c r="AT154" s="63" t="s">
        <v>116</v>
      </c>
      <c r="AU154" s="30" t="s">
        <v>81</v>
      </c>
      <c r="AV154" s="63"/>
      <c r="AW154" s="63"/>
      <c r="AX154" s="63"/>
      <c r="AY154" s="63"/>
      <c r="AZ154" s="63"/>
      <c r="BA154" s="63"/>
      <c r="BB154" s="63"/>
      <c r="BC154" s="63"/>
      <c r="BD154" s="63"/>
      <c r="BE154" s="63"/>
      <c r="BF154" s="63"/>
      <c r="BG154" s="63"/>
      <c r="BH154" s="63"/>
      <c r="BI154" s="63"/>
      <c r="BJ154" s="63"/>
      <c r="BK154" s="63"/>
      <c r="BL154" s="63">
        <f t="shared" si="33"/>
        <v>14000</v>
      </c>
      <c r="BM154" s="63">
        <f t="shared" si="37"/>
        <v>0</v>
      </c>
      <c r="BN154" s="63">
        <f t="shared" si="38"/>
        <v>0</v>
      </c>
      <c r="BO154" s="63">
        <f t="shared" si="39"/>
        <v>14000</v>
      </c>
      <c r="BP154" s="63">
        <f t="shared" si="40"/>
        <v>0</v>
      </c>
      <c r="BQ154" s="63">
        <f t="shared" si="41"/>
        <v>0</v>
      </c>
      <c r="BR154" s="63">
        <f t="shared" si="42"/>
        <v>0</v>
      </c>
      <c r="BS154" s="63">
        <f t="shared" si="43"/>
        <v>0</v>
      </c>
    </row>
    <row r="155" spans="1:71">
      <c r="A155" s="28">
        <f t="shared" si="34"/>
        <v>154</v>
      </c>
      <c r="B155" s="30" t="s">
        <v>860</v>
      </c>
      <c r="C155" s="30" t="s">
        <v>72</v>
      </c>
      <c r="D155" s="30" t="s">
        <v>855</v>
      </c>
      <c r="E155" s="30" t="s">
        <v>810</v>
      </c>
      <c r="F155" s="30" t="s">
        <v>856</v>
      </c>
      <c r="G155" s="30" t="s">
        <v>263</v>
      </c>
      <c r="H155" s="35" t="s">
        <v>264</v>
      </c>
      <c r="I155" s="69">
        <v>2442</v>
      </c>
      <c r="J155" s="30"/>
      <c r="K155" s="30"/>
      <c r="L155" s="63"/>
      <c r="M155" s="63"/>
      <c r="N155" s="63"/>
      <c r="O155" s="63"/>
      <c r="P155" s="63"/>
      <c r="Q155" s="42">
        <v>0.28</v>
      </c>
      <c r="R155" s="47">
        <f t="shared" si="35"/>
        <v>14000</v>
      </c>
      <c r="S155" s="48">
        <v>14000</v>
      </c>
      <c r="T155" s="48">
        <f t="shared" si="36"/>
        <v>50000</v>
      </c>
      <c r="U155" s="63"/>
      <c r="V155" s="63"/>
      <c r="W155" s="63"/>
      <c r="X155" s="63"/>
      <c r="Y155" s="39">
        <v>50000</v>
      </c>
      <c r="Z155" s="39"/>
      <c r="AA155" s="39"/>
      <c r="AB155" s="39">
        <v>50000</v>
      </c>
      <c r="AC155" s="39"/>
      <c r="AD155" s="39"/>
      <c r="AE155" s="39"/>
      <c r="AF155" s="39"/>
      <c r="AG155" s="63"/>
      <c r="AH155" s="63"/>
      <c r="AI155" s="63"/>
      <c r="AJ155" s="63"/>
      <c r="AK155" s="63"/>
      <c r="AL155" s="63"/>
      <c r="AM155" s="63"/>
      <c r="AN155" s="63"/>
      <c r="AO155" s="63"/>
      <c r="AP155" s="63"/>
      <c r="AQ155" s="63"/>
      <c r="AR155" s="63"/>
      <c r="AS155" s="63"/>
      <c r="AT155" s="63" t="s">
        <v>116</v>
      </c>
      <c r="AU155" s="30" t="s">
        <v>81</v>
      </c>
      <c r="AV155" s="63"/>
      <c r="AW155" s="63"/>
      <c r="AX155" s="63"/>
      <c r="AY155" s="63"/>
      <c r="AZ155" s="63"/>
      <c r="BA155" s="63"/>
      <c r="BB155" s="63"/>
      <c r="BC155" s="63"/>
      <c r="BD155" s="63"/>
      <c r="BE155" s="63"/>
      <c r="BF155" s="63"/>
      <c r="BG155" s="63"/>
      <c r="BH155" s="63"/>
      <c r="BI155" s="63"/>
      <c r="BJ155" s="63"/>
      <c r="BK155" s="63"/>
      <c r="BL155" s="63">
        <f t="shared" si="33"/>
        <v>14000</v>
      </c>
      <c r="BM155" s="63">
        <f t="shared" si="37"/>
        <v>0</v>
      </c>
      <c r="BN155" s="63">
        <f t="shared" si="38"/>
        <v>0</v>
      </c>
      <c r="BO155" s="63">
        <f t="shared" si="39"/>
        <v>14000</v>
      </c>
      <c r="BP155" s="63">
        <f t="shared" si="40"/>
        <v>0</v>
      </c>
      <c r="BQ155" s="63">
        <f t="shared" si="41"/>
        <v>0</v>
      </c>
      <c r="BR155" s="63">
        <f t="shared" si="42"/>
        <v>0</v>
      </c>
      <c r="BS155" s="63">
        <f t="shared" si="43"/>
        <v>0</v>
      </c>
    </row>
    <row r="156" spans="1:71">
      <c r="A156" s="28">
        <f t="shared" si="34"/>
        <v>155</v>
      </c>
      <c r="B156" s="30" t="s">
        <v>861</v>
      </c>
      <c r="C156" s="30" t="s">
        <v>72</v>
      </c>
      <c r="D156" s="30" t="s">
        <v>855</v>
      </c>
      <c r="E156" s="30" t="s">
        <v>810</v>
      </c>
      <c r="F156" s="30" t="s">
        <v>856</v>
      </c>
      <c r="G156" s="30" t="s">
        <v>441</v>
      </c>
      <c r="H156" s="35" t="s">
        <v>442</v>
      </c>
      <c r="I156" s="30"/>
      <c r="J156" s="30"/>
      <c r="K156" s="30" t="s">
        <v>745</v>
      </c>
      <c r="L156" s="63"/>
      <c r="M156" s="63"/>
      <c r="N156" s="63"/>
      <c r="O156" s="63"/>
      <c r="P156" s="63"/>
      <c r="Q156" s="42">
        <v>1.6</v>
      </c>
      <c r="R156" s="47">
        <f t="shared" si="35"/>
        <v>560000</v>
      </c>
      <c r="S156" s="48">
        <v>640000</v>
      </c>
      <c r="T156" s="48">
        <f t="shared" si="36"/>
        <v>350000</v>
      </c>
      <c r="U156" s="63"/>
      <c r="V156" s="63"/>
      <c r="W156" s="63"/>
      <c r="X156" s="63"/>
      <c r="Y156" s="39">
        <v>50000</v>
      </c>
      <c r="Z156" s="39">
        <v>50000</v>
      </c>
      <c r="AA156" s="39">
        <v>50000</v>
      </c>
      <c r="AB156" s="39">
        <v>50000</v>
      </c>
      <c r="AC156" s="39">
        <v>50000</v>
      </c>
      <c r="AD156" s="39">
        <v>50000</v>
      </c>
      <c r="AE156" s="39">
        <v>50000</v>
      </c>
      <c r="AF156" s="39">
        <v>50000</v>
      </c>
      <c r="AG156" s="63"/>
      <c r="AH156" s="63"/>
      <c r="AI156" s="63"/>
      <c r="AJ156" s="63"/>
      <c r="AK156" s="63"/>
      <c r="AL156" s="63"/>
      <c r="AM156" s="63"/>
      <c r="AN156" s="63"/>
      <c r="AO156" s="63"/>
      <c r="AP156" s="63"/>
      <c r="AQ156" s="63"/>
      <c r="AR156" s="63"/>
      <c r="AS156" s="63"/>
      <c r="AT156" s="63" t="s">
        <v>116</v>
      </c>
      <c r="AU156" s="30" t="s">
        <v>688</v>
      </c>
      <c r="AV156" s="63"/>
      <c r="AW156" s="63"/>
      <c r="AX156" s="63"/>
      <c r="AY156" s="63"/>
      <c r="AZ156" s="63"/>
      <c r="BA156" s="63"/>
      <c r="BB156" s="63"/>
      <c r="BC156" s="63"/>
      <c r="BD156" s="63"/>
      <c r="BE156" s="63"/>
      <c r="BF156" s="63"/>
      <c r="BG156" s="63"/>
      <c r="BH156" s="63"/>
      <c r="BI156" s="63"/>
      <c r="BJ156" s="63"/>
      <c r="BK156" s="63"/>
      <c r="BL156" s="63">
        <f t="shared" si="33"/>
        <v>80000</v>
      </c>
      <c r="BM156" s="63">
        <f t="shared" si="37"/>
        <v>80000</v>
      </c>
      <c r="BN156" s="63">
        <f t="shared" si="38"/>
        <v>80000</v>
      </c>
      <c r="BO156" s="63">
        <f t="shared" si="39"/>
        <v>80000</v>
      </c>
      <c r="BP156" s="63">
        <f t="shared" si="40"/>
        <v>80000</v>
      </c>
      <c r="BQ156" s="63">
        <f t="shared" si="41"/>
        <v>80000</v>
      </c>
      <c r="BR156" s="63">
        <f t="shared" si="42"/>
        <v>80000</v>
      </c>
      <c r="BS156" s="63">
        <f t="shared" si="43"/>
        <v>80000</v>
      </c>
    </row>
    <row r="157" spans="1:71">
      <c r="A157" s="28">
        <f t="shared" si="34"/>
        <v>156</v>
      </c>
      <c r="B157" s="30" t="s">
        <v>861</v>
      </c>
      <c r="C157" s="30" t="s">
        <v>72</v>
      </c>
      <c r="D157" s="30" t="s">
        <v>855</v>
      </c>
      <c r="E157" s="30" t="s">
        <v>810</v>
      </c>
      <c r="F157" s="30" t="s">
        <v>856</v>
      </c>
      <c r="G157" s="30" t="s">
        <v>457</v>
      </c>
      <c r="H157" s="35" t="s">
        <v>458</v>
      </c>
      <c r="I157" s="30"/>
      <c r="J157" s="30"/>
      <c r="K157" s="30" t="s">
        <v>745</v>
      </c>
      <c r="L157" s="63"/>
      <c r="M157" s="63"/>
      <c r="N157" s="63"/>
      <c r="O157" s="63"/>
      <c r="P157" s="63"/>
      <c r="Q157" s="42">
        <v>1.35</v>
      </c>
      <c r="R157" s="47">
        <f t="shared" si="35"/>
        <v>756000</v>
      </c>
      <c r="S157" s="48">
        <v>864000</v>
      </c>
      <c r="T157" s="48">
        <f t="shared" si="36"/>
        <v>560000</v>
      </c>
      <c r="U157" s="63"/>
      <c r="V157" s="63"/>
      <c r="W157" s="63"/>
      <c r="X157" s="63"/>
      <c r="Y157" s="39">
        <v>80000</v>
      </c>
      <c r="Z157" s="39">
        <v>80000</v>
      </c>
      <c r="AA157" s="39">
        <v>80000</v>
      </c>
      <c r="AB157" s="39">
        <v>80000</v>
      </c>
      <c r="AC157" s="39">
        <v>80000</v>
      </c>
      <c r="AD157" s="39">
        <v>80000</v>
      </c>
      <c r="AE157" s="39">
        <v>80000</v>
      </c>
      <c r="AF157" s="39">
        <v>80000</v>
      </c>
      <c r="AG157" s="63"/>
      <c r="AH157" s="63"/>
      <c r="AI157" s="63"/>
      <c r="AJ157" s="63"/>
      <c r="AK157" s="63"/>
      <c r="AL157" s="63"/>
      <c r="AM157" s="63"/>
      <c r="AN157" s="63"/>
      <c r="AO157" s="63"/>
      <c r="AP157" s="63"/>
      <c r="AQ157" s="63"/>
      <c r="AR157" s="63"/>
      <c r="AS157" s="63"/>
      <c r="AT157" s="63" t="s">
        <v>116</v>
      </c>
      <c r="AU157" s="30" t="s">
        <v>688</v>
      </c>
      <c r="AV157" s="63"/>
      <c r="AW157" s="63"/>
      <c r="AX157" s="63"/>
      <c r="AY157" s="63"/>
      <c r="AZ157" s="63"/>
      <c r="BA157" s="63"/>
      <c r="BB157" s="63"/>
      <c r="BC157" s="63"/>
      <c r="BD157" s="63"/>
      <c r="BE157" s="63"/>
      <c r="BF157" s="63"/>
      <c r="BG157" s="63"/>
      <c r="BH157" s="63"/>
      <c r="BI157" s="63"/>
      <c r="BJ157" s="63"/>
      <c r="BK157" s="63"/>
      <c r="BL157" s="63">
        <f t="shared" si="33"/>
        <v>108000</v>
      </c>
      <c r="BM157" s="63">
        <f t="shared" si="37"/>
        <v>108000</v>
      </c>
      <c r="BN157" s="63">
        <f t="shared" si="38"/>
        <v>108000</v>
      </c>
      <c r="BO157" s="63">
        <f t="shared" si="39"/>
        <v>108000</v>
      </c>
      <c r="BP157" s="63">
        <f t="shared" si="40"/>
        <v>108000</v>
      </c>
      <c r="BQ157" s="63">
        <f t="shared" si="41"/>
        <v>108000</v>
      </c>
      <c r="BR157" s="63">
        <f t="shared" si="42"/>
        <v>108000</v>
      </c>
      <c r="BS157" s="63">
        <f t="shared" si="43"/>
        <v>108000</v>
      </c>
    </row>
    <row r="158" spans="1:71">
      <c r="A158" s="28">
        <f t="shared" si="34"/>
        <v>157</v>
      </c>
      <c r="B158" s="30" t="s">
        <v>861</v>
      </c>
      <c r="C158" s="30" t="s">
        <v>72</v>
      </c>
      <c r="D158" s="30" t="s">
        <v>855</v>
      </c>
      <c r="E158" s="30" t="s">
        <v>810</v>
      </c>
      <c r="F158" s="30" t="s">
        <v>856</v>
      </c>
      <c r="G158" s="30" t="s">
        <v>473</v>
      </c>
      <c r="H158" s="35" t="s">
        <v>474</v>
      </c>
      <c r="I158" s="30"/>
      <c r="J158" s="30"/>
      <c r="K158" s="30" t="s">
        <v>745</v>
      </c>
      <c r="L158" s="63"/>
      <c r="M158" s="63"/>
      <c r="N158" s="63"/>
      <c r="O158" s="63"/>
      <c r="P158" s="63"/>
      <c r="Q158" s="71"/>
      <c r="R158" s="47">
        <f t="shared" si="35"/>
        <v>0</v>
      </c>
      <c r="S158" s="48">
        <v>0</v>
      </c>
      <c r="T158" s="48">
        <f t="shared" si="36"/>
        <v>0</v>
      </c>
      <c r="U158" s="63"/>
      <c r="V158" s="63"/>
      <c r="W158" s="63"/>
      <c r="X158" s="63"/>
      <c r="Y158" s="39"/>
      <c r="Z158" s="39"/>
      <c r="AA158" s="39"/>
      <c r="AB158" s="39"/>
      <c r="AC158" s="39"/>
      <c r="AD158" s="39"/>
      <c r="AE158" s="39"/>
      <c r="AF158" s="39"/>
      <c r="AG158" s="63"/>
      <c r="AH158" s="63"/>
      <c r="AI158" s="63"/>
      <c r="AJ158" s="63"/>
      <c r="AK158" s="63"/>
      <c r="AL158" s="63"/>
      <c r="AM158" s="63"/>
      <c r="AN158" s="63"/>
      <c r="AO158" s="63"/>
      <c r="AP158" s="63"/>
      <c r="AQ158" s="63"/>
      <c r="AR158" s="63"/>
      <c r="AS158" s="63"/>
      <c r="AT158" s="63" t="s">
        <v>116</v>
      </c>
      <c r="AU158" s="30" t="s">
        <v>688</v>
      </c>
      <c r="AV158" s="63"/>
      <c r="AW158" s="63"/>
      <c r="AX158" s="63"/>
      <c r="AY158" s="63"/>
      <c r="AZ158" s="63"/>
      <c r="BA158" s="63"/>
      <c r="BB158" s="63"/>
      <c r="BC158" s="63"/>
      <c r="BD158" s="63"/>
      <c r="BE158" s="63"/>
      <c r="BF158" s="63"/>
      <c r="BG158" s="63"/>
      <c r="BH158" s="63"/>
      <c r="BI158" s="63"/>
      <c r="BJ158" s="63"/>
      <c r="BK158" s="63"/>
      <c r="BL158" s="63">
        <f t="shared" si="33"/>
        <v>0</v>
      </c>
      <c r="BM158" s="63">
        <f t="shared" si="37"/>
        <v>0</v>
      </c>
      <c r="BN158" s="63">
        <f t="shared" si="38"/>
        <v>0</v>
      </c>
      <c r="BO158" s="63">
        <f t="shared" si="39"/>
        <v>0</v>
      </c>
      <c r="BP158" s="63">
        <f t="shared" si="40"/>
        <v>0</v>
      </c>
      <c r="BQ158" s="63">
        <f t="shared" si="41"/>
        <v>0</v>
      </c>
      <c r="BR158" s="63">
        <f t="shared" si="42"/>
        <v>0</v>
      </c>
      <c r="BS158" s="63">
        <f t="shared" si="43"/>
        <v>0</v>
      </c>
    </row>
    <row r="159" spans="1:71">
      <c r="A159" s="28">
        <f t="shared" si="34"/>
        <v>158</v>
      </c>
      <c r="B159" s="30" t="s">
        <v>861</v>
      </c>
      <c r="C159" s="30" t="s">
        <v>72</v>
      </c>
      <c r="D159" s="30" t="s">
        <v>855</v>
      </c>
      <c r="E159" s="30" t="s">
        <v>810</v>
      </c>
      <c r="F159" s="30" t="s">
        <v>856</v>
      </c>
      <c r="G159" s="30" t="s">
        <v>439</v>
      </c>
      <c r="H159" s="35" t="s">
        <v>440</v>
      </c>
      <c r="I159" s="30"/>
      <c r="J159" s="30"/>
      <c r="K159" s="30" t="s">
        <v>745</v>
      </c>
      <c r="L159" s="63"/>
      <c r="M159" s="63"/>
      <c r="N159" s="63"/>
      <c r="O159" s="63"/>
      <c r="P159" s="63"/>
      <c r="Q159" s="42">
        <v>1.8</v>
      </c>
      <c r="R159" s="47">
        <f t="shared" si="35"/>
        <v>414000</v>
      </c>
      <c r="S159" s="48">
        <v>468000</v>
      </c>
      <c r="T159" s="48">
        <f t="shared" si="36"/>
        <v>230000</v>
      </c>
      <c r="U159" s="63"/>
      <c r="V159" s="63"/>
      <c r="W159" s="63"/>
      <c r="X159" s="63"/>
      <c r="Y159" s="39">
        <v>30000</v>
      </c>
      <c r="Z159" s="39">
        <v>40000</v>
      </c>
      <c r="AA159" s="39">
        <v>40000</v>
      </c>
      <c r="AB159" s="39">
        <v>30000</v>
      </c>
      <c r="AC159" s="39">
        <v>30000</v>
      </c>
      <c r="AD159" s="39">
        <v>30000</v>
      </c>
      <c r="AE159" s="39">
        <v>30000</v>
      </c>
      <c r="AF159" s="39">
        <v>30000</v>
      </c>
      <c r="AG159" s="63"/>
      <c r="AH159" s="63"/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 t="s">
        <v>116</v>
      </c>
      <c r="AU159" s="30" t="s">
        <v>688</v>
      </c>
      <c r="AV159" s="63"/>
      <c r="AW159" s="63"/>
      <c r="AX159" s="63"/>
      <c r="AY159" s="63"/>
      <c r="AZ159" s="63"/>
      <c r="BA159" s="63"/>
      <c r="BB159" s="63"/>
      <c r="BC159" s="63"/>
      <c r="BD159" s="63"/>
      <c r="BE159" s="63"/>
      <c r="BF159" s="63"/>
      <c r="BG159" s="63"/>
      <c r="BH159" s="63"/>
      <c r="BI159" s="63"/>
      <c r="BJ159" s="63"/>
      <c r="BK159" s="63"/>
      <c r="BL159" s="63">
        <f t="shared" si="33"/>
        <v>54000</v>
      </c>
      <c r="BM159" s="63">
        <f t="shared" si="37"/>
        <v>72000</v>
      </c>
      <c r="BN159" s="63">
        <f t="shared" si="38"/>
        <v>72000</v>
      </c>
      <c r="BO159" s="63">
        <f t="shared" si="39"/>
        <v>54000</v>
      </c>
      <c r="BP159" s="63">
        <f t="shared" si="40"/>
        <v>54000</v>
      </c>
      <c r="BQ159" s="63">
        <f t="shared" si="41"/>
        <v>54000</v>
      </c>
      <c r="BR159" s="63">
        <f t="shared" si="42"/>
        <v>54000</v>
      </c>
      <c r="BS159" s="63">
        <f t="shared" si="43"/>
        <v>54000</v>
      </c>
    </row>
    <row r="160" spans="1:71">
      <c r="A160" s="28">
        <f t="shared" si="34"/>
        <v>159</v>
      </c>
      <c r="B160" s="30" t="s">
        <v>861</v>
      </c>
      <c r="C160" s="30" t="s">
        <v>72</v>
      </c>
      <c r="D160" s="30" t="s">
        <v>855</v>
      </c>
      <c r="E160" s="30" t="s">
        <v>810</v>
      </c>
      <c r="F160" s="30" t="s">
        <v>856</v>
      </c>
      <c r="G160" s="30" t="s">
        <v>259</v>
      </c>
      <c r="H160" s="35" t="s">
        <v>260</v>
      </c>
      <c r="I160" s="30"/>
      <c r="J160" s="30"/>
      <c r="K160" s="30" t="s">
        <v>862</v>
      </c>
      <c r="L160" s="63"/>
      <c r="M160" s="63"/>
      <c r="N160" s="63"/>
      <c r="O160" s="63"/>
      <c r="P160" s="63"/>
      <c r="Q160" s="71"/>
      <c r="R160" s="47">
        <f t="shared" si="35"/>
        <v>0</v>
      </c>
      <c r="S160" s="48">
        <v>0</v>
      </c>
      <c r="T160" s="48">
        <f t="shared" si="36"/>
        <v>0</v>
      </c>
      <c r="U160" s="63"/>
      <c r="V160" s="63"/>
      <c r="W160" s="63"/>
      <c r="X160" s="63"/>
      <c r="Y160" s="39"/>
      <c r="Z160" s="39"/>
      <c r="AA160" s="39"/>
      <c r="AB160" s="39"/>
      <c r="AC160" s="39"/>
      <c r="AD160" s="39"/>
      <c r="AE160" s="39"/>
      <c r="AF160" s="39"/>
      <c r="AG160" s="63"/>
      <c r="AH160" s="63"/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 t="s">
        <v>116</v>
      </c>
      <c r="AU160" s="30" t="s">
        <v>81</v>
      </c>
      <c r="AV160" s="63"/>
      <c r="AW160" s="63"/>
      <c r="AX160" s="63"/>
      <c r="AY160" s="63"/>
      <c r="AZ160" s="63"/>
      <c r="BA160" s="63"/>
      <c r="BB160" s="63"/>
      <c r="BC160" s="63"/>
      <c r="BD160" s="63"/>
      <c r="BE160" s="63"/>
      <c r="BF160" s="63"/>
      <c r="BG160" s="63"/>
      <c r="BH160" s="63"/>
      <c r="BI160" s="63"/>
      <c r="BJ160" s="63"/>
      <c r="BK160" s="63"/>
      <c r="BL160" s="63">
        <f t="shared" si="33"/>
        <v>0</v>
      </c>
      <c r="BM160" s="63">
        <f t="shared" si="37"/>
        <v>0</v>
      </c>
      <c r="BN160" s="63">
        <f t="shared" si="38"/>
        <v>0</v>
      </c>
      <c r="BO160" s="63">
        <f t="shared" si="39"/>
        <v>0</v>
      </c>
      <c r="BP160" s="63">
        <f t="shared" si="40"/>
        <v>0</v>
      </c>
      <c r="BQ160" s="63">
        <f t="shared" si="41"/>
        <v>0</v>
      </c>
      <c r="BR160" s="63">
        <f t="shared" si="42"/>
        <v>0</v>
      </c>
      <c r="BS160" s="63">
        <f t="shared" si="43"/>
        <v>0</v>
      </c>
    </row>
    <row r="161" spans="1:71">
      <c r="A161" s="28">
        <f t="shared" si="34"/>
        <v>160</v>
      </c>
      <c r="B161" s="30" t="s">
        <v>863</v>
      </c>
      <c r="C161" s="30" t="s">
        <v>72</v>
      </c>
      <c r="D161" s="30" t="s">
        <v>855</v>
      </c>
      <c r="E161" s="30" t="s">
        <v>810</v>
      </c>
      <c r="F161" s="30" t="s">
        <v>856</v>
      </c>
      <c r="G161" s="30" t="s">
        <v>457</v>
      </c>
      <c r="H161" s="35" t="s">
        <v>458</v>
      </c>
      <c r="I161" s="30"/>
      <c r="J161" s="30"/>
      <c r="K161" s="30" t="s">
        <v>745</v>
      </c>
      <c r="L161" s="63"/>
      <c r="M161" s="63"/>
      <c r="N161" s="63"/>
      <c r="O161" s="63"/>
      <c r="P161" s="63"/>
      <c r="Q161" s="42">
        <v>1.35</v>
      </c>
      <c r="R161" s="47">
        <f t="shared" si="35"/>
        <v>94500</v>
      </c>
      <c r="S161" s="48">
        <v>108000</v>
      </c>
      <c r="T161" s="48">
        <f t="shared" si="36"/>
        <v>70000</v>
      </c>
      <c r="U161" s="63"/>
      <c r="V161" s="63"/>
      <c r="W161" s="63"/>
      <c r="X161" s="63"/>
      <c r="Y161" s="39">
        <v>10000</v>
      </c>
      <c r="Z161" s="39">
        <v>10000</v>
      </c>
      <c r="AA161" s="39">
        <v>10000</v>
      </c>
      <c r="AB161" s="39">
        <v>10000</v>
      </c>
      <c r="AC161" s="39">
        <v>10000</v>
      </c>
      <c r="AD161" s="39">
        <v>10000</v>
      </c>
      <c r="AE161" s="39">
        <v>10000</v>
      </c>
      <c r="AF161" s="39">
        <v>10000</v>
      </c>
      <c r="AG161" s="63"/>
      <c r="AH161" s="63"/>
      <c r="AI161" s="63"/>
      <c r="AJ161" s="63"/>
      <c r="AK161" s="63"/>
      <c r="AL161" s="63"/>
      <c r="AM161" s="63"/>
      <c r="AN161" s="63"/>
      <c r="AO161" s="63"/>
      <c r="AP161" s="63"/>
      <c r="AQ161" s="63"/>
      <c r="AR161" s="63"/>
      <c r="AS161" s="63"/>
      <c r="AT161" s="63" t="s">
        <v>116</v>
      </c>
      <c r="AU161" s="30" t="s">
        <v>688</v>
      </c>
      <c r="AV161" s="63"/>
      <c r="AW161" s="63"/>
      <c r="AX161" s="63"/>
      <c r="AY161" s="63"/>
      <c r="AZ161" s="63"/>
      <c r="BA161" s="63"/>
      <c r="BB161" s="63"/>
      <c r="BC161" s="63"/>
      <c r="BD161" s="63"/>
      <c r="BE161" s="63"/>
      <c r="BF161" s="63"/>
      <c r="BG161" s="63"/>
      <c r="BH161" s="63"/>
      <c r="BI161" s="63"/>
      <c r="BJ161" s="63"/>
      <c r="BK161" s="63"/>
      <c r="BL161" s="63">
        <f t="shared" si="33"/>
        <v>13500</v>
      </c>
      <c r="BM161" s="63">
        <f t="shared" si="37"/>
        <v>13500</v>
      </c>
      <c r="BN161" s="63">
        <f t="shared" si="38"/>
        <v>13500</v>
      </c>
      <c r="BO161" s="63">
        <f t="shared" si="39"/>
        <v>13500</v>
      </c>
      <c r="BP161" s="63">
        <f t="shared" si="40"/>
        <v>13500</v>
      </c>
      <c r="BQ161" s="63">
        <f t="shared" si="41"/>
        <v>13500</v>
      </c>
      <c r="BR161" s="63">
        <f t="shared" si="42"/>
        <v>13500</v>
      </c>
      <c r="BS161" s="63">
        <f t="shared" si="43"/>
        <v>13500</v>
      </c>
    </row>
    <row r="162" spans="1:71">
      <c r="A162" s="28">
        <f t="shared" si="34"/>
        <v>161</v>
      </c>
      <c r="B162" s="30" t="s">
        <v>864</v>
      </c>
      <c r="C162" s="30" t="s">
        <v>72</v>
      </c>
      <c r="D162" s="30" t="s">
        <v>855</v>
      </c>
      <c r="E162" s="30" t="s">
        <v>810</v>
      </c>
      <c r="F162" s="30" t="s">
        <v>856</v>
      </c>
      <c r="G162" s="30" t="s">
        <v>210</v>
      </c>
      <c r="H162" s="68" t="s">
        <v>215</v>
      </c>
      <c r="I162" s="30"/>
      <c r="J162" s="30"/>
      <c r="K162" s="30" t="s">
        <v>836</v>
      </c>
      <c r="L162" s="63"/>
      <c r="M162" s="63"/>
      <c r="N162" s="63"/>
      <c r="O162" s="63"/>
      <c r="P162" s="63"/>
      <c r="Q162" s="42">
        <v>0.16</v>
      </c>
      <c r="R162" s="47">
        <f t="shared" si="35"/>
        <v>19200</v>
      </c>
      <c r="S162" s="48">
        <v>38400</v>
      </c>
      <c r="T162" s="48">
        <f t="shared" si="36"/>
        <v>120000</v>
      </c>
      <c r="U162" s="63"/>
      <c r="V162" s="63"/>
      <c r="W162" s="63"/>
      <c r="X162" s="63"/>
      <c r="Y162" s="39">
        <v>120000</v>
      </c>
      <c r="Z162" s="39">
        <v>120000</v>
      </c>
      <c r="AA162" s="39"/>
      <c r="AB162" s="39"/>
      <c r="AC162" s="39"/>
      <c r="AD162" s="39"/>
      <c r="AE162" s="39"/>
      <c r="AF162" s="39"/>
      <c r="AG162" s="63"/>
      <c r="AH162" s="63"/>
      <c r="AI162" s="63"/>
      <c r="AJ162" s="63"/>
      <c r="AK162" s="63"/>
      <c r="AL162" s="63"/>
      <c r="AM162" s="63"/>
      <c r="AN162" s="63"/>
      <c r="AO162" s="63"/>
      <c r="AP162" s="63"/>
      <c r="AQ162" s="63"/>
      <c r="AR162" s="63"/>
      <c r="AS162" s="63"/>
      <c r="AT162" s="63" t="s">
        <v>116</v>
      </c>
      <c r="AU162" s="30" t="s">
        <v>81</v>
      </c>
      <c r="AV162" s="63"/>
      <c r="AW162" s="63"/>
      <c r="AX162" s="63"/>
      <c r="AY162" s="63"/>
      <c r="AZ162" s="63"/>
      <c r="BA162" s="63"/>
      <c r="BB162" s="63"/>
      <c r="BC162" s="63"/>
      <c r="BD162" s="63"/>
      <c r="BE162" s="63"/>
      <c r="BF162" s="63"/>
      <c r="BG162" s="63"/>
      <c r="BH162" s="63"/>
      <c r="BI162" s="63"/>
      <c r="BJ162" s="63"/>
      <c r="BK162" s="63"/>
      <c r="BL162" s="63">
        <f t="shared" si="33"/>
        <v>19200</v>
      </c>
      <c r="BM162" s="63">
        <f t="shared" si="37"/>
        <v>19200</v>
      </c>
      <c r="BN162" s="63">
        <f t="shared" si="38"/>
        <v>0</v>
      </c>
      <c r="BO162" s="63">
        <f t="shared" si="39"/>
        <v>0</v>
      </c>
      <c r="BP162" s="63">
        <f t="shared" si="40"/>
        <v>0</v>
      </c>
      <c r="BQ162" s="63">
        <f t="shared" si="41"/>
        <v>0</v>
      </c>
      <c r="BR162" s="63">
        <f t="shared" si="42"/>
        <v>0</v>
      </c>
      <c r="BS162" s="63">
        <f t="shared" si="43"/>
        <v>0</v>
      </c>
    </row>
    <row r="163" spans="1:71">
      <c r="A163" s="28">
        <f t="shared" si="34"/>
        <v>162</v>
      </c>
      <c r="B163" s="30" t="s">
        <v>864</v>
      </c>
      <c r="C163" s="30" t="s">
        <v>72</v>
      </c>
      <c r="D163" s="30" t="s">
        <v>855</v>
      </c>
      <c r="E163" s="30" t="s">
        <v>810</v>
      </c>
      <c r="F163" s="30" t="s">
        <v>856</v>
      </c>
      <c r="G163" s="30" t="s">
        <v>276</v>
      </c>
      <c r="H163" s="35" t="s">
        <v>277</v>
      </c>
      <c r="I163" s="30"/>
      <c r="J163" s="30"/>
      <c r="K163" s="30" t="s">
        <v>836</v>
      </c>
      <c r="L163" s="63"/>
      <c r="M163" s="63"/>
      <c r="N163" s="63"/>
      <c r="O163" s="63"/>
      <c r="P163" s="63"/>
      <c r="Q163" s="71"/>
      <c r="R163" s="47">
        <f t="shared" si="35"/>
        <v>0</v>
      </c>
      <c r="S163" s="48">
        <v>0</v>
      </c>
      <c r="T163" s="48">
        <f t="shared" si="36"/>
        <v>0</v>
      </c>
      <c r="U163" s="63"/>
      <c r="V163" s="63"/>
      <c r="W163" s="63"/>
      <c r="X163" s="63"/>
      <c r="Y163" s="39"/>
      <c r="Z163" s="39"/>
      <c r="AA163" s="39"/>
      <c r="AB163" s="39"/>
      <c r="AC163" s="39"/>
      <c r="AD163" s="39"/>
      <c r="AE163" s="39"/>
      <c r="AF163" s="39"/>
      <c r="AG163" s="63"/>
      <c r="AH163" s="63"/>
      <c r="AI163" s="63"/>
      <c r="AJ163" s="63"/>
      <c r="AK163" s="63"/>
      <c r="AL163" s="63"/>
      <c r="AM163" s="63"/>
      <c r="AN163" s="63"/>
      <c r="AO163" s="63"/>
      <c r="AP163" s="63"/>
      <c r="AQ163" s="63"/>
      <c r="AR163" s="63"/>
      <c r="AS163" s="63"/>
      <c r="AT163" s="63" t="s">
        <v>116</v>
      </c>
      <c r="AU163" s="30" t="s">
        <v>81</v>
      </c>
      <c r="AV163" s="63"/>
      <c r="AW163" s="63"/>
      <c r="AX163" s="63"/>
      <c r="AY163" s="63"/>
      <c r="AZ163" s="63"/>
      <c r="BA163" s="63"/>
      <c r="BB163" s="63"/>
      <c r="BC163" s="63"/>
      <c r="BD163" s="63"/>
      <c r="BE163" s="63"/>
      <c r="BF163" s="63"/>
      <c r="BG163" s="63"/>
      <c r="BH163" s="63"/>
      <c r="BI163" s="63"/>
      <c r="BJ163" s="63"/>
      <c r="BK163" s="63"/>
      <c r="BL163" s="63">
        <f t="shared" si="33"/>
        <v>0</v>
      </c>
      <c r="BM163" s="63">
        <f t="shared" si="37"/>
        <v>0</v>
      </c>
      <c r="BN163" s="63">
        <f t="shared" si="38"/>
        <v>0</v>
      </c>
      <c r="BO163" s="63">
        <f t="shared" si="39"/>
        <v>0</v>
      </c>
      <c r="BP163" s="63">
        <f t="shared" si="40"/>
        <v>0</v>
      </c>
      <c r="BQ163" s="63">
        <f t="shared" si="41"/>
        <v>0</v>
      </c>
      <c r="BR163" s="63">
        <f t="shared" si="42"/>
        <v>0</v>
      </c>
      <c r="BS163" s="63">
        <f t="shared" si="43"/>
        <v>0</v>
      </c>
    </row>
    <row r="164" spans="1:71">
      <c r="A164" s="28">
        <f t="shared" si="34"/>
        <v>163</v>
      </c>
      <c r="B164" s="30" t="s">
        <v>865</v>
      </c>
      <c r="C164" s="30" t="s">
        <v>92</v>
      </c>
      <c r="D164" s="30" t="s">
        <v>721</v>
      </c>
      <c r="E164" s="30" t="s">
        <v>810</v>
      </c>
      <c r="F164" s="30" t="s">
        <v>722</v>
      </c>
      <c r="G164" s="30" t="s">
        <v>441</v>
      </c>
      <c r="H164" s="35" t="s">
        <v>442</v>
      </c>
      <c r="I164" s="30"/>
      <c r="J164" s="30"/>
      <c r="K164" s="30" t="s">
        <v>745</v>
      </c>
      <c r="L164" s="63"/>
      <c r="M164" s="63"/>
      <c r="N164" s="63"/>
      <c r="O164" s="63"/>
      <c r="P164" s="63"/>
      <c r="Q164" s="42">
        <v>1.53</v>
      </c>
      <c r="R164" s="47">
        <f t="shared" si="35"/>
        <v>3978000</v>
      </c>
      <c r="S164" s="48">
        <v>4896000</v>
      </c>
      <c r="T164" s="48">
        <f t="shared" si="36"/>
        <v>2600000</v>
      </c>
      <c r="U164" s="63"/>
      <c r="V164" s="63"/>
      <c r="W164" s="63"/>
      <c r="X164" s="63"/>
      <c r="Y164" s="39">
        <v>400000</v>
      </c>
      <c r="Z164" s="39">
        <v>300000</v>
      </c>
      <c r="AA164" s="39">
        <v>300000</v>
      </c>
      <c r="AB164" s="39">
        <v>400000</v>
      </c>
      <c r="AC164" s="39">
        <v>400000</v>
      </c>
      <c r="AD164" s="39">
        <v>400000</v>
      </c>
      <c r="AE164" s="39">
        <v>400000</v>
      </c>
      <c r="AF164" s="39">
        <v>400000</v>
      </c>
      <c r="AG164" s="63"/>
      <c r="AH164" s="63"/>
      <c r="AI164" s="63"/>
      <c r="AJ164" s="63"/>
      <c r="AK164" s="63"/>
      <c r="AL164" s="63"/>
      <c r="AM164" s="63"/>
      <c r="AN164" s="63"/>
      <c r="AO164" s="63"/>
      <c r="AP164" s="63"/>
      <c r="AQ164" s="63"/>
      <c r="AR164" s="63"/>
      <c r="AS164" s="63"/>
      <c r="AT164" s="63" t="s">
        <v>116</v>
      </c>
      <c r="AU164" s="30" t="s">
        <v>688</v>
      </c>
      <c r="AV164" s="63"/>
      <c r="AW164" s="63"/>
      <c r="AX164" s="63"/>
      <c r="AY164" s="63"/>
      <c r="AZ164" s="63"/>
      <c r="BA164" s="63"/>
      <c r="BB164" s="63"/>
      <c r="BC164" s="63"/>
      <c r="BD164" s="63"/>
      <c r="BE164" s="63"/>
      <c r="BF164" s="63"/>
      <c r="BG164" s="63"/>
      <c r="BH164" s="63"/>
      <c r="BI164" s="63"/>
      <c r="BJ164" s="63"/>
      <c r="BK164" s="63"/>
      <c r="BL164" s="63">
        <f t="shared" si="33"/>
        <v>612000</v>
      </c>
      <c r="BM164" s="63">
        <f t="shared" si="37"/>
        <v>459000</v>
      </c>
      <c r="BN164" s="63">
        <f t="shared" si="38"/>
        <v>459000</v>
      </c>
      <c r="BO164" s="63">
        <f t="shared" si="39"/>
        <v>612000</v>
      </c>
      <c r="BP164" s="63">
        <f t="shared" si="40"/>
        <v>612000</v>
      </c>
      <c r="BQ164" s="63">
        <f t="shared" si="41"/>
        <v>612000</v>
      </c>
      <c r="BR164" s="63">
        <f t="shared" si="42"/>
        <v>612000</v>
      </c>
      <c r="BS164" s="63">
        <f t="shared" si="43"/>
        <v>612000</v>
      </c>
    </row>
    <row r="165" spans="1:71">
      <c r="A165" s="28">
        <f t="shared" si="34"/>
        <v>164</v>
      </c>
      <c r="B165" s="30" t="s">
        <v>865</v>
      </c>
      <c r="C165" s="30" t="s">
        <v>92</v>
      </c>
      <c r="D165" s="30" t="s">
        <v>721</v>
      </c>
      <c r="E165" s="30" t="s">
        <v>810</v>
      </c>
      <c r="F165" s="30" t="s">
        <v>722</v>
      </c>
      <c r="G165" s="30" t="s">
        <v>448</v>
      </c>
      <c r="H165" s="35" t="s">
        <v>449</v>
      </c>
      <c r="I165" s="30"/>
      <c r="J165" s="30"/>
      <c r="K165" s="30" t="s">
        <v>745</v>
      </c>
      <c r="L165" s="63"/>
      <c r="M165" s="63"/>
      <c r="N165" s="63"/>
      <c r="O165" s="63"/>
      <c r="P165" s="63"/>
      <c r="Q165" s="71"/>
      <c r="R165" s="47">
        <f t="shared" si="35"/>
        <v>0</v>
      </c>
      <c r="S165" s="48">
        <v>0</v>
      </c>
      <c r="T165" s="48">
        <f t="shared" si="36"/>
        <v>0</v>
      </c>
      <c r="U165" s="63"/>
      <c r="V165" s="63"/>
      <c r="W165" s="63"/>
      <c r="X165" s="63"/>
      <c r="Y165" s="39"/>
      <c r="Z165" s="39"/>
      <c r="AA165" s="39"/>
      <c r="AB165" s="39"/>
      <c r="AC165" s="39"/>
      <c r="AD165" s="39"/>
      <c r="AE165" s="39"/>
      <c r="AF165" s="39"/>
      <c r="AG165" s="63"/>
      <c r="AH165" s="63"/>
      <c r="AI165" s="63"/>
      <c r="AJ165" s="63"/>
      <c r="AK165" s="63"/>
      <c r="AL165" s="63"/>
      <c r="AM165" s="63"/>
      <c r="AN165" s="63"/>
      <c r="AO165" s="63"/>
      <c r="AP165" s="63"/>
      <c r="AQ165" s="63"/>
      <c r="AR165" s="63"/>
      <c r="AS165" s="63"/>
      <c r="AT165" s="63" t="s">
        <v>116</v>
      </c>
      <c r="AU165" s="30" t="s">
        <v>688</v>
      </c>
      <c r="AV165" s="63"/>
      <c r="AW165" s="63"/>
      <c r="AX165" s="63"/>
      <c r="AY165" s="63"/>
      <c r="AZ165" s="63"/>
      <c r="BA165" s="63"/>
      <c r="BB165" s="63"/>
      <c r="BC165" s="63"/>
      <c r="BD165" s="63"/>
      <c r="BE165" s="63"/>
      <c r="BF165" s="63"/>
      <c r="BG165" s="63"/>
      <c r="BH165" s="63"/>
      <c r="BI165" s="63"/>
      <c r="BJ165" s="63"/>
      <c r="BK165" s="63"/>
      <c r="BL165" s="63">
        <f t="shared" si="33"/>
        <v>0</v>
      </c>
      <c r="BM165" s="63">
        <f t="shared" si="37"/>
        <v>0</v>
      </c>
      <c r="BN165" s="63">
        <f t="shared" si="38"/>
        <v>0</v>
      </c>
      <c r="BO165" s="63">
        <f t="shared" si="39"/>
        <v>0</v>
      </c>
      <c r="BP165" s="63">
        <f t="shared" si="40"/>
        <v>0</v>
      </c>
      <c r="BQ165" s="63">
        <f t="shared" si="41"/>
        <v>0</v>
      </c>
      <c r="BR165" s="63">
        <f t="shared" si="42"/>
        <v>0</v>
      </c>
      <c r="BS165" s="63">
        <f t="shared" si="43"/>
        <v>0</v>
      </c>
    </row>
    <row r="166" spans="1:71">
      <c r="A166" s="28">
        <f t="shared" si="34"/>
        <v>165</v>
      </c>
      <c r="B166" s="30" t="s">
        <v>866</v>
      </c>
      <c r="C166" s="30" t="s">
        <v>72</v>
      </c>
      <c r="D166" s="30" t="s">
        <v>721</v>
      </c>
      <c r="E166" s="30" t="s">
        <v>810</v>
      </c>
      <c r="F166" s="30" t="s">
        <v>722</v>
      </c>
      <c r="G166" s="30" t="s">
        <v>457</v>
      </c>
      <c r="H166" s="35" t="s">
        <v>458</v>
      </c>
      <c r="I166" s="30"/>
      <c r="J166" s="30"/>
      <c r="K166" s="30" t="s">
        <v>745</v>
      </c>
      <c r="L166" s="63"/>
      <c r="M166" s="63"/>
      <c r="N166" s="63"/>
      <c r="O166" s="63"/>
      <c r="P166" s="63"/>
      <c r="Q166" s="42">
        <v>1.258</v>
      </c>
      <c r="R166" s="47">
        <f t="shared" si="35"/>
        <v>4528800</v>
      </c>
      <c r="S166" s="48">
        <v>6604500</v>
      </c>
      <c r="T166" s="48">
        <f t="shared" si="36"/>
        <v>3600000</v>
      </c>
      <c r="U166" s="63"/>
      <c r="V166" s="63"/>
      <c r="W166" s="63"/>
      <c r="X166" s="63"/>
      <c r="Y166" s="39">
        <v>600000</v>
      </c>
      <c r="Z166" s="39">
        <v>100000</v>
      </c>
      <c r="AA166" s="39">
        <v>100000</v>
      </c>
      <c r="AB166" s="39">
        <v>650000</v>
      </c>
      <c r="AC166" s="39">
        <v>650000</v>
      </c>
      <c r="AD166" s="39">
        <v>700000</v>
      </c>
      <c r="AE166" s="39">
        <v>700000</v>
      </c>
      <c r="AF166" s="39">
        <v>700000</v>
      </c>
      <c r="AG166" s="63"/>
      <c r="AH166" s="63"/>
      <c r="AI166" s="63"/>
      <c r="AJ166" s="63"/>
      <c r="AK166" s="63"/>
      <c r="AL166" s="63"/>
      <c r="AM166" s="63"/>
      <c r="AN166" s="63"/>
      <c r="AO166" s="63"/>
      <c r="AP166" s="63"/>
      <c r="AQ166" s="63"/>
      <c r="AR166" s="63"/>
      <c r="AS166" s="63"/>
      <c r="AT166" s="63" t="s">
        <v>116</v>
      </c>
      <c r="AU166" s="30" t="s">
        <v>688</v>
      </c>
      <c r="AV166" s="63"/>
      <c r="AW166" s="63"/>
      <c r="AX166" s="63"/>
      <c r="AY166" s="63"/>
      <c r="AZ166" s="63"/>
      <c r="BA166" s="63"/>
      <c r="BB166" s="63"/>
      <c r="BC166" s="63"/>
      <c r="BD166" s="63"/>
      <c r="BE166" s="63"/>
      <c r="BF166" s="63"/>
      <c r="BG166" s="63"/>
      <c r="BH166" s="63"/>
      <c r="BI166" s="63"/>
      <c r="BJ166" s="63"/>
      <c r="BK166" s="63"/>
      <c r="BL166" s="63">
        <f t="shared" si="33"/>
        <v>754800</v>
      </c>
      <c r="BM166" s="63">
        <f t="shared" si="37"/>
        <v>125800</v>
      </c>
      <c r="BN166" s="63">
        <f t="shared" si="38"/>
        <v>125800</v>
      </c>
      <c r="BO166" s="63">
        <f t="shared" si="39"/>
        <v>817700</v>
      </c>
      <c r="BP166" s="63">
        <f t="shared" si="40"/>
        <v>817700</v>
      </c>
      <c r="BQ166" s="63">
        <f t="shared" si="41"/>
        <v>880600</v>
      </c>
      <c r="BR166" s="63">
        <f t="shared" si="42"/>
        <v>880600</v>
      </c>
      <c r="BS166" s="63">
        <f t="shared" si="43"/>
        <v>880600</v>
      </c>
    </row>
    <row r="167" spans="1:71">
      <c r="A167" s="28">
        <f t="shared" si="34"/>
        <v>166</v>
      </c>
      <c r="B167" s="30" t="s">
        <v>867</v>
      </c>
      <c r="C167" s="30" t="s">
        <v>92</v>
      </c>
      <c r="D167" s="30" t="s">
        <v>721</v>
      </c>
      <c r="E167" s="30" t="s">
        <v>810</v>
      </c>
      <c r="F167" s="30" t="s">
        <v>722</v>
      </c>
      <c r="G167" s="30" t="s">
        <v>433</v>
      </c>
      <c r="H167" s="35" t="s">
        <v>434</v>
      </c>
      <c r="I167" s="30"/>
      <c r="J167" s="30"/>
      <c r="K167" s="30" t="s">
        <v>737</v>
      </c>
      <c r="L167" s="63"/>
      <c r="M167" s="63"/>
      <c r="N167" s="63"/>
      <c r="O167" s="63"/>
      <c r="P167" s="63"/>
      <c r="Q167" s="42">
        <v>1.61</v>
      </c>
      <c r="R167" s="47">
        <f t="shared" si="35"/>
        <v>499100</v>
      </c>
      <c r="S167" s="48">
        <v>660100</v>
      </c>
      <c r="T167" s="48">
        <f t="shared" si="36"/>
        <v>310000</v>
      </c>
      <c r="U167" s="63"/>
      <c r="V167" s="63"/>
      <c r="W167" s="63"/>
      <c r="X167" s="63"/>
      <c r="Y167" s="39">
        <v>40000</v>
      </c>
      <c r="Z167" s="39">
        <v>15000</v>
      </c>
      <c r="AA167" s="39">
        <v>15000</v>
      </c>
      <c r="AB167" s="39">
        <v>50000</v>
      </c>
      <c r="AC167" s="39">
        <v>50000</v>
      </c>
      <c r="AD167" s="39">
        <v>60000</v>
      </c>
      <c r="AE167" s="39">
        <v>60000</v>
      </c>
      <c r="AF167" s="39">
        <v>60000</v>
      </c>
      <c r="AG167" s="63"/>
      <c r="AH167" s="63"/>
      <c r="AI167" s="63"/>
      <c r="AJ167" s="63"/>
      <c r="AK167" s="63"/>
      <c r="AL167" s="63"/>
      <c r="AM167" s="63"/>
      <c r="AN167" s="63"/>
      <c r="AO167" s="63"/>
      <c r="AP167" s="63"/>
      <c r="AQ167" s="63"/>
      <c r="AR167" s="63"/>
      <c r="AS167" s="63"/>
      <c r="AT167" s="63" t="s">
        <v>116</v>
      </c>
      <c r="AU167" s="30" t="s">
        <v>688</v>
      </c>
      <c r="AV167" s="63"/>
      <c r="AW167" s="63"/>
      <c r="AX167" s="63"/>
      <c r="AY167" s="63"/>
      <c r="AZ167" s="63"/>
      <c r="BA167" s="63"/>
      <c r="BB167" s="63"/>
      <c r="BC167" s="63"/>
      <c r="BD167" s="63"/>
      <c r="BE167" s="63"/>
      <c r="BF167" s="63"/>
      <c r="BG167" s="63"/>
      <c r="BH167" s="63"/>
      <c r="BI167" s="63"/>
      <c r="BJ167" s="63"/>
      <c r="BK167" s="63"/>
      <c r="BL167" s="63">
        <f t="shared" si="33"/>
        <v>64400</v>
      </c>
      <c r="BM167" s="63">
        <f t="shared" si="37"/>
        <v>24150</v>
      </c>
      <c r="BN167" s="63">
        <f t="shared" si="38"/>
        <v>24150</v>
      </c>
      <c r="BO167" s="63">
        <f t="shared" si="39"/>
        <v>80500</v>
      </c>
      <c r="BP167" s="63">
        <f t="shared" si="40"/>
        <v>80500</v>
      </c>
      <c r="BQ167" s="63">
        <f t="shared" si="41"/>
        <v>96600</v>
      </c>
      <c r="BR167" s="63">
        <f t="shared" si="42"/>
        <v>96600</v>
      </c>
      <c r="BS167" s="63">
        <f t="shared" si="43"/>
        <v>96600</v>
      </c>
    </row>
    <row r="168" spans="1:71">
      <c r="A168" s="28">
        <f t="shared" si="34"/>
        <v>167</v>
      </c>
      <c r="B168" s="30" t="s">
        <v>868</v>
      </c>
      <c r="C168" s="30" t="s">
        <v>72</v>
      </c>
      <c r="D168" s="30" t="s">
        <v>721</v>
      </c>
      <c r="E168" s="30" t="s">
        <v>810</v>
      </c>
      <c r="F168" s="30" t="s">
        <v>722</v>
      </c>
      <c r="G168" s="30" t="s">
        <v>429</v>
      </c>
      <c r="H168" s="35" t="s">
        <v>430</v>
      </c>
      <c r="I168" s="30"/>
      <c r="J168" s="30"/>
      <c r="K168" s="30" t="s">
        <v>737</v>
      </c>
      <c r="L168" s="63"/>
      <c r="M168" s="63"/>
      <c r="N168" s="63"/>
      <c r="O168" s="63"/>
      <c r="P168" s="63"/>
      <c r="Q168" s="42">
        <v>1.61</v>
      </c>
      <c r="R168" s="47">
        <f t="shared" si="35"/>
        <v>297850</v>
      </c>
      <c r="S168" s="48">
        <v>330050</v>
      </c>
      <c r="T168" s="48">
        <f t="shared" si="36"/>
        <v>185000</v>
      </c>
      <c r="U168" s="63"/>
      <c r="V168" s="63"/>
      <c r="W168" s="63"/>
      <c r="X168" s="63"/>
      <c r="Y168" s="39">
        <v>20000</v>
      </c>
      <c r="Z168" s="39">
        <v>20000</v>
      </c>
      <c r="AA168" s="39">
        <v>25000</v>
      </c>
      <c r="AB168" s="39">
        <v>25000</v>
      </c>
      <c r="AC168" s="39">
        <v>25000</v>
      </c>
      <c r="AD168" s="39">
        <v>30000</v>
      </c>
      <c r="AE168" s="39">
        <v>30000</v>
      </c>
      <c r="AF168" s="39">
        <v>30000</v>
      </c>
      <c r="AG168" s="63"/>
      <c r="AH168" s="63"/>
      <c r="AI168" s="63"/>
      <c r="AJ168" s="63"/>
      <c r="AK168" s="63"/>
      <c r="AL168" s="63"/>
      <c r="AM168" s="63"/>
      <c r="AN168" s="63"/>
      <c r="AO168" s="63"/>
      <c r="AP168" s="63"/>
      <c r="AQ168" s="63"/>
      <c r="AR168" s="63"/>
      <c r="AS168" s="63"/>
      <c r="AT168" s="63" t="s">
        <v>116</v>
      </c>
      <c r="AU168" s="30" t="s">
        <v>688</v>
      </c>
      <c r="AV168" s="63"/>
      <c r="AW168" s="63"/>
      <c r="AX168" s="63"/>
      <c r="AY168" s="63"/>
      <c r="AZ168" s="63"/>
      <c r="BA168" s="63"/>
      <c r="BB168" s="63"/>
      <c r="BC168" s="63"/>
      <c r="BD168" s="63"/>
      <c r="BE168" s="63"/>
      <c r="BF168" s="63"/>
      <c r="BG168" s="63"/>
      <c r="BH168" s="63"/>
      <c r="BI168" s="63"/>
      <c r="BJ168" s="63"/>
      <c r="BK168" s="63"/>
      <c r="BL168" s="63">
        <f t="shared" si="33"/>
        <v>32200</v>
      </c>
      <c r="BM168" s="63">
        <f t="shared" si="37"/>
        <v>32200</v>
      </c>
      <c r="BN168" s="63">
        <f t="shared" si="38"/>
        <v>40250</v>
      </c>
      <c r="BO168" s="63">
        <f t="shared" si="39"/>
        <v>40250</v>
      </c>
      <c r="BP168" s="63">
        <f t="shared" si="40"/>
        <v>40250</v>
      </c>
      <c r="BQ168" s="63">
        <f t="shared" si="41"/>
        <v>48300</v>
      </c>
      <c r="BR168" s="63">
        <f t="shared" si="42"/>
        <v>48300</v>
      </c>
      <c r="BS168" s="63">
        <f t="shared" si="43"/>
        <v>48300</v>
      </c>
    </row>
    <row r="169" spans="1:71">
      <c r="A169" s="28">
        <f t="shared" si="34"/>
        <v>168</v>
      </c>
      <c r="B169" s="30" t="s">
        <v>865</v>
      </c>
      <c r="C169" s="30" t="s">
        <v>72</v>
      </c>
      <c r="D169" s="30" t="s">
        <v>721</v>
      </c>
      <c r="E169" s="30" t="s">
        <v>810</v>
      </c>
      <c r="F169" s="30" t="s">
        <v>722</v>
      </c>
      <c r="G169" s="30" t="s">
        <v>423</v>
      </c>
      <c r="H169" s="35" t="s">
        <v>426</v>
      </c>
      <c r="I169" s="30"/>
      <c r="J169" s="30"/>
      <c r="K169" s="30" t="s">
        <v>735</v>
      </c>
      <c r="L169" s="63"/>
      <c r="M169" s="63"/>
      <c r="N169" s="63"/>
      <c r="O169" s="63"/>
      <c r="P169" s="63"/>
      <c r="Q169" s="42">
        <v>0.98</v>
      </c>
      <c r="R169" s="47">
        <f t="shared" si="35"/>
        <v>205800</v>
      </c>
      <c r="S169" s="48">
        <v>245000</v>
      </c>
      <c r="T169" s="48">
        <f t="shared" si="36"/>
        <v>210000</v>
      </c>
      <c r="U169" s="63"/>
      <c r="V169" s="63"/>
      <c r="W169" s="63"/>
      <c r="X169" s="63"/>
      <c r="Y169" s="39">
        <v>20000</v>
      </c>
      <c r="Z169" s="39">
        <v>30000</v>
      </c>
      <c r="AA169" s="39">
        <v>30000</v>
      </c>
      <c r="AB169" s="39">
        <v>30000</v>
      </c>
      <c r="AC169" s="39">
        <v>30000</v>
      </c>
      <c r="AD169" s="39">
        <v>30000</v>
      </c>
      <c r="AE169" s="39">
        <v>30000</v>
      </c>
      <c r="AF169" s="39">
        <v>30000</v>
      </c>
      <c r="AG169" s="63"/>
      <c r="AH169" s="63"/>
      <c r="AI169" s="63"/>
      <c r="AJ169" s="63"/>
      <c r="AK169" s="63"/>
      <c r="AL169" s="63"/>
      <c r="AM169" s="63"/>
      <c r="AN169" s="63"/>
      <c r="AO169" s="63"/>
      <c r="AP169" s="63"/>
      <c r="AQ169" s="63"/>
      <c r="AR169" s="63"/>
      <c r="AS169" s="63"/>
      <c r="AT169" s="63" t="s">
        <v>116</v>
      </c>
      <c r="AU169" s="30" t="s">
        <v>688</v>
      </c>
      <c r="AV169" s="63"/>
      <c r="AW169" s="63"/>
      <c r="AX169" s="63"/>
      <c r="AY169" s="63"/>
      <c r="AZ169" s="63"/>
      <c r="BA169" s="63"/>
      <c r="BB169" s="63"/>
      <c r="BC169" s="63"/>
      <c r="BD169" s="63"/>
      <c r="BE169" s="63"/>
      <c r="BF169" s="63"/>
      <c r="BG169" s="63"/>
      <c r="BH169" s="63"/>
      <c r="BI169" s="63"/>
      <c r="BJ169" s="63"/>
      <c r="BK169" s="63"/>
      <c r="BL169" s="63">
        <f t="shared" si="33"/>
        <v>19600</v>
      </c>
      <c r="BM169" s="63">
        <f t="shared" si="37"/>
        <v>29400</v>
      </c>
      <c r="BN169" s="63">
        <f t="shared" si="38"/>
        <v>29400</v>
      </c>
      <c r="BO169" s="63">
        <f t="shared" si="39"/>
        <v>29400</v>
      </c>
      <c r="BP169" s="63">
        <f t="shared" si="40"/>
        <v>29400</v>
      </c>
      <c r="BQ169" s="63">
        <f t="shared" si="41"/>
        <v>29400</v>
      </c>
      <c r="BR169" s="63">
        <f t="shared" si="42"/>
        <v>29400</v>
      </c>
      <c r="BS169" s="63">
        <f t="shared" si="43"/>
        <v>29400</v>
      </c>
    </row>
    <row r="170" spans="1:71">
      <c r="A170" s="28">
        <f t="shared" si="34"/>
        <v>169</v>
      </c>
      <c r="B170" s="30" t="s">
        <v>869</v>
      </c>
      <c r="C170" s="30" t="s">
        <v>72</v>
      </c>
      <c r="D170" s="30" t="s">
        <v>721</v>
      </c>
      <c r="E170" s="30" t="s">
        <v>810</v>
      </c>
      <c r="F170" s="30" t="s">
        <v>722</v>
      </c>
      <c r="G170" s="30" t="s">
        <v>462</v>
      </c>
      <c r="H170" s="35" t="s">
        <v>463</v>
      </c>
      <c r="I170" s="30"/>
      <c r="J170" s="30"/>
      <c r="K170" s="30" t="s">
        <v>735</v>
      </c>
      <c r="L170" s="63"/>
      <c r="M170" s="63"/>
      <c r="N170" s="63"/>
      <c r="O170" s="63"/>
      <c r="P170" s="63"/>
      <c r="Q170" s="42">
        <v>6.02</v>
      </c>
      <c r="R170" s="47">
        <f t="shared" si="35"/>
        <v>138460</v>
      </c>
      <c r="S170" s="48">
        <v>150500</v>
      </c>
      <c r="T170" s="48">
        <f t="shared" si="36"/>
        <v>23000</v>
      </c>
      <c r="U170" s="63"/>
      <c r="V170" s="63"/>
      <c r="W170" s="63"/>
      <c r="X170" s="63"/>
      <c r="Y170" s="39">
        <v>2000</v>
      </c>
      <c r="Z170" s="39">
        <v>2000</v>
      </c>
      <c r="AA170" s="39">
        <v>3000</v>
      </c>
      <c r="AB170" s="39">
        <v>3000</v>
      </c>
      <c r="AC170" s="39">
        <v>3000</v>
      </c>
      <c r="AD170" s="39">
        <v>4000</v>
      </c>
      <c r="AE170" s="39">
        <v>4000</v>
      </c>
      <c r="AF170" s="39">
        <v>4000</v>
      </c>
      <c r="AG170" s="63"/>
      <c r="AH170" s="63"/>
      <c r="AI170" s="63"/>
      <c r="AJ170" s="63"/>
      <c r="AK170" s="63"/>
      <c r="AL170" s="63"/>
      <c r="AM170" s="63"/>
      <c r="AN170" s="63"/>
      <c r="AO170" s="63"/>
      <c r="AP170" s="63"/>
      <c r="AQ170" s="63"/>
      <c r="AR170" s="63"/>
      <c r="AS170" s="63"/>
      <c r="AT170" s="63" t="s">
        <v>116</v>
      </c>
      <c r="AU170" s="30" t="s">
        <v>688</v>
      </c>
      <c r="AV170" s="63"/>
      <c r="AW170" s="63"/>
      <c r="AX170" s="63"/>
      <c r="AY170" s="63"/>
      <c r="AZ170" s="63"/>
      <c r="BA170" s="63"/>
      <c r="BB170" s="63"/>
      <c r="BC170" s="63"/>
      <c r="BD170" s="63"/>
      <c r="BE170" s="63"/>
      <c r="BF170" s="63"/>
      <c r="BG170" s="63"/>
      <c r="BH170" s="63"/>
      <c r="BI170" s="63"/>
      <c r="BJ170" s="63"/>
      <c r="BK170" s="63"/>
      <c r="BL170" s="63">
        <f t="shared" si="33"/>
        <v>12040</v>
      </c>
      <c r="BM170" s="63">
        <f t="shared" si="37"/>
        <v>12040</v>
      </c>
      <c r="BN170" s="63">
        <f t="shared" si="38"/>
        <v>18060</v>
      </c>
      <c r="BO170" s="63">
        <f t="shared" si="39"/>
        <v>18060</v>
      </c>
      <c r="BP170" s="63">
        <f t="shared" si="40"/>
        <v>18060</v>
      </c>
      <c r="BQ170" s="63">
        <f t="shared" si="41"/>
        <v>24080</v>
      </c>
      <c r="BR170" s="63">
        <f t="shared" si="42"/>
        <v>24080</v>
      </c>
      <c r="BS170" s="63">
        <f t="shared" si="43"/>
        <v>24080</v>
      </c>
    </row>
    <row r="171" spans="1:71">
      <c r="A171" s="28">
        <f t="shared" si="34"/>
        <v>170</v>
      </c>
      <c r="B171" s="30" t="s">
        <v>870</v>
      </c>
      <c r="C171" s="30" t="s">
        <v>72</v>
      </c>
      <c r="D171" s="30" t="s">
        <v>721</v>
      </c>
      <c r="E171" s="30" t="s">
        <v>810</v>
      </c>
      <c r="F171" s="30" t="s">
        <v>722</v>
      </c>
      <c r="G171" s="30" t="s">
        <v>263</v>
      </c>
      <c r="H171" s="35" t="s">
        <v>264</v>
      </c>
      <c r="I171" s="69">
        <v>2442</v>
      </c>
      <c r="J171" s="30"/>
      <c r="K171" s="30" t="s">
        <v>871</v>
      </c>
      <c r="L171" s="63"/>
      <c r="M171" s="63"/>
      <c r="N171" s="63"/>
      <c r="O171" s="63"/>
      <c r="P171" s="63"/>
      <c r="Q171" s="42">
        <v>0.272</v>
      </c>
      <c r="R171" s="47">
        <f t="shared" si="35"/>
        <v>100640</v>
      </c>
      <c r="S171" s="48">
        <v>111520</v>
      </c>
      <c r="T171" s="48">
        <f t="shared" si="36"/>
        <v>370000</v>
      </c>
      <c r="U171" s="63"/>
      <c r="V171" s="63"/>
      <c r="W171" s="63"/>
      <c r="X171" s="63"/>
      <c r="Y171" s="39">
        <v>40000</v>
      </c>
      <c r="Z171" s="39">
        <v>40000</v>
      </c>
      <c r="AA171" s="39">
        <v>50000</v>
      </c>
      <c r="AB171" s="39">
        <v>50000</v>
      </c>
      <c r="AC171" s="39">
        <v>50000</v>
      </c>
      <c r="AD171" s="39">
        <v>60000</v>
      </c>
      <c r="AE171" s="39">
        <v>60000</v>
      </c>
      <c r="AF171" s="39">
        <v>60000</v>
      </c>
      <c r="AG171" s="63"/>
      <c r="AH171" s="63"/>
      <c r="AI171" s="63"/>
      <c r="AJ171" s="63"/>
      <c r="AK171" s="63"/>
      <c r="AL171" s="63"/>
      <c r="AM171" s="63"/>
      <c r="AN171" s="63"/>
      <c r="AO171" s="63"/>
      <c r="AP171" s="63"/>
      <c r="AQ171" s="63"/>
      <c r="AR171" s="63"/>
      <c r="AS171" s="63"/>
      <c r="AT171" s="63" t="s">
        <v>116</v>
      </c>
      <c r="AU171" s="30" t="s">
        <v>81</v>
      </c>
      <c r="AV171" s="63"/>
      <c r="AW171" s="63"/>
      <c r="AX171" s="63"/>
      <c r="AY171" s="63"/>
      <c r="AZ171" s="63"/>
      <c r="BA171" s="63"/>
      <c r="BB171" s="63"/>
      <c r="BC171" s="63"/>
      <c r="BD171" s="63"/>
      <c r="BE171" s="63"/>
      <c r="BF171" s="63"/>
      <c r="BG171" s="63"/>
      <c r="BH171" s="63"/>
      <c r="BI171" s="63"/>
      <c r="BJ171" s="63"/>
      <c r="BK171" s="63"/>
      <c r="BL171" s="63">
        <f t="shared" si="33"/>
        <v>10880</v>
      </c>
      <c r="BM171" s="63">
        <f t="shared" si="37"/>
        <v>10880</v>
      </c>
      <c r="BN171" s="63">
        <f t="shared" si="38"/>
        <v>13600</v>
      </c>
      <c r="BO171" s="63">
        <f t="shared" si="39"/>
        <v>13600</v>
      </c>
      <c r="BP171" s="63">
        <f t="shared" si="40"/>
        <v>13600</v>
      </c>
      <c r="BQ171" s="63">
        <f t="shared" si="41"/>
        <v>16320</v>
      </c>
      <c r="BR171" s="63">
        <f t="shared" si="42"/>
        <v>16320</v>
      </c>
      <c r="BS171" s="63">
        <f t="shared" si="43"/>
        <v>16320</v>
      </c>
    </row>
    <row r="172" spans="1:71">
      <c r="A172" s="28">
        <f t="shared" si="34"/>
        <v>171</v>
      </c>
      <c r="B172" s="30" t="s">
        <v>872</v>
      </c>
      <c r="C172" s="30" t="s">
        <v>72</v>
      </c>
      <c r="D172" s="30" t="s">
        <v>721</v>
      </c>
      <c r="E172" s="30" t="s">
        <v>810</v>
      </c>
      <c r="F172" s="30" t="s">
        <v>722</v>
      </c>
      <c r="G172" s="30" t="s">
        <v>259</v>
      </c>
      <c r="H172" s="35" t="s">
        <v>260</v>
      </c>
      <c r="I172" s="30"/>
      <c r="J172" s="30"/>
      <c r="K172" s="30" t="s">
        <v>871</v>
      </c>
      <c r="L172" s="63"/>
      <c r="M172" s="63"/>
      <c r="N172" s="63"/>
      <c r="O172" s="63"/>
      <c r="P172" s="63"/>
      <c r="Q172" s="42">
        <v>0.272</v>
      </c>
      <c r="R172" s="47">
        <f t="shared" si="35"/>
        <v>25840</v>
      </c>
      <c r="S172" s="48">
        <v>27200</v>
      </c>
      <c r="T172" s="48">
        <f t="shared" si="36"/>
        <v>95000</v>
      </c>
      <c r="U172" s="63"/>
      <c r="V172" s="63"/>
      <c r="W172" s="63"/>
      <c r="X172" s="63"/>
      <c r="Y172" s="39">
        <v>5000</v>
      </c>
      <c r="Z172" s="39">
        <v>5000</v>
      </c>
      <c r="AA172" s="39">
        <v>10000</v>
      </c>
      <c r="AB172" s="39">
        <v>10000</v>
      </c>
      <c r="AC172" s="39">
        <v>10000</v>
      </c>
      <c r="AD172" s="39">
        <v>20000</v>
      </c>
      <c r="AE172" s="39">
        <v>20000</v>
      </c>
      <c r="AF172" s="39">
        <v>20000</v>
      </c>
      <c r="AG172" s="63"/>
      <c r="AH172" s="63"/>
      <c r="AI172" s="63"/>
      <c r="AJ172" s="63"/>
      <c r="AK172" s="63"/>
      <c r="AL172" s="63"/>
      <c r="AM172" s="63"/>
      <c r="AN172" s="63"/>
      <c r="AO172" s="63"/>
      <c r="AP172" s="63"/>
      <c r="AQ172" s="63"/>
      <c r="AR172" s="63"/>
      <c r="AS172" s="63"/>
      <c r="AT172" s="63" t="s">
        <v>116</v>
      </c>
      <c r="AU172" s="30" t="s">
        <v>81</v>
      </c>
      <c r="AV172" s="63"/>
      <c r="AW172" s="63"/>
      <c r="AX172" s="63"/>
      <c r="AY172" s="63"/>
      <c r="AZ172" s="63"/>
      <c r="BA172" s="63"/>
      <c r="BB172" s="63"/>
      <c r="BC172" s="63"/>
      <c r="BD172" s="63"/>
      <c r="BE172" s="63"/>
      <c r="BF172" s="63"/>
      <c r="BG172" s="63"/>
      <c r="BH172" s="63"/>
      <c r="BI172" s="63"/>
      <c r="BJ172" s="63"/>
      <c r="BK172" s="63"/>
      <c r="BL172" s="63">
        <f t="shared" si="33"/>
        <v>1360</v>
      </c>
      <c r="BM172" s="63">
        <f t="shared" si="37"/>
        <v>1360</v>
      </c>
      <c r="BN172" s="63">
        <f t="shared" si="38"/>
        <v>2720</v>
      </c>
      <c r="BO172" s="63">
        <f t="shared" si="39"/>
        <v>2720</v>
      </c>
      <c r="BP172" s="63">
        <f t="shared" si="40"/>
        <v>2720</v>
      </c>
      <c r="BQ172" s="63">
        <f t="shared" si="41"/>
        <v>5440</v>
      </c>
      <c r="BR172" s="63">
        <f t="shared" si="42"/>
        <v>5440</v>
      </c>
      <c r="BS172" s="63">
        <f t="shared" si="43"/>
        <v>5440</v>
      </c>
    </row>
    <row r="173" spans="1:71">
      <c r="A173" s="28">
        <f t="shared" si="34"/>
        <v>172</v>
      </c>
      <c r="B173" s="30"/>
      <c r="C173" s="30" t="s">
        <v>72</v>
      </c>
      <c r="D173" s="30" t="s">
        <v>721</v>
      </c>
      <c r="E173" s="30" t="s">
        <v>810</v>
      </c>
      <c r="F173" s="30" t="s">
        <v>722</v>
      </c>
      <c r="G173" s="30" t="s">
        <v>393</v>
      </c>
      <c r="H173" s="35" t="s">
        <v>394</v>
      </c>
      <c r="I173" s="30"/>
      <c r="J173" s="30"/>
      <c r="K173" s="30" t="s">
        <v>761</v>
      </c>
      <c r="L173" s="63"/>
      <c r="M173" s="63"/>
      <c r="N173" s="63"/>
      <c r="O173" s="63"/>
      <c r="P173" s="63"/>
      <c r="Q173" s="42">
        <v>2.47</v>
      </c>
      <c r="R173" s="47">
        <f t="shared" si="35"/>
        <v>150670</v>
      </c>
      <c r="S173" s="48">
        <v>69160</v>
      </c>
      <c r="T173" s="48">
        <f t="shared" si="36"/>
        <v>61000</v>
      </c>
      <c r="U173" s="63"/>
      <c r="V173" s="63"/>
      <c r="W173" s="63"/>
      <c r="X173" s="63"/>
      <c r="Y173" s="39">
        <v>2000</v>
      </c>
      <c r="Z173" s="39">
        <v>20000</v>
      </c>
      <c r="AA173" s="39">
        <v>20000</v>
      </c>
      <c r="AB173" s="39">
        <v>3000</v>
      </c>
      <c r="AC173" s="39">
        <v>3000</v>
      </c>
      <c r="AD173" s="39">
        <v>5000</v>
      </c>
      <c r="AE173" s="39">
        <v>5000</v>
      </c>
      <c r="AF173" s="39">
        <v>5000</v>
      </c>
      <c r="AG173" s="63"/>
      <c r="AH173" s="63"/>
      <c r="AI173" s="63"/>
      <c r="AJ173" s="63"/>
      <c r="AK173" s="63"/>
      <c r="AL173" s="63"/>
      <c r="AM173" s="63"/>
      <c r="AN173" s="63"/>
      <c r="AO173" s="63"/>
      <c r="AP173" s="63"/>
      <c r="AQ173" s="63"/>
      <c r="AR173" s="63"/>
      <c r="AS173" s="63"/>
      <c r="AT173" s="63" t="s">
        <v>116</v>
      </c>
      <c r="AU173" s="30" t="s">
        <v>545</v>
      </c>
      <c r="AV173" s="63"/>
      <c r="AW173" s="63"/>
      <c r="AX173" s="63"/>
      <c r="AY173" s="63"/>
      <c r="AZ173" s="63"/>
      <c r="BA173" s="63"/>
      <c r="BB173" s="63"/>
      <c r="BC173" s="63"/>
      <c r="BD173" s="63"/>
      <c r="BE173" s="63"/>
      <c r="BF173" s="63"/>
      <c r="BG173" s="63"/>
      <c r="BH173" s="63"/>
      <c r="BI173" s="63"/>
      <c r="BJ173" s="63"/>
      <c r="BK173" s="63"/>
      <c r="BL173" s="63">
        <f t="shared" si="33"/>
        <v>4940</v>
      </c>
      <c r="BM173" s="63">
        <f t="shared" si="37"/>
        <v>49400</v>
      </c>
      <c r="BN173" s="63">
        <f t="shared" si="38"/>
        <v>49400</v>
      </c>
      <c r="BO173" s="63">
        <f t="shared" si="39"/>
        <v>7410</v>
      </c>
      <c r="BP173" s="63">
        <f t="shared" si="40"/>
        <v>7410</v>
      </c>
      <c r="BQ173" s="63">
        <f t="shared" si="41"/>
        <v>12350</v>
      </c>
      <c r="BR173" s="63">
        <f t="shared" si="42"/>
        <v>12350</v>
      </c>
      <c r="BS173" s="63">
        <f t="shared" si="43"/>
        <v>12350</v>
      </c>
    </row>
    <row r="174" spans="1:71">
      <c r="A174" s="28">
        <f t="shared" si="34"/>
        <v>173</v>
      </c>
      <c r="B174" s="30" t="s">
        <v>873</v>
      </c>
      <c r="C174" s="30" t="s">
        <v>72</v>
      </c>
      <c r="D174" s="30" t="s">
        <v>721</v>
      </c>
      <c r="E174" s="30" t="s">
        <v>810</v>
      </c>
      <c r="F174" s="30" t="s">
        <v>722</v>
      </c>
      <c r="G174" s="30" t="s">
        <v>413</v>
      </c>
      <c r="H174" s="35" t="s">
        <v>414</v>
      </c>
      <c r="I174" s="30"/>
      <c r="J174" s="30"/>
      <c r="K174" s="30" t="s">
        <v>761</v>
      </c>
      <c r="L174" s="63"/>
      <c r="M174" s="63"/>
      <c r="N174" s="63"/>
      <c r="O174" s="63"/>
      <c r="P174" s="63"/>
      <c r="Q174" s="42">
        <v>3.32</v>
      </c>
      <c r="R174" s="47">
        <f t="shared" si="35"/>
        <v>677280</v>
      </c>
      <c r="S174" s="48">
        <v>803440</v>
      </c>
      <c r="T174" s="48">
        <f t="shared" si="36"/>
        <v>204000</v>
      </c>
      <c r="U174" s="63"/>
      <c r="V174" s="63"/>
      <c r="W174" s="63"/>
      <c r="X174" s="63"/>
      <c r="Y174" s="39">
        <v>12000</v>
      </c>
      <c r="Z174" s="39">
        <v>12000</v>
      </c>
      <c r="AA174" s="39">
        <v>12000</v>
      </c>
      <c r="AB174" s="39">
        <v>30000</v>
      </c>
      <c r="AC174" s="39">
        <v>30000</v>
      </c>
      <c r="AD174" s="39">
        <v>40000</v>
      </c>
      <c r="AE174" s="39">
        <v>40000</v>
      </c>
      <c r="AF174" s="39">
        <v>40000</v>
      </c>
      <c r="AG174" s="63"/>
      <c r="AH174" s="63"/>
      <c r="AI174" s="63"/>
      <c r="AJ174" s="63"/>
      <c r="AK174" s="63"/>
      <c r="AL174" s="63"/>
      <c r="AM174" s="63"/>
      <c r="AN174" s="63"/>
      <c r="AO174" s="63"/>
      <c r="AP174" s="63"/>
      <c r="AQ174" s="63"/>
      <c r="AR174" s="63"/>
      <c r="AS174" s="63"/>
      <c r="AT174" s="63" t="s">
        <v>116</v>
      </c>
      <c r="AU174" s="30" t="s">
        <v>545</v>
      </c>
      <c r="AV174" s="63"/>
      <c r="AW174" s="63"/>
      <c r="AX174" s="63"/>
      <c r="AY174" s="63"/>
      <c r="AZ174" s="63"/>
      <c r="BA174" s="63"/>
      <c r="BB174" s="63"/>
      <c r="BC174" s="63"/>
      <c r="BD174" s="63"/>
      <c r="BE174" s="63"/>
      <c r="BF174" s="63"/>
      <c r="BG174" s="63"/>
      <c r="BH174" s="63"/>
      <c r="BI174" s="63"/>
      <c r="BJ174" s="63"/>
      <c r="BK174" s="63"/>
      <c r="BL174" s="63">
        <f t="shared" si="33"/>
        <v>39840</v>
      </c>
      <c r="BM174" s="63">
        <f t="shared" si="37"/>
        <v>39840</v>
      </c>
      <c r="BN174" s="63">
        <f t="shared" si="38"/>
        <v>39840</v>
      </c>
      <c r="BO174" s="63">
        <f t="shared" si="39"/>
        <v>99600</v>
      </c>
      <c r="BP174" s="63">
        <f t="shared" si="40"/>
        <v>99600</v>
      </c>
      <c r="BQ174" s="63">
        <f t="shared" si="41"/>
        <v>132800</v>
      </c>
      <c r="BR174" s="63">
        <f t="shared" si="42"/>
        <v>132800</v>
      </c>
      <c r="BS174" s="63">
        <f t="shared" si="43"/>
        <v>132800</v>
      </c>
    </row>
    <row r="175" spans="1:71">
      <c r="A175" s="28">
        <f t="shared" si="34"/>
        <v>174</v>
      </c>
      <c r="B175" s="30" t="s">
        <v>873</v>
      </c>
      <c r="C175" s="30" t="s">
        <v>72</v>
      </c>
      <c r="D175" s="30" t="s">
        <v>721</v>
      </c>
      <c r="E175" s="30" t="s">
        <v>810</v>
      </c>
      <c r="F175" s="30" t="s">
        <v>722</v>
      </c>
      <c r="G175" s="30" t="s">
        <v>419</v>
      </c>
      <c r="H175" s="35" t="s">
        <v>420</v>
      </c>
      <c r="I175" s="30"/>
      <c r="J175" s="30"/>
      <c r="K175" s="30" t="s">
        <v>761</v>
      </c>
      <c r="L175" s="63"/>
      <c r="M175" s="63"/>
      <c r="N175" s="63"/>
      <c r="O175" s="63"/>
      <c r="P175" s="63"/>
      <c r="Q175" s="42">
        <v>7</v>
      </c>
      <c r="R175" s="47">
        <f t="shared" si="35"/>
        <v>630000</v>
      </c>
      <c r="S175" s="48">
        <v>735000</v>
      </c>
      <c r="T175" s="48">
        <f t="shared" si="36"/>
        <v>90000</v>
      </c>
      <c r="U175" s="63"/>
      <c r="V175" s="63"/>
      <c r="W175" s="63"/>
      <c r="X175" s="63"/>
      <c r="Y175" s="39">
        <v>6000</v>
      </c>
      <c r="Z175" s="39">
        <v>6000</v>
      </c>
      <c r="AA175" s="39">
        <v>6000</v>
      </c>
      <c r="AB175" s="39">
        <v>12000</v>
      </c>
      <c r="AC175" s="39">
        <v>12000</v>
      </c>
      <c r="AD175" s="39">
        <v>18000</v>
      </c>
      <c r="AE175" s="39">
        <v>18000</v>
      </c>
      <c r="AF175" s="39">
        <v>18000</v>
      </c>
      <c r="AG175" s="63"/>
      <c r="AH175" s="63"/>
      <c r="AI175" s="63"/>
      <c r="AJ175" s="63"/>
      <c r="AK175" s="63"/>
      <c r="AL175" s="63"/>
      <c r="AM175" s="63"/>
      <c r="AN175" s="63"/>
      <c r="AO175" s="63"/>
      <c r="AP175" s="63"/>
      <c r="AQ175" s="63"/>
      <c r="AR175" s="63"/>
      <c r="AS175" s="63"/>
      <c r="AT175" s="63" t="s">
        <v>116</v>
      </c>
      <c r="AU175" s="30" t="s">
        <v>545</v>
      </c>
      <c r="AV175" s="63"/>
      <c r="AW175" s="63"/>
      <c r="AX175" s="63"/>
      <c r="AY175" s="63"/>
      <c r="AZ175" s="63"/>
      <c r="BA175" s="63"/>
      <c r="BB175" s="63"/>
      <c r="BC175" s="63"/>
      <c r="BD175" s="63"/>
      <c r="BE175" s="63"/>
      <c r="BF175" s="63"/>
      <c r="BG175" s="63"/>
      <c r="BH175" s="63"/>
      <c r="BI175" s="63"/>
      <c r="BJ175" s="63"/>
      <c r="BK175" s="63"/>
      <c r="BL175" s="63">
        <f t="shared" si="33"/>
        <v>42000</v>
      </c>
      <c r="BM175" s="63">
        <f t="shared" si="37"/>
        <v>42000</v>
      </c>
      <c r="BN175" s="63">
        <f t="shared" si="38"/>
        <v>42000</v>
      </c>
      <c r="BO175" s="63">
        <f t="shared" si="39"/>
        <v>84000</v>
      </c>
      <c r="BP175" s="63">
        <f t="shared" si="40"/>
        <v>84000</v>
      </c>
      <c r="BQ175" s="63">
        <f t="shared" si="41"/>
        <v>126000</v>
      </c>
      <c r="BR175" s="63">
        <f t="shared" si="42"/>
        <v>126000</v>
      </c>
      <c r="BS175" s="63">
        <f t="shared" si="43"/>
        <v>126000</v>
      </c>
    </row>
    <row r="176" spans="1:71">
      <c r="A176" s="28">
        <f t="shared" si="34"/>
        <v>175</v>
      </c>
      <c r="B176" s="30"/>
      <c r="C176" s="30" t="s">
        <v>72</v>
      </c>
      <c r="D176" s="30" t="s">
        <v>721</v>
      </c>
      <c r="E176" s="30" t="s">
        <v>810</v>
      </c>
      <c r="F176" s="30" t="s">
        <v>722</v>
      </c>
      <c r="G176" s="30" t="s">
        <v>469</v>
      </c>
      <c r="H176" s="35" t="s">
        <v>470</v>
      </c>
      <c r="I176" s="30"/>
      <c r="J176" s="30"/>
      <c r="K176" s="30" t="s">
        <v>735</v>
      </c>
      <c r="L176" s="63"/>
      <c r="M176" s="63"/>
      <c r="N176" s="63"/>
      <c r="O176" s="63"/>
      <c r="P176" s="63"/>
      <c r="Q176" s="71"/>
      <c r="R176" s="47">
        <f t="shared" si="35"/>
        <v>0</v>
      </c>
      <c r="S176" s="48">
        <v>0</v>
      </c>
      <c r="T176" s="48">
        <f t="shared" si="36"/>
        <v>0</v>
      </c>
      <c r="U176" s="63"/>
      <c r="V176" s="63"/>
      <c r="W176" s="63"/>
      <c r="X176" s="63"/>
      <c r="Y176" s="39"/>
      <c r="Z176" s="39"/>
      <c r="AA176" s="39"/>
      <c r="AB176" s="39"/>
      <c r="AC176" s="39"/>
      <c r="AD176" s="39"/>
      <c r="AE176" s="39"/>
      <c r="AF176" s="39"/>
      <c r="AG176" s="63"/>
      <c r="AH176" s="63"/>
      <c r="AI176" s="63"/>
      <c r="AJ176" s="63"/>
      <c r="AK176" s="63"/>
      <c r="AL176" s="63"/>
      <c r="AM176" s="63"/>
      <c r="AN176" s="63"/>
      <c r="AO176" s="63"/>
      <c r="AP176" s="63"/>
      <c r="AQ176" s="63"/>
      <c r="AR176" s="63"/>
      <c r="AS176" s="63"/>
      <c r="AT176" s="63" t="s">
        <v>116</v>
      </c>
      <c r="AU176" s="30" t="s">
        <v>688</v>
      </c>
      <c r="AV176" s="63"/>
      <c r="AW176" s="63"/>
      <c r="AX176" s="63"/>
      <c r="AY176" s="63"/>
      <c r="AZ176" s="63"/>
      <c r="BA176" s="63"/>
      <c r="BB176" s="63"/>
      <c r="BC176" s="63"/>
      <c r="BD176" s="63"/>
      <c r="BE176" s="63"/>
      <c r="BF176" s="63"/>
      <c r="BG176" s="63"/>
      <c r="BH176" s="63"/>
      <c r="BI176" s="63"/>
      <c r="BJ176" s="63"/>
      <c r="BK176" s="63"/>
      <c r="BL176" s="63">
        <f t="shared" si="33"/>
        <v>0</v>
      </c>
      <c r="BM176" s="63">
        <f t="shared" si="37"/>
        <v>0</v>
      </c>
      <c r="BN176" s="63">
        <f t="shared" si="38"/>
        <v>0</v>
      </c>
      <c r="BO176" s="63">
        <f t="shared" si="39"/>
        <v>0</v>
      </c>
      <c r="BP176" s="63">
        <f t="shared" si="40"/>
        <v>0</v>
      </c>
      <c r="BQ176" s="63">
        <f t="shared" si="41"/>
        <v>0</v>
      </c>
      <c r="BR176" s="63">
        <f t="shared" si="42"/>
        <v>0</v>
      </c>
      <c r="BS176" s="63">
        <f t="shared" si="43"/>
        <v>0</v>
      </c>
    </row>
    <row r="177" spans="1:71">
      <c r="A177" s="28">
        <f t="shared" si="34"/>
        <v>176</v>
      </c>
      <c r="B177" s="30" t="s">
        <v>874</v>
      </c>
      <c r="C177" s="30" t="s">
        <v>72</v>
      </c>
      <c r="D177" s="30" t="s">
        <v>875</v>
      </c>
      <c r="E177" s="30" t="s">
        <v>810</v>
      </c>
      <c r="F177" s="30" t="s">
        <v>876</v>
      </c>
      <c r="G177" s="30" t="s">
        <v>423</v>
      </c>
      <c r="H177" s="35" t="s">
        <v>426</v>
      </c>
      <c r="I177" s="30"/>
      <c r="J177" s="30"/>
      <c r="K177" s="30" t="s">
        <v>735</v>
      </c>
      <c r="L177" s="63"/>
      <c r="M177" s="63"/>
      <c r="N177" s="63"/>
      <c r="O177" s="63"/>
      <c r="P177" s="63"/>
      <c r="Q177" s="42">
        <v>1.8</v>
      </c>
      <c r="R177" s="47">
        <f t="shared" si="35"/>
        <v>126000</v>
      </c>
      <c r="S177" s="48">
        <v>144000</v>
      </c>
      <c r="T177" s="48">
        <f t="shared" si="36"/>
        <v>70000</v>
      </c>
      <c r="U177" s="63"/>
      <c r="V177" s="63"/>
      <c r="W177" s="63"/>
      <c r="X177" s="63"/>
      <c r="Y177" s="39">
        <v>10000</v>
      </c>
      <c r="Z177" s="39">
        <v>10000</v>
      </c>
      <c r="AA177" s="39">
        <v>10000</v>
      </c>
      <c r="AB177" s="39">
        <v>10000</v>
      </c>
      <c r="AC177" s="39">
        <v>10000</v>
      </c>
      <c r="AD177" s="39">
        <v>10000</v>
      </c>
      <c r="AE177" s="39">
        <v>10000</v>
      </c>
      <c r="AF177" s="39">
        <v>10000</v>
      </c>
      <c r="AG177" s="63"/>
      <c r="AH177" s="63"/>
      <c r="AI177" s="63"/>
      <c r="AJ177" s="63"/>
      <c r="AK177" s="63"/>
      <c r="AL177" s="63"/>
      <c r="AM177" s="63"/>
      <c r="AN177" s="63"/>
      <c r="AO177" s="63"/>
      <c r="AP177" s="63"/>
      <c r="AQ177" s="63"/>
      <c r="AR177" s="63"/>
      <c r="AS177" s="63"/>
      <c r="AT177" s="63" t="s">
        <v>116</v>
      </c>
      <c r="AU177" s="30" t="s">
        <v>688</v>
      </c>
      <c r="AV177" s="63"/>
      <c r="AW177" s="63"/>
      <c r="AX177" s="63"/>
      <c r="AY177" s="63"/>
      <c r="AZ177" s="63"/>
      <c r="BA177" s="63"/>
      <c r="BB177" s="63"/>
      <c r="BC177" s="63"/>
      <c r="BD177" s="63"/>
      <c r="BE177" s="63"/>
      <c r="BF177" s="63"/>
      <c r="BG177" s="63"/>
      <c r="BH177" s="63"/>
      <c r="BI177" s="63"/>
      <c r="BJ177" s="63"/>
      <c r="BK177" s="63"/>
      <c r="BL177" s="63">
        <f t="shared" si="33"/>
        <v>18000</v>
      </c>
      <c r="BM177" s="63">
        <f t="shared" si="37"/>
        <v>18000</v>
      </c>
      <c r="BN177" s="63">
        <f t="shared" si="38"/>
        <v>18000</v>
      </c>
      <c r="BO177" s="63">
        <f t="shared" si="39"/>
        <v>18000</v>
      </c>
      <c r="BP177" s="63">
        <f t="shared" si="40"/>
        <v>18000</v>
      </c>
      <c r="BQ177" s="63">
        <f t="shared" si="41"/>
        <v>18000</v>
      </c>
      <c r="BR177" s="63">
        <f t="shared" si="42"/>
        <v>18000</v>
      </c>
      <c r="BS177" s="63">
        <f t="shared" si="43"/>
        <v>18000</v>
      </c>
    </row>
    <row r="178" spans="1:71">
      <c r="A178" s="28">
        <f t="shared" si="34"/>
        <v>177</v>
      </c>
      <c r="B178" s="30" t="s">
        <v>874</v>
      </c>
      <c r="C178" s="30" t="s">
        <v>72</v>
      </c>
      <c r="D178" s="30" t="s">
        <v>875</v>
      </c>
      <c r="E178" s="30" t="s">
        <v>810</v>
      </c>
      <c r="F178" s="30" t="s">
        <v>876</v>
      </c>
      <c r="G178" s="30" t="s">
        <v>433</v>
      </c>
      <c r="H178" s="35" t="s">
        <v>434</v>
      </c>
      <c r="I178" s="30"/>
      <c r="J178" s="30"/>
      <c r="K178" s="30" t="s">
        <v>737</v>
      </c>
      <c r="L178" s="63"/>
      <c r="M178" s="63"/>
      <c r="N178" s="63"/>
      <c r="O178" s="63"/>
      <c r="P178" s="63"/>
      <c r="Q178" s="42">
        <v>2.2</v>
      </c>
      <c r="R178" s="47">
        <f t="shared" si="35"/>
        <v>506000</v>
      </c>
      <c r="S178" s="48">
        <v>198000</v>
      </c>
      <c r="T178" s="48">
        <f t="shared" si="36"/>
        <v>230000</v>
      </c>
      <c r="U178" s="63"/>
      <c r="V178" s="63"/>
      <c r="W178" s="63"/>
      <c r="X178" s="63"/>
      <c r="Y178" s="39">
        <v>20000</v>
      </c>
      <c r="Z178" s="39">
        <v>50000</v>
      </c>
      <c r="AA178" s="39">
        <v>50000</v>
      </c>
      <c r="AB178" s="39">
        <v>50000</v>
      </c>
      <c r="AC178" s="39">
        <v>50000</v>
      </c>
      <c r="AD178" s="39">
        <v>10000</v>
      </c>
      <c r="AE178" s="39">
        <v>10000</v>
      </c>
      <c r="AF178" s="39">
        <v>10000</v>
      </c>
      <c r="AG178" s="63"/>
      <c r="AH178" s="63"/>
      <c r="AI178" s="63"/>
      <c r="AJ178" s="63"/>
      <c r="AK178" s="63"/>
      <c r="AL178" s="63"/>
      <c r="AM178" s="63"/>
      <c r="AN178" s="63"/>
      <c r="AO178" s="63"/>
      <c r="AP178" s="63"/>
      <c r="AQ178" s="63"/>
      <c r="AR178" s="63"/>
      <c r="AS178" s="63"/>
      <c r="AT178" s="63" t="s">
        <v>116</v>
      </c>
      <c r="AU178" s="30" t="s">
        <v>688</v>
      </c>
      <c r="AV178" s="63"/>
      <c r="AW178" s="63"/>
      <c r="AX178" s="63"/>
      <c r="AY178" s="63"/>
      <c r="AZ178" s="63"/>
      <c r="BA178" s="63"/>
      <c r="BB178" s="63"/>
      <c r="BC178" s="63"/>
      <c r="BD178" s="63"/>
      <c r="BE178" s="63"/>
      <c r="BF178" s="63"/>
      <c r="BG178" s="63"/>
      <c r="BH178" s="63"/>
      <c r="BI178" s="63"/>
      <c r="BJ178" s="63"/>
      <c r="BK178" s="63"/>
      <c r="BL178" s="63">
        <f t="shared" si="33"/>
        <v>44000</v>
      </c>
      <c r="BM178" s="63">
        <f t="shared" si="37"/>
        <v>110000</v>
      </c>
      <c r="BN178" s="63">
        <f t="shared" si="38"/>
        <v>110000</v>
      </c>
      <c r="BO178" s="63">
        <f t="shared" si="39"/>
        <v>110000</v>
      </c>
      <c r="BP178" s="63">
        <f t="shared" si="40"/>
        <v>110000</v>
      </c>
      <c r="BQ178" s="63">
        <f t="shared" si="41"/>
        <v>22000</v>
      </c>
      <c r="BR178" s="63">
        <f t="shared" si="42"/>
        <v>22000</v>
      </c>
      <c r="BS178" s="63">
        <f t="shared" si="43"/>
        <v>22000</v>
      </c>
    </row>
    <row r="179" spans="1:71">
      <c r="A179" s="28">
        <f t="shared" si="34"/>
        <v>178</v>
      </c>
      <c r="B179" s="30" t="s">
        <v>874</v>
      </c>
      <c r="C179" s="30" t="s">
        <v>72</v>
      </c>
      <c r="D179" s="30" t="s">
        <v>875</v>
      </c>
      <c r="E179" s="30" t="s">
        <v>810</v>
      </c>
      <c r="F179" s="30" t="s">
        <v>876</v>
      </c>
      <c r="G179" s="30" t="s">
        <v>441</v>
      </c>
      <c r="H179" s="35" t="s">
        <v>442</v>
      </c>
      <c r="I179" s="30"/>
      <c r="J179" s="30"/>
      <c r="K179" s="30" t="s">
        <v>745</v>
      </c>
      <c r="L179" s="63"/>
      <c r="M179" s="63"/>
      <c r="N179" s="63"/>
      <c r="O179" s="63"/>
      <c r="P179" s="63"/>
      <c r="Q179" s="42">
        <v>2.3</v>
      </c>
      <c r="R179" s="47">
        <f t="shared" si="35"/>
        <v>96600</v>
      </c>
      <c r="S179" s="48">
        <v>110400</v>
      </c>
      <c r="T179" s="48">
        <f t="shared" si="36"/>
        <v>42000</v>
      </c>
      <c r="U179" s="63"/>
      <c r="V179" s="63"/>
      <c r="W179" s="63"/>
      <c r="X179" s="63"/>
      <c r="Y179" s="40">
        <v>6000</v>
      </c>
      <c r="Z179" s="40">
        <v>6000</v>
      </c>
      <c r="AA179" s="40">
        <v>6000</v>
      </c>
      <c r="AB179" s="40">
        <v>6000</v>
      </c>
      <c r="AC179" s="40">
        <v>6000</v>
      </c>
      <c r="AD179" s="40">
        <v>6000</v>
      </c>
      <c r="AE179" s="40">
        <v>6000</v>
      </c>
      <c r="AF179" s="40">
        <v>6000</v>
      </c>
      <c r="AG179" s="63"/>
      <c r="AH179" s="63"/>
      <c r="AI179" s="63"/>
      <c r="AJ179" s="63"/>
      <c r="AK179" s="63"/>
      <c r="AL179" s="63"/>
      <c r="AM179" s="63"/>
      <c r="AN179" s="63"/>
      <c r="AO179" s="63"/>
      <c r="AP179" s="63"/>
      <c r="AQ179" s="63"/>
      <c r="AR179" s="63"/>
      <c r="AS179" s="63"/>
      <c r="AT179" s="63" t="s">
        <v>116</v>
      </c>
      <c r="AU179" s="30" t="s">
        <v>688</v>
      </c>
      <c r="AV179" s="63"/>
      <c r="AW179" s="63"/>
      <c r="AX179" s="63"/>
      <c r="AY179" s="63"/>
      <c r="AZ179" s="63"/>
      <c r="BA179" s="63"/>
      <c r="BB179" s="63"/>
      <c r="BC179" s="63"/>
      <c r="BD179" s="63"/>
      <c r="BE179" s="63"/>
      <c r="BF179" s="63"/>
      <c r="BG179" s="63"/>
      <c r="BH179" s="63"/>
      <c r="BI179" s="63"/>
      <c r="BJ179" s="63"/>
      <c r="BK179" s="63"/>
      <c r="BL179" s="63">
        <f t="shared" si="33"/>
        <v>13800</v>
      </c>
      <c r="BM179" s="63">
        <f t="shared" si="37"/>
        <v>13800</v>
      </c>
      <c r="BN179" s="63">
        <f t="shared" si="38"/>
        <v>13800</v>
      </c>
      <c r="BO179" s="63">
        <f t="shared" si="39"/>
        <v>13800</v>
      </c>
      <c r="BP179" s="63">
        <f t="shared" si="40"/>
        <v>13800</v>
      </c>
      <c r="BQ179" s="63">
        <f t="shared" si="41"/>
        <v>13800</v>
      </c>
      <c r="BR179" s="63">
        <f t="shared" si="42"/>
        <v>13800</v>
      </c>
      <c r="BS179" s="63">
        <f t="shared" si="43"/>
        <v>13800</v>
      </c>
    </row>
    <row r="180" spans="1:71">
      <c r="A180" s="28">
        <f t="shared" si="34"/>
        <v>179</v>
      </c>
      <c r="B180" s="30" t="s">
        <v>874</v>
      </c>
      <c r="C180" s="30" t="s">
        <v>72</v>
      </c>
      <c r="D180" s="30" t="s">
        <v>875</v>
      </c>
      <c r="E180" s="30" t="s">
        <v>810</v>
      </c>
      <c r="F180" s="30" t="s">
        <v>876</v>
      </c>
      <c r="G180" s="30" t="s">
        <v>263</v>
      </c>
      <c r="H180" s="35" t="s">
        <v>264</v>
      </c>
      <c r="I180" s="69">
        <v>2442</v>
      </c>
      <c r="J180" s="30"/>
      <c r="K180" s="30" t="s">
        <v>871</v>
      </c>
      <c r="L180" s="63"/>
      <c r="M180" s="63"/>
      <c r="N180" s="63"/>
      <c r="O180" s="63"/>
      <c r="P180" s="63"/>
      <c r="Q180" s="42">
        <v>0.36</v>
      </c>
      <c r="R180" s="47">
        <f t="shared" si="35"/>
        <v>25200</v>
      </c>
      <c r="S180" s="48">
        <v>28800</v>
      </c>
      <c r="T180" s="48">
        <f t="shared" si="36"/>
        <v>70000</v>
      </c>
      <c r="U180" s="63"/>
      <c r="V180" s="63"/>
      <c r="W180" s="63"/>
      <c r="X180" s="63"/>
      <c r="Y180" s="39">
        <v>10000</v>
      </c>
      <c r="Z180" s="39">
        <v>10000</v>
      </c>
      <c r="AA180" s="39">
        <v>10000</v>
      </c>
      <c r="AB180" s="39">
        <v>10000</v>
      </c>
      <c r="AC180" s="39">
        <v>10000</v>
      </c>
      <c r="AD180" s="39">
        <v>10000</v>
      </c>
      <c r="AE180" s="39">
        <v>10000</v>
      </c>
      <c r="AF180" s="39">
        <v>10000</v>
      </c>
      <c r="AG180" s="63"/>
      <c r="AH180" s="63"/>
      <c r="AI180" s="63"/>
      <c r="AJ180" s="63"/>
      <c r="AK180" s="63"/>
      <c r="AL180" s="63"/>
      <c r="AM180" s="63"/>
      <c r="AN180" s="63"/>
      <c r="AO180" s="63"/>
      <c r="AP180" s="63"/>
      <c r="AQ180" s="63"/>
      <c r="AR180" s="63"/>
      <c r="AS180" s="63"/>
      <c r="AT180" s="63" t="s">
        <v>116</v>
      </c>
      <c r="AU180" s="30" t="s">
        <v>81</v>
      </c>
      <c r="AV180" s="63"/>
      <c r="AW180" s="63"/>
      <c r="AX180" s="63"/>
      <c r="AY180" s="63"/>
      <c r="AZ180" s="63"/>
      <c r="BA180" s="63"/>
      <c r="BB180" s="63"/>
      <c r="BC180" s="63"/>
      <c r="BD180" s="63"/>
      <c r="BE180" s="63"/>
      <c r="BF180" s="63"/>
      <c r="BG180" s="63"/>
      <c r="BH180" s="63"/>
      <c r="BI180" s="63"/>
      <c r="BJ180" s="63"/>
      <c r="BK180" s="63"/>
      <c r="BL180" s="63">
        <f t="shared" si="33"/>
        <v>3600</v>
      </c>
      <c r="BM180" s="63">
        <f t="shared" si="37"/>
        <v>3600</v>
      </c>
      <c r="BN180" s="63">
        <f t="shared" si="38"/>
        <v>3600</v>
      </c>
      <c r="BO180" s="63">
        <f t="shared" si="39"/>
        <v>3600</v>
      </c>
      <c r="BP180" s="63">
        <f t="shared" si="40"/>
        <v>3600</v>
      </c>
      <c r="BQ180" s="63">
        <f t="shared" si="41"/>
        <v>3600</v>
      </c>
      <c r="BR180" s="63">
        <f t="shared" si="42"/>
        <v>3600</v>
      </c>
      <c r="BS180" s="63">
        <f t="shared" si="43"/>
        <v>3600</v>
      </c>
    </row>
    <row r="181" spans="1:71">
      <c r="A181" s="28">
        <f t="shared" si="34"/>
        <v>180</v>
      </c>
      <c r="B181" s="30" t="s">
        <v>877</v>
      </c>
      <c r="C181" s="30" t="s">
        <v>92</v>
      </c>
      <c r="D181" s="30" t="s">
        <v>875</v>
      </c>
      <c r="E181" s="30" t="s">
        <v>810</v>
      </c>
      <c r="F181" s="30" t="s">
        <v>876</v>
      </c>
      <c r="G181" s="30" t="s">
        <v>457</v>
      </c>
      <c r="H181" s="35" t="s">
        <v>458</v>
      </c>
      <c r="I181" s="30"/>
      <c r="J181" s="30"/>
      <c r="K181" s="30" t="s">
        <v>745</v>
      </c>
      <c r="L181" s="63"/>
      <c r="M181" s="63"/>
      <c r="N181" s="63"/>
      <c r="O181" s="63"/>
      <c r="P181" s="63"/>
      <c r="Q181" s="42">
        <v>1.302</v>
      </c>
      <c r="R181" s="47">
        <f t="shared" si="35"/>
        <v>546840</v>
      </c>
      <c r="S181" s="48">
        <v>632772</v>
      </c>
      <c r="T181" s="48">
        <f t="shared" si="36"/>
        <v>420000</v>
      </c>
      <c r="U181" s="63"/>
      <c r="V181" s="63"/>
      <c r="W181" s="63"/>
      <c r="X181" s="63"/>
      <c r="Y181" s="39">
        <v>150000</v>
      </c>
      <c r="Z181" s="39">
        <v>60000</v>
      </c>
      <c r="AA181" s="39">
        <v>120000</v>
      </c>
      <c r="AB181" s="39">
        <v>48000</v>
      </c>
      <c r="AC181" s="39">
        <v>48000</v>
      </c>
      <c r="AD181" s="39">
        <v>48000</v>
      </c>
      <c r="AE181" s="39">
        <v>48000</v>
      </c>
      <c r="AF181" s="39">
        <v>48000</v>
      </c>
      <c r="AG181" s="63"/>
      <c r="AH181" s="63"/>
      <c r="AI181" s="63"/>
      <c r="AJ181" s="63"/>
      <c r="AK181" s="63"/>
      <c r="AL181" s="63"/>
      <c r="AM181" s="63"/>
      <c r="AN181" s="63"/>
      <c r="AO181" s="63"/>
      <c r="AP181" s="63"/>
      <c r="AQ181" s="63"/>
      <c r="AR181" s="63"/>
      <c r="AS181" s="63"/>
      <c r="AT181" s="63" t="s">
        <v>116</v>
      </c>
      <c r="AU181" s="30" t="s">
        <v>688</v>
      </c>
      <c r="AV181" s="63"/>
      <c r="AW181" s="63"/>
      <c r="AX181" s="63"/>
      <c r="AY181" s="63"/>
      <c r="AZ181" s="63"/>
      <c r="BA181" s="63"/>
      <c r="BB181" s="63"/>
      <c r="BC181" s="63"/>
      <c r="BD181" s="63"/>
      <c r="BE181" s="63"/>
      <c r="BF181" s="63"/>
      <c r="BG181" s="63"/>
      <c r="BH181" s="63"/>
      <c r="BI181" s="63"/>
      <c r="BJ181" s="63"/>
      <c r="BK181" s="63"/>
      <c r="BL181" s="63">
        <f t="shared" si="33"/>
        <v>195300</v>
      </c>
      <c r="BM181" s="63">
        <f t="shared" si="37"/>
        <v>78120</v>
      </c>
      <c r="BN181" s="63">
        <f t="shared" si="38"/>
        <v>156240</v>
      </c>
      <c r="BO181" s="63">
        <f t="shared" si="39"/>
        <v>62496</v>
      </c>
      <c r="BP181" s="63">
        <f t="shared" si="40"/>
        <v>62496</v>
      </c>
      <c r="BQ181" s="63">
        <f t="shared" si="41"/>
        <v>62496</v>
      </c>
      <c r="BR181" s="63">
        <f t="shared" si="42"/>
        <v>62496</v>
      </c>
      <c r="BS181" s="63">
        <f t="shared" si="43"/>
        <v>62496</v>
      </c>
    </row>
    <row r="182" spans="1:71">
      <c r="A182" s="28">
        <f t="shared" si="34"/>
        <v>181</v>
      </c>
      <c r="B182" s="30" t="s">
        <v>877</v>
      </c>
      <c r="C182" s="30" t="s">
        <v>92</v>
      </c>
      <c r="D182" s="30" t="s">
        <v>875</v>
      </c>
      <c r="E182" s="30" t="s">
        <v>810</v>
      </c>
      <c r="F182" s="30" t="s">
        <v>876</v>
      </c>
      <c r="G182" s="30" t="s">
        <v>450</v>
      </c>
      <c r="H182" s="35" t="s">
        <v>451</v>
      </c>
      <c r="I182" s="30"/>
      <c r="J182" s="30"/>
      <c r="K182" s="30" t="s">
        <v>745</v>
      </c>
      <c r="L182" s="63"/>
      <c r="M182" s="63"/>
      <c r="N182" s="63"/>
      <c r="O182" s="63"/>
      <c r="P182" s="63"/>
      <c r="Q182" s="42">
        <v>2.3</v>
      </c>
      <c r="R182" s="47">
        <f t="shared" si="35"/>
        <v>96600</v>
      </c>
      <c r="S182" s="48">
        <v>110400</v>
      </c>
      <c r="T182" s="48">
        <f t="shared" si="36"/>
        <v>42000</v>
      </c>
      <c r="U182" s="63"/>
      <c r="V182" s="63"/>
      <c r="W182" s="63"/>
      <c r="X182" s="63"/>
      <c r="Y182" s="39">
        <v>6000</v>
      </c>
      <c r="Z182" s="39">
        <v>6000</v>
      </c>
      <c r="AA182" s="39">
        <v>6000</v>
      </c>
      <c r="AB182" s="39">
        <v>6000</v>
      </c>
      <c r="AC182" s="39">
        <v>6000</v>
      </c>
      <c r="AD182" s="39">
        <v>6000</v>
      </c>
      <c r="AE182" s="39">
        <v>6000</v>
      </c>
      <c r="AF182" s="39">
        <v>6000</v>
      </c>
      <c r="AG182" s="63"/>
      <c r="AH182" s="63"/>
      <c r="AI182" s="63"/>
      <c r="AJ182" s="63"/>
      <c r="AK182" s="63"/>
      <c r="AL182" s="63"/>
      <c r="AM182" s="63"/>
      <c r="AN182" s="63"/>
      <c r="AO182" s="63"/>
      <c r="AP182" s="63"/>
      <c r="AQ182" s="63"/>
      <c r="AR182" s="63"/>
      <c r="AS182" s="63"/>
      <c r="AT182" s="63" t="s">
        <v>116</v>
      </c>
      <c r="AU182" s="30" t="s">
        <v>688</v>
      </c>
      <c r="AV182" s="63"/>
      <c r="AW182" s="63"/>
      <c r="AX182" s="63"/>
      <c r="AY182" s="63"/>
      <c r="AZ182" s="63"/>
      <c r="BA182" s="63"/>
      <c r="BB182" s="63"/>
      <c r="BC182" s="63"/>
      <c r="BD182" s="63"/>
      <c r="BE182" s="63"/>
      <c r="BF182" s="63"/>
      <c r="BG182" s="63"/>
      <c r="BH182" s="63"/>
      <c r="BI182" s="63"/>
      <c r="BJ182" s="63"/>
      <c r="BK182" s="63"/>
      <c r="BL182" s="63">
        <f t="shared" si="33"/>
        <v>13800</v>
      </c>
      <c r="BM182" s="63">
        <f t="shared" si="37"/>
        <v>13800</v>
      </c>
      <c r="BN182" s="63">
        <f t="shared" si="38"/>
        <v>13800</v>
      </c>
      <c r="BO182" s="63">
        <f t="shared" si="39"/>
        <v>13800</v>
      </c>
      <c r="BP182" s="63">
        <f t="shared" si="40"/>
        <v>13800</v>
      </c>
      <c r="BQ182" s="63">
        <f t="shared" si="41"/>
        <v>13800</v>
      </c>
      <c r="BR182" s="63">
        <f t="shared" si="42"/>
        <v>13800</v>
      </c>
      <c r="BS182" s="63">
        <f t="shared" si="43"/>
        <v>13800</v>
      </c>
    </row>
    <row r="183" spans="1:71">
      <c r="A183" s="28">
        <f t="shared" si="34"/>
        <v>182</v>
      </c>
      <c r="B183" s="30" t="s">
        <v>877</v>
      </c>
      <c r="C183" s="30" t="s">
        <v>92</v>
      </c>
      <c r="D183" s="30" t="s">
        <v>875</v>
      </c>
      <c r="E183" s="30" t="s">
        <v>810</v>
      </c>
      <c r="F183" s="30" t="s">
        <v>876</v>
      </c>
      <c r="G183" s="30" t="s">
        <v>441</v>
      </c>
      <c r="H183" s="35" t="s">
        <v>442</v>
      </c>
      <c r="I183" s="30"/>
      <c r="J183" s="30"/>
      <c r="K183" s="30" t="s">
        <v>745</v>
      </c>
      <c r="L183" s="63"/>
      <c r="M183" s="63"/>
      <c r="N183" s="63"/>
      <c r="O183" s="63"/>
      <c r="P183" s="63"/>
      <c r="Q183" s="42">
        <v>2.3</v>
      </c>
      <c r="R183" s="47">
        <f t="shared" si="35"/>
        <v>24150</v>
      </c>
      <c r="S183" s="48">
        <v>27600</v>
      </c>
      <c r="T183" s="48">
        <f t="shared" si="36"/>
        <v>10500</v>
      </c>
      <c r="U183" s="63"/>
      <c r="V183" s="63"/>
      <c r="W183" s="63"/>
      <c r="X183" s="63"/>
      <c r="Y183" s="39">
        <v>1500</v>
      </c>
      <c r="Z183" s="39">
        <v>1500</v>
      </c>
      <c r="AA183" s="39">
        <v>1500</v>
      </c>
      <c r="AB183" s="39">
        <v>1500</v>
      </c>
      <c r="AC183" s="39">
        <v>1500</v>
      </c>
      <c r="AD183" s="39">
        <v>1500</v>
      </c>
      <c r="AE183" s="39">
        <v>1500</v>
      </c>
      <c r="AF183" s="39">
        <v>1500</v>
      </c>
      <c r="AG183" s="63"/>
      <c r="AH183" s="63"/>
      <c r="AI183" s="63"/>
      <c r="AJ183" s="63"/>
      <c r="AK183" s="63"/>
      <c r="AL183" s="63"/>
      <c r="AM183" s="63"/>
      <c r="AN183" s="63"/>
      <c r="AO183" s="63"/>
      <c r="AP183" s="63"/>
      <c r="AQ183" s="63"/>
      <c r="AR183" s="63"/>
      <c r="AS183" s="63"/>
      <c r="AT183" s="63" t="s">
        <v>116</v>
      </c>
      <c r="AU183" s="30" t="s">
        <v>688</v>
      </c>
      <c r="AV183" s="63"/>
      <c r="AW183" s="63"/>
      <c r="AX183" s="63"/>
      <c r="AY183" s="63"/>
      <c r="AZ183" s="63"/>
      <c r="BA183" s="63"/>
      <c r="BB183" s="63"/>
      <c r="BC183" s="63"/>
      <c r="BD183" s="63"/>
      <c r="BE183" s="63"/>
      <c r="BF183" s="63"/>
      <c r="BG183" s="63"/>
      <c r="BH183" s="63"/>
      <c r="BI183" s="63"/>
      <c r="BJ183" s="63"/>
      <c r="BK183" s="63"/>
      <c r="BL183" s="63">
        <f t="shared" si="33"/>
        <v>3450</v>
      </c>
      <c r="BM183" s="63">
        <f t="shared" si="37"/>
        <v>3450</v>
      </c>
      <c r="BN183" s="63">
        <f t="shared" si="38"/>
        <v>3450</v>
      </c>
      <c r="BO183" s="63">
        <f t="shared" si="39"/>
        <v>3450</v>
      </c>
      <c r="BP183" s="63">
        <f t="shared" si="40"/>
        <v>3450</v>
      </c>
      <c r="BQ183" s="63">
        <f t="shared" si="41"/>
        <v>3450</v>
      </c>
      <c r="BR183" s="63">
        <f t="shared" si="42"/>
        <v>3450</v>
      </c>
      <c r="BS183" s="63">
        <f t="shared" si="43"/>
        <v>3450</v>
      </c>
    </row>
    <row r="184" spans="1:71">
      <c r="A184" s="28">
        <f t="shared" si="34"/>
        <v>183</v>
      </c>
      <c r="B184" s="30" t="s">
        <v>878</v>
      </c>
      <c r="C184" s="30" t="s">
        <v>72</v>
      </c>
      <c r="D184" s="30" t="s">
        <v>875</v>
      </c>
      <c r="E184" s="30" t="s">
        <v>810</v>
      </c>
      <c r="F184" s="30" t="s">
        <v>876</v>
      </c>
      <c r="G184" s="30" t="s">
        <v>393</v>
      </c>
      <c r="H184" s="35" t="s">
        <v>394</v>
      </c>
      <c r="I184" s="30"/>
      <c r="J184" s="30"/>
      <c r="K184" s="30" t="s">
        <v>845</v>
      </c>
      <c r="L184" s="63"/>
      <c r="M184" s="63"/>
      <c r="N184" s="63"/>
      <c r="O184" s="63"/>
      <c r="P184" s="63"/>
      <c r="Q184" s="42">
        <v>2.9</v>
      </c>
      <c r="R184" s="47">
        <f t="shared" si="35"/>
        <v>203000</v>
      </c>
      <c r="S184" s="48">
        <v>232000</v>
      </c>
      <c r="T184" s="48">
        <f t="shared" si="36"/>
        <v>70000</v>
      </c>
      <c r="U184" s="63"/>
      <c r="V184" s="63"/>
      <c r="W184" s="63"/>
      <c r="X184" s="63"/>
      <c r="Y184" s="39">
        <v>10000</v>
      </c>
      <c r="Z184" s="39">
        <v>10000</v>
      </c>
      <c r="AA184" s="39">
        <v>10000</v>
      </c>
      <c r="AB184" s="39">
        <v>10000</v>
      </c>
      <c r="AC184" s="39">
        <v>10000</v>
      </c>
      <c r="AD184" s="39">
        <v>10000</v>
      </c>
      <c r="AE184" s="39">
        <v>10000</v>
      </c>
      <c r="AF184" s="39">
        <v>10000</v>
      </c>
      <c r="AG184" s="63"/>
      <c r="AH184" s="63"/>
      <c r="AI184" s="63"/>
      <c r="AJ184" s="63"/>
      <c r="AK184" s="63"/>
      <c r="AL184" s="63"/>
      <c r="AM184" s="63"/>
      <c r="AN184" s="63"/>
      <c r="AO184" s="63"/>
      <c r="AP184" s="63"/>
      <c r="AQ184" s="63"/>
      <c r="AR184" s="63"/>
      <c r="AS184" s="63"/>
      <c r="AT184" s="63" t="s">
        <v>116</v>
      </c>
      <c r="AU184" s="30" t="s">
        <v>545</v>
      </c>
      <c r="AV184" s="63"/>
      <c r="AW184" s="63"/>
      <c r="AX184" s="63"/>
      <c r="AY184" s="63"/>
      <c r="AZ184" s="63"/>
      <c r="BA184" s="63"/>
      <c r="BB184" s="63"/>
      <c r="BC184" s="63"/>
      <c r="BD184" s="63"/>
      <c r="BE184" s="63"/>
      <c r="BF184" s="63"/>
      <c r="BG184" s="63"/>
      <c r="BH184" s="63"/>
      <c r="BI184" s="63"/>
      <c r="BJ184" s="63"/>
      <c r="BK184" s="63"/>
      <c r="BL184" s="63">
        <f t="shared" si="33"/>
        <v>29000</v>
      </c>
      <c r="BM184" s="63">
        <f t="shared" si="37"/>
        <v>29000</v>
      </c>
      <c r="BN184" s="63">
        <f t="shared" si="38"/>
        <v>29000</v>
      </c>
      <c r="BO184" s="63">
        <f t="shared" si="39"/>
        <v>29000</v>
      </c>
      <c r="BP184" s="63">
        <f t="shared" si="40"/>
        <v>29000</v>
      </c>
      <c r="BQ184" s="63">
        <f t="shared" si="41"/>
        <v>29000</v>
      </c>
      <c r="BR184" s="63">
        <f t="shared" si="42"/>
        <v>29000</v>
      </c>
      <c r="BS184" s="63">
        <f t="shared" si="43"/>
        <v>29000</v>
      </c>
    </row>
    <row r="185" spans="1:71">
      <c r="A185" s="28">
        <f t="shared" si="34"/>
        <v>184</v>
      </c>
      <c r="B185" s="30" t="s">
        <v>879</v>
      </c>
      <c r="C185" s="30" t="s">
        <v>72</v>
      </c>
      <c r="D185" s="30" t="s">
        <v>875</v>
      </c>
      <c r="E185" s="30" t="s">
        <v>810</v>
      </c>
      <c r="F185" s="30" t="s">
        <v>876</v>
      </c>
      <c r="G185" s="30" t="s">
        <v>423</v>
      </c>
      <c r="H185" s="35" t="s">
        <v>426</v>
      </c>
      <c r="I185" s="30"/>
      <c r="J185" s="30"/>
      <c r="K185" s="30" t="s">
        <v>735</v>
      </c>
      <c r="L185" s="63"/>
      <c r="M185" s="63"/>
      <c r="N185" s="63"/>
      <c r="O185" s="63"/>
      <c r="P185" s="63"/>
      <c r="Q185" s="42">
        <v>1.8</v>
      </c>
      <c r="R185" s="47">
        <f t="shared" si="35"/>
        <v>63000</v>
      </c>
      <c r="S185" s="48">
        <v>72000</v>
      </c>
      <c r="T185" s="48">
        <f t="shared" si="36"/>
        <v>35000</v>
      </c>
      <c r="U185" s="63"/>
      <c r="V185" s="63"/>
      <c r="W185" s="63"/>
      <c r="X185" s="63"/>
      <c r="Y185" s="39">
        <v>5000</v>
      </c>
      <c r="Z185" s="39">
        <v>5000</v>
      </c>
      <c r="AA185" s="39">
        <v>5000</v>
      </c>
      <c r="AB185" s="39">
        <v>5000</v>
      </c>
      <c r="AC185" s="39">
        <v>5000</v>
      </c>
      <c r="AD185" s="39">
        <v>5000</v>
      </c>
      <c r="AE185" s="39">
        <v>5000</v>
      </c>
      <c r="AF185" s="39">
        <v>5000</v>
      </c>
      <c r="AG185" s="63"/>
      <c r="AH185" s="63"/>
      <c r="AI185" s="63"/>
      <c r="AJ185" s="63"/>
      <c r="AK185" s="63"/>
      <c r="AL185" s="63"/>
      <c r="AM185" s="63"/>
      <c r="AN185" s="63"/>
      <c r="AO185" s="63"/>
      <c r="AP185" s="63"/>
      <c r="AQ185" s="63"/>
      <c r="AR185" s="63"/>
      <c r="AS185" s="63"/>
      <c r="AT185" s="63" t="s">
        <v>116</v>
      </c>
      <c r="AU185" s="30" t="s">
        <v>688</v>
      </c>
      <c r="AV185" s="63"/>
      <c r="AW185" s="63"/>
      <c r="AX185" s="63"/>
      <c r="AY185" s="63"/>
      <c r="AZ185" s="63"/>
      <c r="BA185" s="63"/>
      <c r="BB185" s="63"/>
      <c r="BC185" s="63"/>
      <c r="BD185" s="63"/>
      <c r="BE185" s="63"/>
      <c r="BF185" s="63"/>
      <c r="BG185" s="63"/>
      <c r="BH185" s="63"/>
      <c r="BI185" s="63"/>
      <c r="BJ185" s="63"/>
      <c r="BK185" s="63"/>
      <c r="BL185" s="63">
        <f t="shared" si="33"/>
        <v>9000</v>
      </c>
      <c r="BM185" s="63">
        <f t="shared" si="37"/>
        <v>9000</v>
      </c>
      <c r="BN185" s="63">
        <f t="shared" si="38"/>
        <v>9000</v>
      </c>
      <c r="BO185" s="63">
        <f t="shared" si="39"/>
        <v>9000</v>
      </c>
      <c r="BP185" s="63">
        <f t="shared" si="40"/>
        <v>9000</v>
      </c>
      <c r="BQ185" s="63">
        <f t="shared" si="41"/>
        <v>9000</v>
      </c>
      <c r="BR185" s="63">
        <f t="shared" si="42"/>
        <v>9000</v>
      </c>
      <c r="BS185" s="63">
        <f t="shared" si="43"/>
        <v>9000</v>
      </c>
    </row>
    <row r="186" spans="1:71">
      <c r="A186" s="28">
        <f t="shared" si="34"/>
        <v>185</v>
      </c>
      <c r="B186" s="30" t="s">
        <v>879</v>
      </c>
      <c r="C186" s="30" t="s">
        <v>72</v>
      </c>
      <c r="D186" s="30" t="s">
        <v>875</v>
      </c>
      <c r="E186" s="30" t="s">
        <v>810</v>
      </c>
      <c r="F186" s="30" t="s">
        <v>876</v>
      </c>
      <c r="G186" s="32" t="s">
        <v>433</v>
      </c>
      <c r="H186" s="35" t="s">
        <v>434</v>
      </c>
      <c r="I186" s="30"/>
      <c r="J186" s="30"/>
      <c r="K186" s="30" t="s">
        <v>737</v>
      </c>
      <c r="L186" s="63"/>
      <c r="M186" s="63"/>
      <c r="N186" s="63"/>
      <c r="O186" s="63"/>
      <c r="P186" s="63"/>
      <c r="Q186" s="42">
        <v>1.6</v>
      </c>
      <c r="R186" s="47">
        <f t="shared" si="35"/>
        <v>56000</v>
      </c>
      <c r="S186" s="48">
        <v>64000</v>
      </c>
      <c r="T186" s="48">
        <f t="shared" si="36"/>
        <v>35000</v>
      </c>
      <c r="U186" s="63"/>
      <c r="V186" s="63"/>
      <c r="W186" s="63"/>
      <c r="X186" s="63"/>
      <c r="Y186" s="39">
        <v>5000</v>
      </c>
      <c r="Z186" s="39">
        <v>5000</v>
      </c>
      <c r="AA186" s="39">
        <v>5000</v>
      </c>
      <c r="AB186" s="39">
        <v>5000</v>
      </c>
      <c r="AC186" s="39">
        <v>5000</v>
      </c>
      <c r="AD186" s="39">
        <v>5000</v>
      </c>
      <c r="AE186" s="39">
        <v>5000</v>
      </c>
      <c r="AF186" s="39">
        <v>5000</v>
      </c>
      <c r="AG186" s="63"/>
      <c r="AH186" s="63"/>
      <c r="AI186" s="63"/>
      <c r="AJ186" s="63"/>
      <c r="AK186" s="63"/>
      <c r="AL186" s="63"/>
      <c r="AM186" s="63"/>
      <c r="AN186" s="63"/>
      <c r="AO186" s="63"/>
      <c r="AP186" s="63"/>
      <c r="AQ186" s="63"/>
      <c r="AR186" s="63"/>
      <c r="AS186" s="63"/>
      <c r="AT186" s="63" t="s">
        <v>116</v>
      </c>
      <c r="AU186" s="30" t="s">
        <v>688</v>
      </c>
      <c r="AV186" s="63"/>
      <c r="AW186" s="63"/>
      <c r="AX186" s="63"/>
      <c r="AY186" s="63"/>
      <c r="AZ186" s="63"/>
      <c r="BA186" s="63"/>
      <c r="BB186" s="63"/>
      <c r="BC186" s="63"/>
      <c r="BD186" s="63"/>
      <c r="BE186" s="63"/>
      <c r="BF186" s="63"/>
      <c r="BG186" s="63"/>
      <c r="BH186" s="63"/>
      <c r="BI186" s="63"/>
      <c r="BJ186" s="63"/>
      <c r="BK186" s="63"/>
      <c r="BL186" s="63">
        <f t="shared" si="33"/>
        <v>8000</v>
      </c>
      <c r="BM186" s="63">
        <f t="shared" si="37"/>
        <v>8000</v>
      </c>
      <c r="BN186" s="63">
        <f t="shared" si="38"/>
        <v>8000</v>
      </c>
      <c r="BO186" s="63">
        <f t="shared" si="39"/>
        <v>8000</v>
      </c>
      <c r="BP186" s="63">
        <f t="shared" si="40"/>
        <v>8000</v>
      </c>
      <c r="BQ186" s="63">
        <f t="shared" si="41"/>
        <v>8000</v>
      </c>
      <c r="BR186" s="63">
        <f t="shared" si="42"/>
        <v>8000</v>
      </c>
      <c r="BS186" s="63">
        <f t="shared" si="43"/>
        <v>8000</v>
      </c>
    </row>
    <row r="187" spans="1:71">
      <c r="A187" s="28">
        <f t="shared" si="34"/>
        <v>186</v>
      </c>
      <c r="B187" s="30" t="s">
        <v>880</v>
      </c>
      <c r="C187" s="30" t="s">
        <v>72</v>
      </c>
      <c r="D187" s="30" t="s">
        <v>875</v>
      </c>
      <c r="E187" s="30" t="s">
        <v>810</v>
      </c>
      <c r="F187" s="30" t="s">
        <v>876</v>
      </c>
      <c r="G187" s="30" t="s">
        <v>457</v>
      </c>
      <c r="H187" s="35" t="s">
        <v>458</v>
      </c>
      <c r="I187" s="30"/>
      <c r="J187" s="30"/>
      <c r="K187" s="30" t="s">
        <v>745</v>
      </c>
      <c r="L187" s="63"/>
      <c r="M187" s="63"/>
      <c r="N187" s="63"/>
      <c r="O187" s="63"/>
      <c r="P187" s="63"/>
      <c r="Q187" s="42">
        <v>1.302</v>
      </c>
      <c r="R187" s="47">
        <f t="shared" si="35"/>
        <v>273420</v>
      </c>
      <c r="S187" s="48">
        <v>338520</v>
      </c>
      <c r="T187" s="48">
        <f t="shared" si="36"/>
        <v>210000</v>
      </c>
      <c r="U187" s="63"/>
      <c r="V187" s="63"/>
      <c r="W187" s="63"/>
      <c r="X187" s="63"/>
      <c r="Y187" s="39">
        <v>50000</v>
      </c>
      <c r="Z187" s="39">
        <v>30000</v>
      </c>
      <c r="AA187" s="39">
        <v>30000</v>
      </c>
      <c r="AB187" s="39">
        <v>30000</v>
      </c>
      <c r="AC187" s="39">
        <v>30000</v>
      </c>
      <c r="AD187" s="39">
        <v>30000</v>
      </c>
      <c r="AE187" s="39">
        <v>30000</v>
      </c>
      <c r="AF187" s="39">
        <v>30000</v>
      </c>
      <c r="AG187" s="63"/>
      <c r="AH187" s="63"/>
      <c r="AI187" s="63"/>
      <c r="AJ187" s="63"/>
      <c r="AK187" s="63"/>
      <c r="AL187" s="63"/>
      <c r="AM187" s="63"/>
      <c r="AN187" s="63"/>
      <c r="AO187" s="63"/>
      <c r="AP187" s="63"/>
      <c r="AQ187" s="63"/>
      <c r="AR187" s="63"/>
      <c r="AS187" s="63"/>
      <c r="AT187" s="63" t="s">
        <v>116</v>
      </c>
      <c r="AU187" s="30" t="s">
        <v>688</v>
      </c>
      <c r="AV187" s="63"/>
      <c r="AW187" s="63"/>
      <c r="AX187" s="63"/>
      <c r="AY187" s="63"/>
      <c r="AZ187" s="63"/>
      <c r="BA187" s="63"/>
      <c r="BB187" s="63"/>
      <c r="BC187" s="63"/>
      <c r="BD187" s="63"/>
      <c r="BE187" s="63"/>
      <c r="BF187" s="63"/>
      <c r="BG187" s="63"/>
      <c r="BH187" s="63"/>
      <c r="BI187" s="63"/>
      <c r="BJ187" s="63"/>
      <c r="BK187" s="63"/>
      <c r="BL187" s="63">
        <f t="shared" ref="BL187:BL237" si="44">$Q187*Y187</f>
        <v>65100</v>
      </c>
      <c r="BM187" s="63">
        <f t="shared" si="37"/>
        <v>39060</v>
      </c>
      <c r="BN187" s="63">
        <f t="shared" si="38"/>
        <v>39060</v>
      </c>
      <c r="BO187" s="63">
        <f t="shared" si="39"/>
        <v>39060</v>
      </c>
      <c r="BP187" s="63">
        <f t="shared" si="40"/>
        <v>39060</v>
      </c>
      <c r="BQ187" s="63">
        <f t="shared" si="41"/>
        <v>39060</v>
      </c>
      <c r="BR187" s="63">
        <f t="shared" si="42"/>
        <v>39060</v>
      </c>
      <c r="BS187" s="63">
        <f t="shared" si="43"/>
        <v>39060</v>
      </c>
    </row>
    <row r="188" spans="1:71">
      <c r="A188" s="28">
        <f t="shared" si="34"/>
        <v>187</v>
      </c>
      <c r="B188" s="30" t="s">
        <v>880</v>
      </c>
      <c r="C188" s="30" t="s">
        <v>72</v>
      </c>
      <c r="D188" s="30" t="s">
        <v>875</v>
      </c>
      <c r="E188" s="30" t="s">
        <v>810</v>
      </c>
      <c r="F188" s="30" t="s">
        <v>876</v>
      </c>
      <c r="G188" s="30" t="s">
        <v>423</v>
      </c>
      <c r="H188" s="35" t="s">
        <v>426</v>
      </c>
      <c r="I188" s="30"/>
      <c r="J188" s="30"/>
      <c r="K188" s="30" t="s">
        <v>735</v>
      </c>
      <c r="L188" s="63"/>
      <c r="M188" s="63"/>
      <c r="N188" s="63"/>
      <c r="O188" s="63"/>
      <c r="P188" s="63"/>
      <c r="Q188" s="42">
        <v>1.8</v>
      </c>
      <c r="R188" s="47">
        <f t="shared" si="35"/>
        <v>12600</v>
      </c>
      <c r="S188" s="48">
        <v>14400</v>
      </c>
      <c r="T188" s="48">
        <f t="shared" si="36"/>
        <v>7000</v>
      </c>
      <c r="U188" s="63"/>
      <c r="V188" s="63"/>
      <c r="W188" s="63"/>
      <c r="X188" s="63"/>
      <c r="Y188" s="39">
        <v>1000</v>
      </c>
      <c r="Z188" s="39">
        <v>1000</v>
      </c>
      <c r="AA188" s="39">
        <v>1000</v>
      </c>
      <c r="AB188" s="39">
        <v>1000</v>
      </c>
      <c r="AC188" s="39">
        <v>1000</v>
      </c>
      <c r="AD188" s="39">
        <v>1000</v>
      </c>
      <c r="AE188" s="39">
        <v>1000</v>
      </c>
      <c r="AF188" s="39">
        <v>1000</v>
      </c>
      <c r="AG188" s="63"/>
      <c r="AH188" s="63"/>
      <c r="AI188" s="63"/>
      <c r="AJ188" s="63"/>
      <c r="AK188" s="63"/>
      <c r="AL188" s="63"/>
      <c r="AM188" s="63"/>
      <c r="AN188" s="63"/>
      <c r="AO188" s="63"/>
      <c r="AP188" s="63"/>
      <c r="AQ188" s="63"/>
      <c r="AR188" s="63"/>
      <c r="AS188" s="63"/>
      <c r="AT188" s="63" t="s">
        <v>116</v>
      </c>
      <c r="AU188" s="30" t="s">
        <v>688</v>
      </c>
      <c r="AV188" s="63"/>
      <c r="AW188" s="63"/>
      <c r="AX188" s="63"/>
      <c r="AY188" s="63"/>
      <c r="AZ188" s="63"/>
      <c r="BA188" s="63"/>
      <c r="BB188" s="63"/>
      <c r="BC188" s="63"/>
      <c r="BD188" s="63"/>
      <c r="BE188" s="63"/>
      <c r="BF188" s="63"/>
      <c r="BG188" s="63"/>
      <c r="BH188" s="63"/>
      <c r="BI188" s="63"/>
      <c r="BJ188" s="63"/>
      <c r="BK188" s="63"/>
      <c r="BL188" s="63">
        <f t="shared" si="44"/>
        <v>1800</v>
      </c>
      <c r="BM188" s="63">
        <f t="shared" si="37"/>
        <v>1800</v>
      </c>
      <c r="BN188" s="63">
        <f t="shared" si="38"/>
        <v>1800</v>
      </c>
      <c r="BO188" s="63">
        <f t="shared" si="39"/>
        <v>1800</v>
      </c>
      <c r="BP188" s="63">
        <f t="shared" si="40"/>
        <v>1800</v>
      </c>
      <c r="BQ188" s="63">
        <f t="shared" si="41"/>
        <v>1800</v>
      </c>
      <c r="BR188" s="63">
        <f t="shared" si="42"/>
        <v>1800</v>
      </c>
      <c r="BS188" s="63">
        <f t="shared" si="43"/>
        <v>1800</v>
      </c>
    </row>
    <row r="189" spans="1:71">
      <c r="A189" s="28">
        <f t="shared" si="34"/>
        <v>188</v>
      </c>
      <c r="B189" s="30" t="s">
        <v>881</v>
      </c>
      <c r="C189" s="30" t="s">
        <v>72</v>
      </c>
      <c r="D189" s="30" t="s">
        <v>875</v>
      </c>
      <c r="E189" s="30" t="s">
        <v>810</v>
      </c>
      <c r="F189" s="30" t="s">
        <v>876</v>
      </c>
      <c r="G189" s="30" t="s">
        <v>423</v>
      </c>
      <c r="H189" s="35" t="s">
        <v>426</v>
      </c>
      <c r="I189" s="30"/>
      <c r="J189" s="30"/>
      <c r="K189" s="30" t="s">
        <v>735</v>
      </c>
      <c r="L189" s="63"/>
      <c r="M189" s="63"/>
      <c r="N189" s="63"/>
      <c r="O189" s="63"/>
      <c r="P189" s="63"/>
      <c r="Q189" s="42">
        <v>1.8</v>
      </c>
      <c r="R189" s="47">
        <f t="shared" si="35"/>
        <v>37800</v>
      </c>
      <c r="S189" s="48">
        <v>43200</v>
      </c>
      <c r="T189" s="48">
        <f t="shared" si="36"/>
        <v>21000</v>
      </c>
      <c r="U189" s="63"/>
      <c r="V189" s="63"/>
      <c r="W189" s="63"/>
      <c r="X189" s="63"/>
      <c r="Y189" s="39">
        <v>3000</v>
      </c>
      <c r="Z189" s="39">
        <v>3000</v>
      </c>
      <c r="AA189" s="39">
        <v>3000</v>
      </c>
      <c r="AB189" s="39">
        <v>3000</v>
      </c>
      <c r="AC189" s="39">
        <v>3000</v>
      </c>
      <c r="AD189" s="39">
        <v>3000</v>
      </c>
      <c r="AE189" s="39">
        <v>3000</v>
      </c>
      <c r="AF189" s="39">
        <v>3000</v>
      </c>
      <c r="AG189" s="63"/>
      <c r="AH189" s="63"/>
      <c r="AI189" s="63"/>
      <c r="AJ189" s="63"/>
      <c r="AK189" s="63"/>
      <c r="AL189" s="63"/>
      <c r="AM189" s="63"/>
      <c r="AN189" s="63"/>
      <c r="AO189" s="63"/>
      <c r="AP189" s="63"/>
      <c r="AQ189" s="63"/>
      <c r="AR189" s="63"/>
      <c r="AS189" s="63"/>
      <c r="AT189" s="63" t="s">
        <v>116</v>
      </c>
      <c r="AU189" s="30" t="s">
        <v>688</v>
      </c>
      <c r="AV189" s="63"/>
      <c r="AW189" s="63"/>
      <c r="AX189" s="63"/>
      <c r="AY189" s="63"/>
      <c r="AZ189" s="63"/>
      <c r="BA189" s="63"/>
      <c r="BB189" s="63"/>
      <c r="BC189" s="63"/>
      <c r="BD189" s="63"/>
      <c r="BE189" s="63"/>
      <c r="BF189" s="63"/>
      <c r="BG189" s="63"/>
      <c r="BH189" s="63"/>
      <c r="BI189" s="63"/>
      <c r="BJ189" s="63"/>
      <c r="BK189" s="63"/>
      <c r="BL189" s="63">
        <f t="shared" si="44"/>
        <v>5400</v>
      </c>
      <c r="BM189" s="63">
        <f t="shared" si="37"/>
        <v>5400</v>
      </c>
      <c r="BN189" s="63">
        <f t="shared" si="38"/>
        <v>5400</v>
      </c>
      <c r="BO189" s="63">
        <f t="shared" si="39"/>
        <v>5400</v>
      </c>
      <c r="BP189" s="63">
        <f t="shared" si="40"/>
        <v>5400</v>
      </c>
      <c r="BQ189" s="63">
        <f t="shared" si="41"/>
        <v>5400</v>
      </c>
      <c r="BR189" s="63">
        <f t="shared" si="42"/>
        <v>5400</v>
      </c>
      <c r="BS189" s="63">
        <f t="shared" si="43"/>
        <v>5400</v>
      </c>
    </row>
    <row r="190" spans="1:71">
      <c r="A190" s="28">
        <f t="shared" si="34"/>
        <v>189</v>
      </c>
      <c r="B190" s="30" t="s">
        <v>881</v>
      </c>
      <c r="C190" s="30" t="s">
        <v>72</v>
      </c>
      <c r="D190" s="30" t="s">
        <v>875</v>
      </c>
      <c r="E190" s="30" t="s">
        <v>810</v>
      </c>
      <c r="F190" s="30" t="s">
        <v>876</v>
      </c>
      <c r="G190" s="32" t="s">
        <v>433</v>
      </c>
      <c r="H190" s="35" t="s">
        <v>434</v>
      </c>
      <c r="I190" s="30"/>
      <c r="J190" s="30"/>
      <c r="K190" s="30" t="s">
        <v>737</v>
      </c>
      <c r="L190" s="63"/>
      <c r="M190" s="63"/>
      <c r="N190" s="63"/>
      <c r="O190" s="63"/>
      <c r="P190" s="63"/>
      <c r="Q190" s="42">
        <v>1.6</v>
      </c>
      <c r="R190" s="47">
        <f t="shared" si="35"/>
        <v>16800</v>
      </c>
      <c r="S190" s="48">
        <v>19200</v>
      </c>
      <c r="T190" s="48">
        <f t="shared" si="36"/>
        <v>10500</v>
      </c>
      <c r="U190" s="63"/>
      <c r="V190" s="63"/>
      <c r="W190" s="63"/>
      <c r="X190" s="63"/>
      <c r="Y190" s="39">
        <v>1500</v>
      </c>
      <c r="Z190" s="39">
        <v>1500</v>
      </c>
      <c r="AA190" s="39">
        <v>1500</v>
      </c>
      <c r="AB190" s="39">
        <v>1500</v>
      </c>
      <c r="AC190" s="39">
        <v>1500</v>
      </c>
      <c r="AD190" s="39">
        <v>1500</v>
      </c>
      <c r="AE190" s="39">
        <v>1500</v>
      </c>
      <c r="AF190" s="39">
        <v>1500</v>
      </c>
      <c r="AG190" s="63"/>
      <c r="AH190" s="63"/>
      <c r="AI190" s="63"/>
      <c r="AJ190" s="63"/>
      <c r="AK190" s="63"/>
      <c r="AL190" s="63"/>
      <c r="AM190" s="63"/>
      <c r="AN190" s="63"/>
      <c r="AO190" s="63"/>
      <c r="AP190" s="63"/>
      <c r="AQ190" s="63"/>
      <c r="AR190" s="63"/>
      <c r="AS190" s="63"/>
      <c r="AT190" s="63" t="s">
        <v>116</v>
      </c>
      <c r="AU190" s="30" t="s">
        <v>688</v>
      </c>
      <c r="AV190" s="63"/>
      <c r="AW190" s="63"/>
      <c r="AX190" s="63"/>
      <c r="AY190" s="63"/>
      <c r="AZ190" s="63"/>
      <c r="BA190" s="63"/>
      <c r="BB190" s="63"/>
      <c r="BC190" s="63"/>
      <c r="BD190" s="63"/>
      <c r="BE190" s="63"/>
      <c r="BF190" s="63"/>
      <c r="BG190" s="63"/>
      <c r="BH190" s="63"/>
      <c r="BI190" s="63"/>
      <c r="BJ190" s="63"/>
      <c r="BK190" s="63"/>
      <c r="BL190" s="63">
        <f t="shared" si="44"/>
        <v>2400</v>
      </c>
      <c r="BM190" s="63">
        <f t="shared" si="37"/>
        <v>2400</v>
      </c>
      <c r="BN190" s="63">
        <f t="shared" si="38"/>
        <v>2400</v>
      </c>
      <c r="BO190" s="63">
        <f t="shared" si="39"/>
        <v>2400</v>
      </c>
      <c r="BP190" s="63">
        <f t="shared" si="40"/>
        <v>2400</v>
      </c>
      <c r="BQ190" s="63">
        <f t="shared" si="41"/>
        <v>2400</v>
      </c>
      <c r="BR190" s="63">
        <f t="shared" si="42"/>
        <v>2400</v>
      </c>
      <c r="BS190" s="63">
        <f t="shared" si="43"/>
        <v>2400</v>
      </c>
    </row>
    <row r="191" spans="1:71">
      <c r="A191" s="28">
        <f t="shared" si="34"/>
        <v>190</v>
      </c>
      <c r="B191" s="30" t="s">
        <v>882</v>
      </c>
      <c r="C191" s="30" t="s">
        <v>72</v>
      </c>
      <c r="D191" s="30" t="s">
        <v>875</v>
      </c>
      <c r="E191" s="30" t="s">
        <v>810</v>
      </c>
      <c r="F191" s="30" t="s">
        <v>876</v>
      </c>
      <c r="G191" s="30" t="s">
        <v>263</v>
      </c>
      <c r="H191" s="35" t="s">
        <v>264</v>
      </c>
      <c r="I191" s="69">
        <v>2442</v>
      </c>
      <c r="J191" s="30"/>
      <c r="K191" s="30" t="s">
        <v>883</v>
      </c>
      <c r="L191" s="63"/>
      <c r="M191" s="63"/>
      <c r="N191" s="63"/>
      <c r="O191" s="63"/>
      <c r="P191" s="63"/>
      <c r="Q191" s="42">
        <v>0.36</v>
      </c>
      <c r="R191" s="47">
        <f t="shared" si="35"/>
        <v>5040</v>
      </c>
      <c r="S191" s="48">
        <v>5760</v>
      </c>
      <c r="T191" s="48">
        <f t="shared" si="36"/>
        <v>14000</v>
      </c>
      <c r="U191" s="63"/>
      <c r="V191" s="63"/>
      <c r="W191" s="63"/>
      <c r="X191" s="63"/>
      <c r="Y191" s="39">
        <v>2000</v>
      </c>
      <c r="Z191" s="39">
        <v>2000</v>
      </c>
      <c r="AA191" s="39">
        <v>2000</v>
      </c>
      <c r="AB191" s="39">
        <v>2000</v>
      </c>
      <c r="AC191" s="39">
        <v>2000</v>
      </c>
      <c r="AD191" s="39">
        <v>2000</v>
      </c>
      <c r="AE191" s="39">
        <v>2000</v>
      </c>
      <c r="AF191" s="39">
        <v>2000</v>
      </c>
      <c r="AG191" s="63"/>
      <c r="AH191" s="63"/>
      <c r="AI191" s="63"/>
      <c r="AJ191" s="63"/>
      <c r="AK191" s="63"/>
      <c r="AL191" s="63"/>
      <c r="AM191" s="63"/>
      <c r="AN191" s="63"/>
      <c r="AO191" s="63"/>
      <c r="AP191" s="63"/>
      <c r="AQ191" s="63"/>
      <c r="AR191" s="63"/>
      <c r="AS191" s="63"/>
      <c r="AT191" s="63" t="s">
        <v>116</v>
      </c>
      <c r="AU191" s="30" t="s">
        <v>81</v>
      </c>
      <c r="AV191" s="63"/>
      <c r="AW191" s="63"/>
      <c r="AX191" s="63"/>
      <c r="AY191" s="63"/>
      <c r="AZ191" s="63"/>
      <c r="BA191" s="63"/>
      <c r="BB191" s="63"/>
      <c r="BC191" s="63"/>
      <c r="BD191" s="63"/>
      <c r="BE191" s="63"/>
      <c r="BF191" s="63"/>
      <c r="BG191" s="63"/>
      <c r="BH191" s="63"/>
      <c r="BI191" s="63"/>
      <c r="BJ191" s="63"/>
      <c r="BK191" s="63"/>
      <c r="BL191" s="63">
        <f t="shared" si="44"/>
        <v>720</v>
      </c>
      <c r="BM191" s="63">
        <f t="shared" si="37"/>
        <v>720</v>
      </c>
      <c r="BN191" s="63">
        <f t="shared" si="38"/>
        <v>720</v>
      </c>
      <c r="BO191" s="63">
        <f t="shared" si="39"/>
        <v>720</v>
      </c>
      <c r="BP191" s="63">
        <f t="shared" si="40"/>
        <v>720</v>
      </c>
      <c r="BQ191" s="63">
        <f t="shared" si="41"/>
        <v>720</v>
      </c>
      <c r="BR191" s="63">
        <f t="shared" si="42"/>
        <v>720</v>
      </c>
      <c r="BS191" s="63">
        <f t="shared" si="43"/>
        <v>720</v>
      </c>
    </row>
    <row r="192" spans="1:71">
      <c r="A192" s="28">
        <f t="shared" si="34"/>
        <v>191</v>
      </c>
      <c r="B192" s="30" t="s">
        <v>884</v>
      </c>
      <c r="C192" s="30" t="s">
        <v>72</v>
      </c>
      <c r="D192" s="30" t="s">
        <v>875</v>
      </c>
      <c r="E192" s="30" t="s">
        <v>810</v>
      </c>
      <c r="F192" s="30" t="s">
        <v>876</v>
      </c>
      <c r="G192" s="30" t="s">
        <v>393</v>
      </c>
      <c r="H192" s="35" t="s">
        <v>394</v>
      </c>
      <c r="I192" s="30"/>
      <c r="J192" s="30"/>
      <c r="K192" s="30" t="s">
        <v>761</v>
      </c>
      <c r="L192" s="63"/>
      <c r="M192" s="63"/>
      <c r="N192" s="63"/>
      <c r="O192" s="63"/>
      <c r="P192" s="63"/>
      <c r="Q192" s="42">
        <v>2.9</v>
      </c>
      <c r="R192" s="47">
        <f t="shared" si="35"/>
        <v>40600</v>
      </c>
      <c r="S192" s="48">
        <v>46400</v>
      </c>
      <c r="T192" s="48">
        <f t="shared" si="36"/>
        <v>14000</v>
      </c>
      <c r="U192" s="63"/>
      <c r="V192" s="63"/>
      <c r="W192" s="63"/>
      <c r="X192" s="63"/>
      <c r="Y192" s="39">
        <v>2000</v>
      </c>
      <c r="Z192" s="39">
        <v>2000</v>
      </c>
      <c r="AA192" s="39">
        <v>2000</v>
      </c>
      <c r="AB192" s="39">
        <v>2000</v>
      </c>
      <c r="AC192" s="39">
        <v>2000</v>
      </c>
      <c r="AD192" s="39">
        <v>2000</v>
      </c>
      <c r="AE192" s="39">
        <v>2000</v>
      </c>
      <c r="AF192" s="39">
        <v>2000</v>
      </c>
      <c r="AG192" s="63"/>
      <c r="AH192" s="63"/>
      <c r="AI192" s="63"/>
      <c r="AJ192" s="63"/>
      <c r="AK192" s="63"/>
      <c r="AL192" s="63"/>
      <c r="AM192" s="63"/>
      <c r="AN192" s="63"/>
      <c r="AO192" s="63"/>
      <c r="AP192" s="63"/>
      <c r="AQ192" s="63"/>
      <c r="AR192" s="63"/>
      <c r="AS192" s="63"/>
      <c r="AT192" s="63" t="s">
        <v>116</v>
      </c>
      <c r="AU192" s="30" t="s">
        <v>545</v>
      </c>
      <c r="AV192" s="63"/>
      <c r="AW192" s="63"/>
      <c r="AX192" s="63"/>
      <c r="AY192" s="63"/>
      <c r="AZ192" s="63"/>
      <c r="BA192" s="63"/>
      <c r="BB192" s="63"/>
      <c r="BC192" s="63"/>
      <c r="BD192" s="63"/>
      <c r="BE192" s="63"/>
      <c r="BF192" s="63"/>
      <c r="BG192" s="63"/>
      <c r="BH192" s="63"/>
      <c r="BI192" s="63"/>
      <c r="BJ192" s="63"/>
      <c r="BK192" s="63"/>
      <c r="BL192" s="63">
        <f t="shared" si="44"/>
        <v>5800</v>
      </c>
      <c r="BM192" s="63">
        <f t="shared" si="37"/>
        <v>5800</v>
      </c>
      <c r="BN192" s="63">
        <f t="shared" si="38"/>
        <v>5800</v>
      </c>
      <c r="BO192" s="63">
        <f t="shared" si="39"/>
        <v>5800</v>
      </c>
      <c r="BP192" s="63">
        <f t="shared" si="40"/>
        <v>5800</v>
      </c>
      <c r="BQ192" s="63">
        <f t="shared" si="41"/>
        <v>5800</v>
      </c>
      <c r="BR192" s="63">
        <f t="shared" si="42"/>
        <v>5800</v>
      </c>
      <c r="BS192" s="63">
        <f t="shared" si="43"/>
        <v>5800</v>
      </c>
    </row>
    <row r="193" spans="1:71">
      <c r="A193" s="28">
        <f t="shared" si="34"/>
        <v>192</v>
      </c>
      <c r="B193" s="30" t="s">
        <v>885</v>
      </c>
      <c r="C193" s="30" t="s">
        <v>72</v>
      </c>
      <c r="D193" s="30" t="s">
        <v>875</v>
      </c>
      <c r="E193" s="30" t="s">
        <v>810</v>
      </c>
      <c r="F193" s="30" t="s">
        <v>876</v>
      </c>
      <c r="G193" s="30" t="s">
        <v>263</v>
      </c>
      <c r="H193" s="35" t="s">
        <v>264</v>
      </c>
      <c r="I193" s="69">
        <v>2442</v>
      </c>
      <c r="J193" s="30"/>
      <c r="K193" s="30" t="s">
        <v>871</v>
      </c>
      <c r="L193" s="63"/>
      <c r="M193" s="63"/>
      <c r="N193" s="63"/>
      <c r="O193" s="63"/>
      <c r="P193" s="63"/>
      <c r="Q193" s="42">
        <v>0.36</v>
      </c>
      <c r="R193" s="47">
        <f t="shared" si="35"/>
        <v>50400</v>
      </c>
      <c r="S193" s="48">
        <v>57600</v>
      </c>
      <c r="T193" s="48">
        <f t="shared" si="36"/>
        <v>140000</v>
      </c>
      <c r="U193" s="63"/>
      <c r="V193" s="63"/>
      <c r="W193" s="63"/>
      <c r="X193" s="63"/>
      <c r="Y193" s="39">
        <v>20000</v>
      </c>
      <c r="Z193" s="39">
        <v>20000</v>
      </c>
      <c r="AA193" s="39">
        <v>20000</v>
      </c>
      <c r="AB193" s="39">
        <v>20000</v>
      </c>
      <c r="AC193" s="39">
        <v>20000</v>
      </c>
      <c r="AD193" s="39">
        <v>20000</v>
      </c>
      <c r="AE193" s="39">
        <v>20000</v>
      </c>
      <c r="AF193" s="39">
        <v>20000</v>
      </c>
      <c r="AG193" s="63"/>
      <c r="AH193" s="63"/>
      <c r="AI193" s="63"/>
      <c r="AJ193" s="63"/>
      <c r="AK193" s="63"/>
      <c r="AL193" s="63"/>
      <c r="AM193" s="63"/>
      <c r="AN193" s="63"/>
      <c r="AO193" s="63"/>
      <c r="AP193" s="63"/>
      <c r="AQ193" s="63"/>
      <c r="AR193" s="63"/>
      <c r="AS193" s="63"/>
      <c r="AT193" s="63" t="s">
        <v>116</v>
      </c>
      <c r="AU193" s="30" t="s">
        <v>81</v>
      </c>
      <c r="AV193" s="63"/>
      <c r="AW193" s="63"/>
      <c r="AX193" s="63"/>
      <c r="AY193" s="63"/>
      <c r="AZ193" s="63"/>
      <c r="BA193" s="63"/>
      <c r="BB193" s="63"/>
      <c r="BC193" s="63"/>
      <c r="BD193" s="63"/>
      <c r="BE193" s="63"/>
      <c r="BF193" s="63"/>
      <c r="BG193" s="63"/>
      <c r="BH193" s="63"/>
      <c r="BI193" s="63"/>
      <c r="BJ193" s="63"/>
      <c r="BK193" s="63"/>
      <c r="BL193" s="63">
        <f t="shared" si="44"/>
        <v>7200</v>
      </c>
      <c r="BM193" s="63">
        <f t="shared" si="37"/>
        <v>7200</v>
      </c>
      <c r="BN193" s="63">
        <f t="shared" si="38"/>
        <v>7200</v>
      </c>
      <c r="BO193" s="63">
        <f t="shared" si="39"/>
        <v>7200</v>
      </c>
      <c r="BP193" s="63">
        <f t="shared" si="40"/>
        <v>7200</v>
      </c>
      <c r="BQ193" s="63">
        <f t="shared" si="41"/>
        <v>7200</v>
      </c>
      <c r="BR193" s="63">
        <f t="shared" si="42"/>
        <v>7200</v>
      </c>
      <c r="BS193" s="63">
        <f t="shared" si="43"/>
        <v>7200</v>
      </c>
    </row>
    <row r="194" spans="1:71">
      <c r="A194" s="28">
        <f t="shared" si="34"/>
        <v>193</v>
      </c>
      <c r="B194" s="30" t="s">
        <v>885</v>
      </c>
      <c r="C194" s="30" t="s">
        <v>72</v>
      </c>
      <c r="D194" s="30" t="s">
        <v>875</v>
      </c>
      <c r="E194" s="30" t="s">
        <v>810</v>
      </c>
      <c r="F194" s="30" t="s">
        <v>876</v>
      </c>
      <c r="G194" s="30" t="s">
        <v>413</v>
      </c>
      <c r="H194" s="35" t="s">
        <v>414</v>
      </c>
      <c r="I194" s="30"/>
      <c r="J194" s="30"/>
      <c r="K194" s="30" t="s">
        <v>761</v>
      </c>
      <c r="L194" s="63"/>
      <c r="M194" s="63"/>
      <c r="N194" s="63"/>
      <c r="O194" s="63"/>
      <c r="P194" s="63"/>
      <c r="Q194" s="42">
        <v>4.2</v>
      </c>
      <c r="R194" s="47">
        <f t="shared" si="35"/>
        <v>6300</v>
      </c>
      <c r="S194" s="48">
        <v>8400</v>
      </c>
      <c r="T194" s="48">
        <f t="shared" si="36"/>
        <v>1500</v>
      </c>
      <c r="U194" s="63"/>
      <c r="V194" s="63"/>
      <c r="W194" s="63"/>
      <c r="X194" s="63"/>
      <c r="Y194" s="39">
        <v>500</v>
      </c>
      <c r="Z194" s="39">
        <v>0</v>
      </c>
      <c r="AA194" s="39">
        <v>500</v>
      </c>
      <c r="AB194" s="39">
        <v>0</v>
      </c>
      <c r="AC194" s="39">
        <v>500</v>
      </c>
      <c r="AD194" s="39">
        <v>0</v>
      </c>
      <c r="AE194" s="39">
        <v>500</v>
      </c>
      <c r="AF194" s="39">
        <v>0</v>
      </c>
      <c r="AG194" s="63"/>
      <c r="AH194" s="63"/>
      <c r="AI194" s="63"/>
      <c r="AJ194" s="63"/>
      <c r="AK194" s="63"/>
      <c r="AL194" s="63"/>
      <c r="AM194" s="63"/>
      <c r="AN194" s="63"/>
      <c r="AO194" s="63"/>
      <c r="AP194" s="63"/>
      <c r="AQ194" s="63"/>
      <c r="AR194" s="63"/>
      <c r="AS194" s="63"/>
      <c r="AT194" s="63" t="s">
        <v>116</v>
      </c>
      <c r="AU194" s="30" t="s">
        <v>545</v>
      </c>
      <c r="AV194" s="63"/>
      <c r="AW194" s="63"/>
      <c r="AX194" s="63"/>
      <c r="AY194" s="63"/>
      <c r="AZ194" s="63"/>
      <c r="BA194" s="63"/>
      <c r="BB194" s="63"/>
      <c r="BC194" s="63"/>
      <c r="BD194" s="63"/>
      <c r="BE194" s="63"/>
      <c r="BF194" s="63"/>
      <c r="BG194" s="63"/>
      <c r="BH194" s="63"/>
      <c r="BI194" s="63"/>
      <c r="BJ194" s="63"/>
      <c r="BK194" s="63"/>
      <c r="BL194" s="63">
        <f t="shared" si="44"/>
        <v>2100</v>
      </c>
      <c r="BM194" s="63">
        <f t="shared" si="37"/>
        <v>0</v>
      </c>
      <c r="BN194" s="63">
        <f t="shared" si="38"/>
        <v>2100</v>
      </c>
      <c r="BO194" s="63">
        <f t="shared" si="39"/>
        <v>0</v>
      </c>
      <c r="BP194" s="63">
        <f t="shared" si="40"/>
        <v>2100</v>
      </c>
      <c r="BQ194" s="63">
        <f t="shared" si="41"/>
        <v>0</v>
      </c>
      <c r="BR194" s="63">
        <f t="shared" si="42"/>
        <v>2100</v>
      </c>
      <c r="BS194" s="63">
        <f t="shared" si="43"/>
        <v>0</v>
      </c>
    </row>
    <row r="195" spans="1:71">
      <c r="A195" s="28">
        <f t="shared" ref="A195:A258" si="45">ROW()-1</f>
        <v>194</v>
      </c>
      <c r="B195" s="30" t="s">
        <v>886</v>
      </c>
      <c r="C195" s="30" t="s">
        <v>72</v>
      </c>
      <c r="D195" s="30" t="s">
        <v>875</v>
      </c>
      <c r="E195" s="30" t="s">
        <v>810</v>
      </c>
      <c r="F195" s="30" t="s">
        <v>876</v>
      </c>
      <c r="G195" s="30" t="s">
        <v>391</v>
      </c>
      <c r="H195" s="35" t="s">
        <v>392</v>
      </c>
      <c r="I195" s="30"/>
      <c r="J195" s="30"/>
      <c r="K195" s="30" t="s">
        <v>887</v>
      </c>
      <c r="L195" s="63"/>
      <c r="M195" s="63"/>
      <c r="N195" s="63"/>
      <c r="O195" s="63"/>
      <c r="P195" s="63"/>
      <c r="Q195" s="42">
        <v>2.5</v>
      </c>
      <c r="R195" s="47">
        <f t="shared" ref="R195:R258" si="46">Q195*T195</f>
        <v>350000</v>
      </c>
      <c r="S195" s="48">
        <v>400000</v>
      </c>
      <c r="T195" s="48">
        <f t="shared" ref="T195:T258" si="47">SUM(Z195:AF195)</f>
        <v>140000</v>
      </c>
      <c r="U195" s="63"/>
      <c r="V195" s="63"/>
      <c r="W195" s="63"/>
      <c r="X195" s="63"/>
      <c r="Y195" s="39">
        <v>20000</v>
      </c>
      <c r="Z195" s="39">
        <v>20000</v>
      </c>
      <c r="AA195" s="39">
        <v>20000</v>
      </c>
      <c r="AB195" s="39">
        <v>20000</v>
      </c>
      <c r="AC195" s="39">
        <v>20000</v>
      </c>
      <c r="AD195" s="39">
        <v>20000</v>
      </c>
      <c r="AE195" s="39">
        <v>20000</v>
      </c>
      <c r="AF195" s="39">
        <v>20000</v>
      </c>
      <c r="AG195" s="63"/>
      <c r="AH195" s="63"/>
      <c r="AI195" s="63"/>
      <c r="AJ195" s="63"/>
      <c r="AK195" s="63"/>
      <c r="AL195" s="63"/>
      <c r="AM195" s="63"/>
      <c r="AN195" s="63"/>
      <c r="AO195" s="63"/>
      <c r="AP195" s="63"/>
      <c r="AQ195" s="63"/>
      <c r="AR195" s="63"/>
      <c r="AS195" s="63"/>
      <c r="AT195" s="63" t="s">
        <v>116</v>
      </c>
      <c r="AU195" s="30" t="s">
        <v>545</v>
      </c>
      <c r="AV195" s="63"/>
      <c r="AW195" s="63"/>
      <c r="AX195" s="63"/>
      <c r="AY195" s="63"/>
      <c r="AZ195" s="63"/>
      <c r="BA195" s="63"/>
      <c r="BB195" s="63"/>
      <c r="BC195" s="63"/>
      <c r="BD195" s="63"/>
      <c r="BE195" s="63"/>
      <c r="BF195" s="63"/>
      <c r="BG195" s="63"/>
      <c r="BH195" s="63"/>
      <c r="BI195" s="63"/>
      <c r="BJ195" s="63"/>
      <c r="BK195" s="63"/>
      <c r="BL195" s="63">
        <f t="shared" si="44"/>
        <v>50000</v>
      </c>
      <c r="BM195" s="63">
        <f t="shared" ref="BM195:BM258" si="48">$Q195*Z195</f>
        <v>50000</v>
      </c>
      <c r="BN195" s="63">
        <f t="shared" ref="BN195:BN258" si="49">$Q195*AA195</f>
        <v>50000</v>
      </c>
      <c r="BO195" s="63">
        <f t="shared" ref="BO195:BO258" si="50">$Q195*AB195</f>
        <v>50000</v>
      </c>
      <c r="BP195" s="63">
        <f t="shared" ref="BP195:BP258" si="51">$Q195*AC195</f>
        <v>50000</v>
      </c>
      <c r="BQ195" s="63">
        <f t="shared" ref="BQ195:BQ258" si="52">$Q195*AD195</f>
        <v>50000</v>
      </c>
      <c r="BR195" s="63">
        <f t="shared" ref="BR195:BR258" si="53">$Q195*AE195</f>
        <v>50000</v>
      </c>
      <c r="BS195" s="63">
        <f t="shared" ref="BS195:BS258" si="54">$Q195*AF195</f>
        <v>50000</v>
      </c>
    </row>
    <row r="196" spans="1:71">
      <c r="A196" s="28">
        <f t="shared" si="45"/>
        <v>195</v>
      </c>
      <c r="B196" s="30" t="s">
        <v>888</v>
      </c>
      <c r="C196" s="30" t="s">
        <v>72</v>
      </c>
      <c r="D196" s="30" t="s">
        <v>875</v>
      </c>
      <c r="E196" s="30" t="s">
        <v>810</v>
      </c>
      <c r="F196" s="30" t="s">
        <v>876</v>
      </c>
      <c r="G196" s="30" t="s">
        <v>391</v>
      </c>
      <c r="H196" s="35" t="s">
        <v>392</v>
      </c>
      <c r="I196" s="30"/>
      <c r="J196" s="30"/>
      <c r="K196" s="30" t="s">
        <v>887</v>
      </c>
      <c r="L196" s="63"/>
      <c r="M196" s="63"/>
      <c r="N196" s="63"/>
      <c r="O196" s="63"/>
      <c r="P196" s="63"/>
      <c r="Q196" s="42">
        <v>2.5</v>
      </c>
      <c r="R196" s="47">
        <f t="shared" si="46"/>
        <v>210000</v>
      </c>
      <c r="S196" s="48">
        <v>260000</v>
      </c>
      <c r="T196" s="48">
        <f t="shared" si="47"/>
        <v>84000</v>
      </c>
      <c r="U196" s="63"/>
      <c r="V196" s="63"/>
      <c r="W196" s="63"/>
      <c r="X196" s="63"/>
      <c r="Y196" s="39">
        <v>20000</v>
      </c>
      <c r="Z196" s="39">
        <v>12000</v>
      </c>
      <c r="AA196" s="39">
        <v>12000</v>
      </c>
      <c r="AB196" s="39">
        <v>12000</v>
      </c>
      <c r="AC196" s="39">
        <v>12000</v>
      </c>
      <c r="AD196" s="39">
        <v>12000</v>
      </c>
      <c r="AE196" s="39">
        <v>12000</v>
      </c>
      <c r="AF196" s="39">
        <v>12000</v>
      </c>
      <c r="AG196" s="63"/>
      <c r="AH196" s="63"/>
      <c r="AI196" s="63"/>
      <c r="AJ196" s="63"/>
      <c r="AK196" s="63"/>
      <c r="AL196" s="63"/>
      <c r="AM196" s="63"/>
      <c r="AN196" s="63"/>
      <c r="AO196" s="63"/>
      <c r="AP196" s="63"/>
      <c r="AQ196" s="63"/>
      <c r="AR196" s="63"/>
      <c r="AS196" s="63"/>
      <c r="AT196" s="63" t="s">
        <v>116</v>
      </c>
      <c r="AU196" s="30" t="s">
        <v>545</v>
      </c>
      <c r="AV196" s="63"/>
      <c r="AW196" s="63"/>
      <c r="AX196" s="63"/>
      <c r="AY196" s="63"/>
      <c r="AZ196" s="63"/>
      <c r="BA196" s="63"/>
      <c r="BB196" s="63"/>
      <c r="BC196" s="63"/>
      <c r="BD196" s="63"/>
      <c r="BE196" s="63"/>
      <c r="BF196" s="63"/>
      <c r="BG196" s="63"/>
      <c r="BH196" s="63"/>
      <c r="BI196" s="63"/>
      <c r="BJ196" s="63"/>
      <c r="BK196" s="63"/>
      <c r="BL196" s="63">
        <f t="shared" si="44"/>
        <v>50000</v>
      </c>
      <c r="BM196" s="63">
        <f t="shared" si="48"/>
        <v>30000</v>
      </c>
      <c r="BN196" s="63">
        <f t="shared" si="49"/>
        <v>30000</v>
      </c>
      <c r="BO196" s="63">
        <f t="shared" si="50"/>
        <v>30000</v>
      </c>
      <c r="BP196" s="63">
        <f t="shared" si="51"/>
        <v>30000</v>
      </c>
      <c r="BQ196" s="63">
        <f t="shared" si="52"/>
        <v>30000</v>
      </c>
      <c r="BR196" s="63">
        <f t="shared" si="53"/>
        <v>30000</v>
      </c>
      <c r="BS196" s="63">
        <f t="shared" si="54"/>
        <v>30000</v>
      </c>
    </row>
    <row r="197" spans="1:71">
      <c r="A197" s="28">
        <f t="shared" si="45"/>
        <v>196</v>
      </c>
      <c r="B197" s="30" t="s">
        <v>889</v>
      </c>
      <c r="C197" s="30" t="s">
        <v>72</v>
      </c>
      <c r="D197" s="30" t="s">
        <v>875</v>
      </c>
      <c r="E197" s="30" t="s">
        <v>810</v>
      </c>
      <c r="F197" s="30" t="s">
        <v>876</v>
      </c>
      <c r="G197" s="30" t="s">
        <v>393</v>
      </c>
      <c r="H197" s="35" t="s">
        <v>394</v>
      </c>
      <c r="I197" s="30"/>
      <c r="J197" s="30"/>
      <c r="K197" s="30" t="s">
        <v>890</v>
      </c>
      <c r="L197" s="63"/>
      <c r="M197" s="63"/>
      <c r="N197" s="63"/>
      <c r="O197" s="63"/>
      <c r="P197" s="63"/>
      <c r="Q197" s="42">
        <v>2.9</v>
      </c>
      <c r="R197" s="47">
        <f t="shared" si="46"/>
        <v>81200</v>
      </c>
      <c r="S197" s="48">
        <v>92800</v>
      </c>
      <c r="T197" s="48">
        <f t="shared" si="47"/>
        <v>28000</v>
      </c>
      <c r="U197" s="63"/>
      <c r="V197" s="63"/>
      <c r="W197" s="63"/>
      <c r="X197" s="63"/>
      <c r="Y197" s="39">
        <v>4000</v>
      </c>
      <c r="Z197" s="39">
        <v>4000</v>
      </c>
      <c r="AA197" s="39">
        <v>4000</v>
      </c>
      <c r="AB197" s="39">
        <v>4000</v>
      </c>
      <c r="AC197" s="39">
        <v>4000</v>
      </c>
      <c r="AD197" s="39">
        <v>4000</v>
      </c>
      <c r="AE197" s="39">
        <v>4000</v>
      </c>
      <c r="AF197" s="39">
        <v>4000</v>
      </c>
      <c r="AG197" s="63"/>
      <c r="AH197" s="63"/>
      <c r="AI197" s="63"/>
      <c r="AJ197" s="63"/>
      <c r="AK197" s="63"/>
      <c r="AL197" s="63"/>
      <c r="AM197" s="63"/>
      <c r="AN197" s="63"/>
      <c r="AO197" s="63"/>
      <c r="AP197" s="63"/>
      <c r="AQ197" s="63"/>
      <c r="AR197" s="63"/>
      <c r="AS197" s="63"/>
      <c r="AT197" s="63" t="s">
        <v>116</v>
      </c>
      <c r="AU197" s="30" t="s">
        <v>545</v>
      </c>
      <c r="AV197" s="63"/>
      <c r="AW197" s="63"/>
      <c r="AX197" s="63"/>
      <c r="AY197" s="63"/>
      <c r="AZ197" s="63"/>
      <c r="BA197" s="63"/>
      <c r="BB197" s="63"/>
      <c r="BC197" s="63"/>
      <c r="BD197" s="63"/>
      <c r="BE197" s="63"/>
      <c r="BF197" s="63"/>
      <c r="BG197" s="63"/>
      <c r="BH197" s="63"/>
      <c r="BI197" s="63"/>
      <c r="BJ197" s="63"/>
      <c r="BK197" s="63"/>
      <c r="BL197" s="63">
        <f t="shared" si="44"/>
        <v>11600</v>
      </c>
      <c r="BM197" s="63">
        <f t="shared" si="48"/>
        <v>11600</v>
      </c>
      <c r="BN197" s="63">
        <f t="shared" si="49"/>
        <v>11600</v>
      </c>
      <c r="BO197" s="63">
        <f t="shared" si="50"/>
        <v>11600</v>
      </c>
      <c r="BP197" s="63">
        <f t="shared" si="51"/>
        <v>11600</v>
      </c>
      <c r="BQ197" s="63">
        <f t="shared" si="52"/>
        <v>11600</v>
      </c>
      <c r="BR197" s="63">
        <f t="shared" si="53"/>
        <v>11600</v>
      </c>
      <c r="BS197" s="63">
        <f t="shared" si="54"/>
        <v>11600</v>
      </c>
    </row>
    <row r="198" spans="1:71">
      <c r="A198" s="28">
        <f t="shared" si="45"/>
        <v>197</v>
      </c>
      <c r="B198" s="30" t="s">
        <v>891</v>
      </c>
      <c r="C198" s="30" t="s">
        <v>72</v>
      </c>
      <c r="D198" s="30" t="s">
        <v>875</v>
      </c>
      <c r="E198" s="30" t="s">
        <v>810</v>
      </c>
      <c r="F198" s="30" t="s">
        <v>876</v>
      </c>
      <c r="G198" s="30" t="s">
        <v>441</v>
      </c>
      <c r="H198" s="35" t="s">
        <v>442</v>
      </c>
      <c r="I198" s="30"/>
      <c r="J198" s="30"/>
      <c r="K198" s="30" t="s">
        <v>745</v>
      </c>
      <c r="L198" s="63"/>
      <c r="M198" s="63"/>
      <c r="N198" s="63"/>
      <c r="O198" s="63"/>
      <c r="P198" s="63"/>
      <c r="Q198" s="42">
        <v>2.3</v>
      </c>
      <c r="R198" s="47">
        <f t="shared" si="46"/>
        <v>24150</v>
      </c>
      <c r="S198" s="48">
        <v>27600</v>
      </c>
      <c r="T198" s="48">
        <f t="shared" si="47"/>
        <v>10500</v>
      </c>
      <c r="U198" s="63"/>
      <c r="V198" s="63"/>
      <c r="W198" s="63"/>
      <c r="X198" s="63"/>
      <c r="Y198" s="39">
        <v>1500</v>
      </c>
      <c r="Z198" s="39">
        <v>1500</v>
      </c>
      <c r="AA198" s="39">
        <v>1500</v>
      </c>
      <c r="AB198" s="39">
        <v>1500</v>
      </c>
      <c r="AC198" s="39">
        <v>1500</v>
      </c>
      <c r="AD198" s="39">
        <v>1500</v>
      </c>
      <c r="AE198" s="39">
        <v>1500</v>
      </c>
      <c r="AF198" s="39">
        <v>1500</v>
      </c>
      <c r="AG198" s="63"/>
      <c r="AH198" s="63"/>
      <c r="AI198" s="63"/>
      <c r="AJ198" s="63"/>
      <c r="AK198" s="63"/>
      <c r="AL198" s="63"/>
      <c r="AM198" s="63"/>
      <c r="AN198" s="63"/>
      <c r="AO198" s="63"/>
      <c r="AP198" s="63"/>
      <c r="AQ198" s="63"/>
      <c r="AR198" s="63"/>
      <c r="AS198" s="63"/>
      <c r="AT198" s="63" t="s">
        <v>116</v>
      </c>
      <c r="AU198" s="30" t="s">
        <v>688</v>
      </c>
      <c r="AV198" s="63"/>
      <c r="AW198" s="63"/>
      <c r="AX198" s="63"/>
      <c r="AY198" s="63"/>
      <c r="AZ198" s="63"/>
      <c r="BA198" s="63"/>
      <c r="BB198" s="63"/>
      <c r="BC198" s="63"/>
      <c r="BD198" s="63"/>
      <c r="BE198" s="63"/>
      <c r="BF198" s="63"/>
      <c r="BG198" s="63"/>
      <c r="BH198" s="63"/>
      <c r="BI198" s="63"/>
      <c r="BJ198" s="63"/>
      <c r="BK198" s="63"/>
      <c r="BL198" s="63">
        <f t="shared" si="44"/>
        <v>3450</v>
      </c>
      <c r="BM198" s="63">
        <f t="shared" si="48"/>
        <v>3450</v>
      </c>
      <c r="BN198" s="63">
        <f t="shared" si="49"/>
        <v>3450</v>
      </c>
      <c r="BO198" s="63">
        <f t="shared" si="50"/>
        <v>3450</v>
      </c>
      <c r="BP198" s="63">
        <f t="shared" si="51"/>
        <v>3450</v>
      </c>
      <c r="BQ198" s="63">
        <f t="shared" si="52"/>
        <v>3450</v>
      </c>
      <c r="BR198" s="63">
        <f t="shared" si="53"/>
        <v>3450</v>
      </c>
      <c r="BS198" s="63">
        <f t="shared" si="54"/>
        <v>3450</v>
      </c>
    </row>
    <row r="199" spans="1:71">
      <c r="A199" s="28">
        <f t="shared" si="45"/>
        <v>198</v>
      </c>
      <c r="B199" s="30" t="s">
        <v>892</v>
      </c>
      <c r="C199" s="30" t="s">
        <v>72</v>
      </c>
      <c r="D199" s="30" t="s">
        <v>875</v>
      </c>
      <c r="E199" s="30" t="s">
        <v>810</v>
      </c>
      <c r="F199" s="30" t="s">
        <v>876</v>
      </c>
      <c r="G199" s="30" t="s">
        <v>441</v>
      </c>
      <c r="H199" s="35" t="s">
        <v>442</v>
      </c>
      <c r="I199" s="30"/>
      <c r="J199" s="30"/>
      <c r="K199" s="30" t="s">
        <v>745</v>
      </c>
      <c r="L199" s="63"/>
      <c r="M199" s="63"/>
      <c r="N199" s="63"/>
      <c r="O199" s="63"/>
      <c r="P199" s="63"/>
      <c r="Q199" s="42">
        <v>2.3</v>
      </c>
      <c r="R199" s="47">
        <f t="shared" si="46"/>
        <v>48300</v>
      </c>
      <c r="S199" s="48">
        <v>55200</v>
      </c>
      <c r="T199" s="48">
        <f t="shared" si="47"/>
        <v>21000</v>
      </c>
      <c r="U199" s="63"/>
      <c r="V199" s="63"/>
      <c r="W199" s="63"/>
      <c r="X199" s="63"/>
      <c r="Y199" s="39">
        <v>3000</v>
      </c>
      <c r="Z199" s="39">
        <v>3000</v>
      </c>
      <c r="AA199" s="39">
        <v>3000</v>
      </c>
      <c r="AB199" s="39">
        <v>3000</v>
      </c>
      <c r="AC199" s="39">
        <v>3000</v>
      </c>
      <c r="AD199" s="39">
        <v>3000</v>
      </c>
      <c r="AE199" s="39">
        <v>3000</v>
      </c>
      <c r="AF199" s="39">
        <v>3000</v>
      </c>
      <c r="AG199" s="63"/>
      <c r="AH199" s="63"/>
      <c r="AI199" s="63"/>
      <c r="AJ199" s="63"/>
      <c r="AK199" s="63"/>
      <c r="AL199" s="63"/>
      <c r="AM199" s="63"/>
      <c r="AN199" s="63"/>
      <c r="AO199" s="63"/>
      <c r="AP199" s="63"/>
      <c r="AQ199" s="63"/>
      <c r="AR199" s="63"/>
      <c r="AS199" s="63"/>
      <c r="AT199" s="63" t="s">
        <v>116</v>
      </c>
      <c r="AU199" s="30" t="s">
        <v>688</v>
      </c>
      <c r="AV199" s="63"/>
      <c r="AW199" s="63"/>
      <c r="AX199" s="63"/>
      <c r="AY199" s="63"/>
      <c r="AZ199" s="63"/>
      <c r="BA199" s="63"/>
      <c r="BB199" s="63"/>
      <c r="BC199" s="63"/>
      <c r="BD199" s="63"/>
      <c r="BE199" s="63"/>
      <c r="BF199" s="63"/>
      <c r="BG199" s="63"/>
      <c r="BH199" s="63"/>
      <c r="BI199" s="63"/>
      <c r="BJ199" s="63"/>
      <c r="BK199" s="63"/>
      <c r="BL199" s="63">
        <f t="shared" si="44"/>
        <v>6900</v>
      </c>
      <c r="BM199" s="63">
        <f t="shared" si="48"/>
        <v>6900</v>
      </c>
      <c r="BN199" s="63">
        <f t="shared" si="49"/>
        <v>6900</v>
      </c>
      <c r="BO199" s="63">
        <f t="shared" si="50"/>
        <v>6900</v>
      </c>
      <c r="BP199" s="63">
        <f t="shared" si="51"/>
        <v>6900</v>
      </c>
      <c r="BQ199" s="63">
        <f t="shared" si="52"/>
        <v>6900</v>
      </c>
      <c r="BR199" s="63">
        <f t="shared" si="53"/>
        <v>6900</v>
      </c>
      <c r="BS199" s="63">
        <f t="shared" si="54"/>
        <v>6900</v>
      </c>
    </row>
    <row r="200" spans="1:71">
      <c r="A200" s="28">
        <f t="shared" si="45"/>
        <v>199</v>
      </c>
      <c r="B200" s="30" t="s">
        <v>892</v>
      </c>
      <c r="C200" s="30" t="s">
        <v>72</v>
      </c>
      <c r="D200" s="30" t="s">
        <v>875</v>
      </c>
      <c r="E200" s="30" t="s">
        <v>810</v>
      </c>
      <c r="F200" s="30" t="s">
        <v>876</v>
      </c>
      <c r="G200" s="32" t="s">
        <v>433</v>
      </c>
      <c r="H200" s="35" t="s">
        <v>434</v>
      </c>
      <c r="I200" s="30"/>
      <c r="J200" s="30"/>
      <c r="K200" s="30" t="s">
        <v>893</v>
      </c>
      <c r="L200" s="63"/>
      <c r="M200" s="63"/>
      <c r="N200" s="63"/>
      <c r="O200" s="63"/>
      <c r="P200" s="63"/>
      <c r="Q200" s="42">
        <v>1.6</v>
      </c>
      <c r="R200" s="47">
        <f t="shared" si="46"/>
        <v>22400</v>
      </c>
      <c r="S200" s="48">
        <v>25600</v>
      </c>
      <c r="T200" s="48">
        <f t="shared" si="47"/>
        <v>14000</v>
      </c>
      <c r="U200" s="63"/>
      <c r="V200" s="63"/>
      <c r="W200" s="63"/>
      <c r="X200" s="63"/>
      <c r="Y200" s="39">
        <v>2000</v>
      </c>
      <c r="Z200" s="39">
        <v>2000</v>
      </c>
      <c r="AA200" s="39">
        <v>2000</v>
      </c>
      <c r="AB200" s="39">
        <v>2000</v>
      </c>
      <c r="AC200" s="39">
        <v>2000</v>
      </c>
      <c r="AD200" s="39">
        <v>2000</v>
      </c>
      <c r="AE200" s="39">
        <v>2000</v>
      </c>
      <c r="AF200" s="39">
        <v>2000</v>
      </c>
      <c r="AG200" s="63"/>
      <c r="AH200" s="63"/>
      <c r="AI200" s="63"/>
      <c r="AJ200" s="63"/>
      <c r="AK200" s="63"/>
      <c r="AL200" s="63"/>
      <c r="AM200" s="63"/>
      <c r="AN200" s="63"/>
      <c r="AO200" s="63"/>
      <c r="AP200" s="63"/>
      <c r="AQ200" s="63"/>
      <c r="AR200" s="63"/>
      <c r="AS200" s="63"/>
      <c r="AT200" s="63" t="s">
        <v>116</v>
      </c>
      <c r="AU200" s="30" t="s">
        <v>688</v>
      </c>
      <c r="AV200" s="63"/>
      <c r="AW200" s="63"/>
      <c r="AX200" s="63"/>
      <c r="AY200" s="63"/>
      <c r="AZ200" s="63"/>
      <c r="BA200" s="63"/>
      <c r="BB200" s="63"/>
      <c r="BC200" s="63"/>
      <c r="BD200" s="63"/>
      <c r="BE200" s="63"/>
      <c r="BF200" s="63"/>
      <c r="BG200" s="63"/>
      <c r="BH200" s="63"/>
      <c r="BI200" s="63"/>
      <c r="BJ200" s="63"/>
      <c r="BK200" s="63"/>
      <c r="BL200" s="63">
        <f t="shared" si="44"/>
        <v>3200</v>
      </c>
      <c r="BM200" s="63">
        <f t="shared" si="48"/>
        <v>3200</v>
      </c>
      <c r="BN200" s="63">
        <f t="shared" si="49"/>
        <v>3200</v>
      </c>
      <c r="BO200" s="63">
        <f t="shared" si="50"/>
        <v>3200</v>
      </c>
      <c r="BP200" s="63">
        <f t="shared" si="51"/>
        <v>3200</v>
      </c>
      <c r="BQ200" s="63">
        <f t="shared" si="52"/>
        <v>3200</v>
      </c>
      <c r="BR200" s="63">
        <f t="shared" si="53"/>
        <v>3200</v>
      </c>
      <c r="BS200" s="63">
        <f t="shared" si="54"/>
        <v>3200</v>
      </c>
    </row>
    <row r="201" spans="1:71">
      <c r="A201" s="28">
        <f t="shared" si="45"/>
        <v>200</v>
      </c>
      <c r="B201" s="30" t="s">
        <v>894</v>
      </c>
      <c r="C201" s="30" t="s">
        <v>72</v>
      </c>
      <c r="D201" s="30" t="s">
        <v>875</v>
      </c>
      <c r="E201" s="30" t="s">
        <v>810</v>
      </c>
      <c r="F201" s="30" t="s">
        <v>876</v>
      </c>
      <c r="G201" s="30" t="s">
        <v>423</v>
      </c>
      <c r="H201" s="35" t="s">
        <v>426</v>
      </c>
      <c r="I201" s="30"/>
      <c r="J201" s="30"/>
      <c r="K201" s="30" t="s">
        <v>735</v>
      </c>
      <c r="L201" s="63"/>
      <c r="M201" s="63"/>
      <c r="N201" s="63"/>
      <c r="O201" s="63"/>
      <c r="P201" s="63"/>
      <c r="Q201" s="42">
        <v>1.8</v>
      </c>
      <c r="R201" s="47">
        <f t="shared" si="46"/>
        <v>25200</v>
      </c>
      <c r="S201" s="48">
        <v>28800</v>
      </c>
      <c r="T201" s="48">
        <f t="shared" si="47"/>
        <v>14000</v>
      </c>
      <c r="U201" s="63"/>
      <c r="V201" s="63"/>
      <c r="W201" s="63"/>
      <c r="X201" s="63"/>
      <c r="Y201" s="39">
        <v>2000</v>
      </c>
      <c r="Z201" s="39">
        <v>2000</v>
      </c>
      <c r="AA201" s="39">
        <v>2000</v>
      </c>
      <c r="AB201" s="39">
        <v>2000</v>
      </c>
      <c r="AC201" s="39">
        <v>2000</v>
      </c>
      <c r="AD201" s="39">
        <v>2000</v>
      </c>
      <c r="AE201" s="39">
        <v>2000</v>
      </c>
      <c r="AF201" s="39">
        <v>2000</v>
      </c>
      <c r="AG201" s="63"/>
      <c r="AH201" s="63"/>
      <c r="AI201" s="63"/>
      <c r="AJ201" s="63"/>
      <c r="AK201" s="63"/>
      <c r="AL201" s="63"/>
      <c r="AM201" s="63"/>
      <c r="AN201" s="63"/>
      <c r="AO201" s="63"/>
      <c r="AP201" s="63"/>
      <c r="AQ201" s="63"/>
      <c r="AR201" s="63"/>
      <c r="AS201" s="63"/>
      <c r="AT201" s="63" t="s">
        <v>116</v>
      </c>
      <c r="AU201" s="30" t="s">
        <v>688</v>
      </c>
      <c r="AV201" s="63"/>
      <c r="AW201" s="63"/>
      <c r="AX201" s="63"/>
      <c r="AY201" s="63"/>
      <c r="AZ201" s="63"/>
      <c r="BA201" s="63"/>
      <c r="BB201" s="63"/>
      <c r="BC201" s="63"/>
      <c r="BD201" s="63"/>
      <c r="BE201" s="63"/>
      <c r="BF201" s="63"/>
      <c r="BG201" s="63"/>
      <c r="BH201" s="63"/>
      <c r="BI201" s="63"/>
      <c r="BJ201" s="63"/>
      <c r="BK201" s="63"/>
      <c r="BL201" s="63">
        <f t="shared" si="44"/>
        <v>3600</v>
      </c>
      <c r="BM201" s="63">
        <f t="shared" si="48"/>
        <v>3600</v>
      </c>
      <c r="BN201" s="63">
        <f t="shared" si="49"/>
        <v>3600</v>
      </c>
      <c r="BO201" s="63">
        <f t="shared" si="50"/>
        <v>3600</v>
      </c>
      <c r="BP201" s="63">
        <f t="shared" si="51"/>
        <v>3600</v>
      </c>
      <c r="BQ201" s="63">
        <f t="shared" si="52"/>
        <v>3600</v>
      </c>
      <c r="BR201" s="63">
        <f t="shared" si="53"/>
        <v>3600</v>
      </c>
      <c r="BS201" s="63">
        <f t="shared" si="54"/>
        <v>3600</v>
      </c>
    </row>
    <row r="202" spans="1:71">
      <c r="A202" s="28">
        <f t="shared" si="45"/>
        <v>201</v>
      </c>
      <c r="B202" s="30" t="s">
        <v>895</v>
      </c>
      <c r="C202" s="30" t="s">
        <v>72</v>
      </c>
      <c r="D202" s="30" t="s">
        <v>875</v>
      </c>
      <c r="E202" s="30" t="s">
        <v>810</v>
      </c>
      <c r="F202" s="30" t="s">
        <v>876</v>
      </c>
      <c r="G202" s="30" t="s">
        <v>393</v>
      </c>
      <c r="H202" s="35" t="s">
        <v>394</v>
      </c>
      <c r="I202" s="30"/>
      <c r="J202" s="30"/>
      <c r="K202" s="30" t="s">
        <v>896</v>
      </c>
      <c r="L202" s="63"/>
      <c r="M202" s="63"/>
      <c r="N202" s="63"/>
      <c r="O202" s="63"/>
      <c r="P202" s="63"/>
      <c r="Q202" s="42">
        <v>2.9</v>
      </c>
      <c r="R202" s="47">
        <f t="shared" si="46"/>
        <v>60900</v>
      </c>
      <c r="S202" s="48">
        <v>69600</v>
      </c>
      <c r="T202" s="48">
        <f t="shared" si="47"/>
        <v>21000</v>
      </c>
      <c r="U202" s="63"/>
      <c r="V202" s="63"/>
      <c r="W202" s="63"/>
      <c r="X202" s="63"/>
      <c r="Y202" s="39">
        <v>3000</v>
      </c>
      <c r="Z202" s="39">
        <v>3000</v>
      </c>
      <c r="AA202" s="39">
        <v>3000</v>
      </c>
      <c r="AB202" s="39">
        <v>3000</v>
      </c>
      <c r="AC202" s="39">
        <v>3000</v>
      </c>
      <c r="AD202" s="39">
        <v>3000</v>
      </c>
      <c r="AE202" s="39">
        <v>3000</v>
      </c>
      <c r="AF202" s="39">
        <v>3000</v>
      </c>
      <c r="AG202" s="63"/>
      <c r="AH202" s="63"/>
      <c r="AI202" s="63"/>
      <c r="AJ202" s="63"/>
      <c r="AK202" s="63"/>
      <c r="AL202" s="63"/>
      <c r="AM202" s="63"/>
      <c r="AN202" s="63"/>
      <c r="AO202" s="63"/>
      <c r="AP202" s="63"/>
      <c r="AQ202" s="63"/>
      <c r="AR202" s="63"/>
      <c r="AS202" s="63"/>
      <c r="AT202" s="63" t="s">
        <v>116</v>
      </c>
      <c r="AU202" s="30" t="s">
        <v>545</v>
      </c>
      <c r="AV202" s="63"/>
      <c r="AW202" s="63"/>
      <c r="AX202" s="63"/>
      <c r="AY202" s="63"/>
      <c r="AZ202" s="63"/>
      <c r="BA202" s="63"/>
      <c r="BB202" s="63"/>
      <c r="BC202" s="63"/>
      <c r="BD202" s="63"/>
      <c r="BE202" s="63"/>
      <c r="BF202" s="63"/>
      <c r="BG202" s="63"/>
      <c r="BH202" s="63"/>
      <c r="BI202" s="63"/>
      <c r="BJ202" s="63"/>
      <c r="BK202" s="63"/>
      <c r="BL202" s="63">
        <f t="shared" si="44"/>
        <v>8700</v>
      </c>
      <c r="BM202" s="63">
        <f t="shared" si="48"/>
        <v>8700</v>
      </c>
      <c r="BN202" s="63">
        <f t="shared" si="49"/>
        <v>8700</v>
      </c>
      <c r="BO202" s="63">
        <f t="shared" si="50"/>
        <v>8700</v>
      </c>
      <c r="BP202" s="63">
        <f t="shared" si="51"/>
        <v>8700</v>
      </c>
      <c r="BQ202" s="63">
        <f t="shared" si="52"/>
        <v>8700</v>
      </c>
      <c r="BR202" s="63">
        <f t="shared" si="53"/>
        <v>8700</v>
      </c>
      <c r="BS202" s="63">
        <f t="shared" si="54"/>
        <v>8700</v>
      </c>
    </row>
    <row r="203" spans="1:71">
      <c r="A203" s="28">
        <f t="shared" si="45"/>
        <v>202</v>
      </c>
      <c r="B203" s="30" t="s">
        <v>897</v>
      </c>
      <c r="C203" s="30" t="s">
        <v>72</v>
      </c>
      <c r="D203" s="30" t="s">
        <v>749</v>
      </c>
      <c r="E203" s="30" t="s">
        <v>810</v>
      </c>
      <c r="F203" s="30" t="s">
        <v>750</v>
      </c>
      <c r="G203" s="30" t="s">
        <v>165</v>
      </c>
      <c r="H203" s="35" t="s">
        <v>166</v>
      </c>
      <c r="I203" s="30"/>
      <c r="J203" s="30"/>
      <c r="K203" s="30" t="s">
        <v>832</v>
      </c>
      <c r="L203" s="63"/>
      <c r="M203" s="63"/>
      <c r="N203" s="63"/>
      <c r="O203" s="63"/>
      <c r="P203" s="63"/>
      <c r="Q203" s="42">
        <v>0.25</v>
      </c>
      <c r="R203" s="47">
        <f t="shared" si="46"/>
        <v>18750</v>
      </c>
      <c r="S203" s="48">
        <v>18750</v>
      </c>
      <c r="T203" s="48">
        <f t="shared" si="47"/>
        <v>75000</v>
      </c>
      <c r="U203" s="63"/>
      <c r="V203" s="63"/>
      <c r="W203" s="63"/>
      <c r="X203" s="63"/>
      <c r="Y203" s="39">
        <v>0</v>
      </c>
      <c r="Z203" s="39">
        <v>25000</v>
      </c>
      <c r="AA203" s="39">
        <v>0</v>
      </c>
      <c r="AB203" s="39">
        <v>0</v>
      </c>
      <c r="AC203" s="39">
        <v>25000</v>
      </c>
      <c r="AD203" s="39">
        <v>0</v>
      </c>
      <c r="AE203" s="39">
        <v>0</v>
      </c>
      <c r="AF203" s="39">
        <v>25000</v>
      </c>
      <c r="AG203" s="63"/>
      <c r="AH203" s="63"/>
      <c r="AI203" s="63"/>
      <c r="AJ203" s="63"/>
      <c r="AK203" s="63"/>
      <c r="AL203" s="63"/>
      <c r="AM203" s="63"/>
      <c r="AN203" s="63"/>
      <c r="AO203" s="63"/>
      <c r="AP203" s="63"/>
      <c r="AQ203" s="63"/>
      <c r="AR203" s="63"/>
      <c r="AS203" s="63"/>
      <c r="AT203" s="63" t="s">
        <v>116</v>
      </c>
      <c r="AU203" s="30" t="s">
        <v>81</v>
      </c>
      <c r="AV203" s="63"/>
      <c r="AW203" s="63"/>
      <c r="AX203" s="63"/>
      <c r="AY203" s="63"/>
      <c r="AZ203" s="63"/>
      <c r="BA203" s="63"/>
      <c r="BB203" s="63"/>
      <c r="BC203" s="63"/>
      <c r="BD203" s="63"/>
      <c r="BE203" s="63"/>
      <c r="BF203" s="63"/>
      <c r="BG203" s="63"/>
      <c r="BH203" s="63"/>
      <c r="BI203" s="63"/>
      <c r="BJ203" s="63"/>
      <c r="BK203" s="63"/>
      <c r="BL203" s="63">
        <f t="shared" si="44"/>
        <v>0</v>
      </c>
      <c r="BM203" s="63">
        <f t="shared" si="48"/>
        <v>6250</v>
      </c>
      <c r="BN203" s="63">
        <f t="shared" si="49"/>
        <v>0</v>
      </c>
      <c r="BO203" s="63">
        <f t="shared" si="50"/>
        <v>0</v>
      </c>
      <c r="BP203" s="63">
        <f t="shared" si="51"/>
        <v>6250</v>
      </c>
      <c r="BQ203" s="63">
        <f t="shared" si="52"/>
        <v>0</v>
      </c>
      <c r="BR203" s="63">
        <f t="shared" si="53"/>
        <v>0</v>
      </c>
      <c r="BS203" s="63">
        <f t="shared" si="54"/>
        <v>6250</v>
      </c>
    </row>
    <row r="204" spans="1:71">
      <c r="A204" s="28">
        <f t="shared" si="45"/>
        <v>203</v>
      </c>
      <c r="B204" s="30" t="s">
        <v>898</v>
      </c>
      <c r="C204" s="30" t="s">
        <v>72</v>
      </c>
      <c r="D204" s="30" t="s">
        <v>749</v>
      </c>
      <c r="E204" s="30" t="s">
        <v>810</v>
      </c>
      <c r="F204" s="30" t="s">
        <v>750</v>
      </c>
      <c r="G204" s="30"/>
      <c r="H204" s="35"/>
      <c r="I204" s="30"/>
      <c r="J204" s="30"/>
      <c r="K204" s="30" t="s">
        <v>688</v>
      </c>
      <c r="L204" s="63"/>
      <c r="M204" s="63"/>
      <c r="N204" s="63"/>
      <c r="O204" s="63"/>
      <c r="P204" s="63"/>
      <c r="Q204" s="42">
        <v>0</v>
      </c>
      <c r="R204" s="47">
        <f t="shared" si="46"/>
        <v>0</v>
      </c>
      <c r="S204" s="48">
        <v>0</v>
      </c>
      <c r="T204" s="48">
        <f t="shared" si="47"/>
        <v>0</v>
      </c>
      <c r="U204" s="63"/>
      <c r="V204" s="63"/>
      <c r="W204" s="63"/>
      <c r="X204" s="63"/>
      <c r="Y204" s="39">
        <v>0</v>
      </c>
      <c r="Z204" s="39">
        <v>0</v>
      </c>
      <c r="AA204" s="39">
        <v>0</v>
      </c>
      <c r="AB204" s="39"/>
      <c r="AC204" s="39"/>
      <c r="AD204" s="39"/>
      <c r="AE204" s="39"/>
      <c r="AF204" s="39"/>
      <c r="AG204" s="63"/>
      <c r="AH204" s="63"/>
      <c r="AI204" s="63"/>
      <c r="AJ204" s="63"/>
      <c r="AK204" s="63"/>
      <c r="AL204" s="63"/>
      <c r="AM204" s="63"/>
      <c r="AN204" s="63"/>
      <c r="AO204" s="63"/>
      <c r="AP204" s="63"/>
      <c r="AQ204" s="63"/>
      <c r="AR204" s="63"/>
      <c r="AS204" s="63"/>
      <c r="AT204" s="63" t="s">
        <v>116</v>
      </c>
      <c r="AU204" s="30"/>
      <c r="AV204" s="63"/>
      <c r="AW204" s="63"/>
      <c r="AX204" s="63"/>
      <c r="AY204" s="63"/>
      <c r="AZ204" s="63"/>
      <c r="BA204" s="63"/>
      <c r="BB204" s="63"/>
      <c r="BC204" s="63"/>
      <c r="BD204" s="63"/>
      <c r="BE204" s="63"/>
      <c r="BF204" s="63"/>
      <c r="BG204" s="63"/>
      <c r="BH204" s="63"/>
      <c r="BI204" s="63"/>
      <c r="BJ204" s="63"/>
      <c r="BK204" s="63"/>
      <c r="BL204" s="63">
        <f t="shared" si="44"/>
        <v>0</v>
      </c>
      <c r="BM204" s="63">
        <f t="shared" si="48"/>
        <v>0</v>
      </c>
      <c r="BN204" s="63">
        <f t="shared" si="49"/>
        <v>0</v>
      </c>
      <c r="BO204" s="63">
        <f t="shared" si="50"/>
        <v>0</v>
      </c>
      <c r="BP204" s="63">
        <f t="shared" si="51"/>
        <v>0</v>
      </c>
      <c r="BQ204" s="63">
        <f t="shared" si="52"/>
        <v>0</v>
      </c>
      <c r="BR204" s="63">
        <f t="shared" si="53"/>
        <v>0</v>
      </c>
      <c r="BS204" s="63">
        <f t="shared" si="54"/>
        <v>0</v>
      </c>
    </row>
    <row r="205" spans="1:71">
      <c r="A205" s="28">
        <f t="shared" si="45"/>
        <v>204</v>
      </c>
      <c r="B205" s="30" t="s">
        <v>899</v>
      </c>
      <c r="C205" s="30" t="s">
        <v>72</v>
      </c>
      <c r="D205" s="30" t="s">
        <v>749</v>
      </c>
      <c r="E205" s="30" t="s">
        <v>810</v>
      </c>
      <c r="F205" s="30" t="s">
        <v>750</v>
      </c>
      <c r="G205" s="30" t="s">
        <v>393</v>
      </c>
      <c r="H205" s="35" t="s">
        <v>394</v>
      </c>
      <c r="I205" s="30"/>
      <c r="J205" s="30"/>
      <c r="K205" s="30" t="s">
        <v>900</v>
      </c>
      <c r="L205" s="63"/>
      <c r="M205" s="63"/>
      <c r="N205" s="63"/>
      <c r="O205" s="63"/>
      <c r="P205" s="63"/>
      <c r="Q205" s="42">
        <v>2.5</v>
      </c>
      <c r="R205" s="47">
        <f t="shared" si="46"/>
        <v>875000</v>
      </c>
      <c r="S205" s="48">
        <v>1000000</v>
      </c>
      <c r="T205" s="48">
        <f t="shared" si="47"/>
        <v>350000</v>
      </c>
      <c r="U205" s="63"/>
      <c r="V205" s="63"/>
      <c r="W205" s="63"/>
      <c r="X205" s="63"/>
      <c r="Y205" s="39">
        <v>50000</v>
      </c>
      <c r="Z205" s="39">
        <v>50000</v>
      </c>
      <c r="AA205" s="39">
        <v>50000</v>
      </c>
      <c r="AB205" s="39">
        <v>50000</v>
      </c>
      <c r="AC205" s="39">
        <v>50000</v>
      </c>
      <c r="AD205" s="39">
        <v>50000</v>
      </c>
      <c r="AE205" s="39">
        <v>50000</v>
      </c>
      <c r="AF205" s="39">
        <v>50000</v>
      </c>
      <c r="AG205" s="63"/>
      <c r="AH205" s="63"/>
      <c r="AI205" s="63"/>
      <c r="AJ205" s="63"/>
      <c r="AK205" s="63"/>
      <c r="AL205" s="63"/>
      <c r="AM205" s="63"/>
      <c r="AN205" s="63"/>
      <c r="AO205" s="63"/>
      <c r="AP205" s="63"/>
      <c r="AQ205" s="63"/>
      <c r="AR205" s="63"/>
      <c r="AS205" s="63"/>
      <c r="AT205" s="63" t="s">
        <v>116</v>
      </c>
      <c r="AU205" s="30" t="s">
        <v>545</v>
      </c>
      <c r="AV205" s="63"/>
      <c r="AW205" s="63"/>
      <c r="AX205" s="63"/>
      <c r="AY205" s="63"/>
      <c r="AZ205" s="63"/>
      <c r="BA205" s="63"/>
      <c r="BB205" s="63"/>
      <c r="BC205" s="63"/>
      <c r="BD205" s="63"/>
      <c r="BE205" s="63"/>
      <c r="BF205" s="63"/>
      <c r="BG205" s="63"/>
      <c r="BH205" s="63"/>
      <c r="BI205" s="63"/>
      <c r="BJ205" s="63"/>
      <c r="BK205" s="63"/>
      <c r="BL205" s="63">
        <f t="shared" si="44"/>
        <v>125000</v>
      </c>
      <c r="BM205" s="63">
        <f t="shared" si="48"/>
        <v>125000</v>
      </c>
      <c r="BN205" s="63">
        <f t="shared" si="49"/>
        <v>125000</v>
      </c>
      <c r="BO205" s="63">
        <f t="shared" si="50"/>
        <v>125000</v>
      </c>
      <c r="BP205" s="63">
        <f t="shared" si="51"/>
        <v>125000</v>
      </c>
      <c r="BQ205" s="63">
        <f t="shared" si="52"/>
        <v>125000</v>
      </c>
      <c r="BR205" s="63">
        <f t="shared" si="53"/>
        <v>125000</v>
      </c>
      <c r="BS205" s="63">
        <f t="shared" si="54"/>
        <v>125000</v>
      </c>
    </row>
    <row r="206" spans="1:71">
      <c r="A206" s="28">
        <f t="shared" si="45"/>
        <v>205</v>
      </c>
      <c r="B206" s="30" t="s">
        <v>901</v>
      </c>
      <c r="C206" s="30" t="s">
        <v>72</v>
      </c>
      <c r="D206" s="30" t="s">
        <v>749</v>
      </c>
      <c r="E206" s="30" t="s">
        <v>810</v>
      </c>
      <c r="F206" s="30" t="s">
        <v>750</v>
      </c>
      <c r="G206" s="30" t="s">
        <v>433</v>
      </c>
      <c r="H206" s="35" t="s">
        <v>434</v>
      </c>
      <c r="I206" s="30"/>
      <c r="J206" s="30"/>
      <c r="K206" s="30" t="s">
        <v>737</v>
      </c>
      <c r="L206" s="63"/>
      <c r="M206" s="63"/>
      <c r="N206" s="63"/>
      <c r="O206" s="63"/>
      <c r="P206" s="63"/>
      <c r="Q206" s="42">
        <v>2</v>
      </c>
      <c r="R206" s="47">
        <f t="shared" si="46"/>
        <v>140000</v>
      </c>
      <c r="S206" s="48">
        <v>160000</v>
      </c>
      <c r="T206" s="48">
        <f t="shared" si="47"/>
        <v>70000</v>
      </c>
      <c r="U206" s="63"/>
      <c r="V206" s="63"/>
      <c r="W206" s="63"/>
      <c r="X206" s="63"/>
      <c r="Y206" s="39">
        <v>10000</v>
      </c>
      <c r="Z206" s="39">
        <v>10000</v>
      </c>
      <c r="AA206" s="39">
        <v>10000</v>
      </c>
      <c r="AB206" s="39">
        <v>10000</v>
      </c>
      <c r="AC206" s="39">
        <v>10000</v>
      </c>
      <c r="AD206" s="39">
        <v>10000</v>
      </c>
      <c r="AE206" s="39">
        <v>10000</v>
      </c>
      <c r="AF206" s="39">
        <v>10000</v>
      </c>
      <c r="AG206" s="63"/>
      <c r="AH206" s="63"/>
      <c r="AI206" s="63"/>
      <c r="AJ206" s="63"/>
      <c r="AK206" s="63"/>
      <c r="AL206" s="63"/>
      <c r="AM206" s="63"/>
      <c r="AN206" s="63"/>
      <c r="AO206" s="63"/>
      <c r="AP206" s="63"/>
      <c r="AQ206" s="63"/>
      <c r="AR206" s="63"/>
      <c r="AS206" s="63"/>
      <c r="AT206" s="63" t="s">
        <v>116</v>
      </c>
      <c r="AU206" s="30" t="s">
        <v>688</v>
      </c>
      <c r="AV206" s="63"/>
      <c r="AW206" s="63"/>
      <c r="AX206" s="63"/>
      <c r="AY206" s="63"/>
      <c r="AZ206" s="63"/>
      <c r="BA206" s="63"/>
      <c r="BB206" s="63"/>
      <c r="BC206" s="63"/>
      <c r="BD206" s="63"/>
      <c r="BE206" s="63"/>
      <c r="BF206" s="63"/>
      <c r="BG206" s="63"/>
      <c r="BH206" s="63"/>
      <c r="BI206" s="63"/>
      <c r="BJ206" s="63"/>
      <c r="BK206" s="63"/>
      <c r="BL206" s="63">
        <f t="shared" si="44"/>
        <v>20000</v>
      </c>
      <c r="BM206" s="63">
        <f t="shared" si="48"/>
        <v>20000</v>
      </c>
      <c r="BN206" s="63">
        <f t="shared" si="49"/>
        <v>20000</v>
      </c>
      <c r="BO206" s="63">
        <f t="shared" si="50"/>
        <v>20000</v>
      </c>
      <c r="BP206" s="63">
        <f t="shared" si="51"/>
        <v>20000</v>
      </c>
      <c r="BQ206" s="63">
        <f t="shared" si="52"/>
        <v>20000</v>
      </c>
      <c r="BR206" s="63">
        <f t="shared" si="53"/>
        <v>20000</v>
      </c>
      <c r="BS206" s="63">
        <f t="shared" si="54"/>
        <v>20000</v>
      </c>
    </row>
    <row r="207" spans="1:71">
      <c r="A207" s="28">
        <f t="shared" si="45"/>
        <v>206</v>
      </c>
      <c r="B207" s="30" t="s">
        <v>902</v>
      </c>
      <c r="C207" s="30" t="s">
        <v>72</v>
      </c>
      <c r="D207" s="30" t="s">
        <v>749</v>
      </c>
      <c r="E207" s="30" t="s">
        <v>810</v>
      </c>
      <c r="F207" s="30" t="s">
        <v>750</v>
      </c>
      <c r="G207" s="30" t="s">
        <v>259</v>
      </c>
      <c r="H207" s="35" t="s">
        <v>260</v>
      </c>
      <c r="I207" s="30"/>
      <c r="J207" s="30"/>
      <c r="K207" s="30" t="s">
        <v>903</v>
      </c>
      <c r="L207" s="63"/>
      <c r="M207" s="63"/>
      <c r="N207" s="63"/>
      <c r="O207" s="63"/>
      <c r="P207" s="63"/>
      <c r="Q207" s="42">
        <v>0.32</v>
      </c>
      <c r="R207" s="47">
        <f t="shared" si="46"/>
        <v>192000</v>
      </c>
      <c r="S207" s="48">
        <v>192000</v>
      </c>
      <c r="T207" s="48">
        <f t="shared" si="47"/>
        <v>600000</v>
      </c>
      <c r="U207" s="63"/>
      <c r="V207" s="63"/>
      <c r="W207" s="63"/>
      <c r="X207" s="63"/>
      <c r="Y207" s="39">
        <v>0</v>
      </c>
      <c r="Z207" s="39">
        <v>200000</v>
      </c>
      <c r="AA207" s="39">
        <v>0</v>
      </c>
      <c r="AB207" s="39">
        <v>0</v>
      </c>
      <c r="AC207" s="39">
        <v>200000</v>
      </c>
      <c r="AD207" s="39">
        <v>0</v>
      </c>
      <c r="AE207" s="39">
        <v>0</v>
      </c>
      <c r="AF207" s="39">
        <v>200000</v>
      </c>
      <c r="AG207" s="63"/>
      <c r="AH207" s="63"/>
      <c r="AI207" s="63"/>
      <c r="AJ207" s="63"/>
      <c r="AK207" s="63"/>
      <c r="AL207" s="63"/>
      <c r="AM207" s="63"/>
      <c r="AN207" s="63"/>
      <c r="AO207" s="63"/>
      <c r="AP207" s="63"/>
      <c r="AQ207" s="63"/>
      <c r="AR207" s="63"/>
      <c r="AS207" s="63"/>
      <c r="AT207" s="63" t="s">
        <v>116</v>
      </c>
      <c r="AU207" s="30" t="s">
        <v>81</v>
      </c>
      <c r="AV207" s="63"/>
      <c r="AW207" s="63"/>
      <c r="AX207" s="63"/>
      <c r="AY207" s="63"/>
      <c r="AZ207" s="63"/>
      <c r="BA207" s="63"/>
      <c r="BB207" s="63"/>
      <c r="BC207" s="63"/>
      <c r="BD207" s="63"/>
      <c r="BE207" s="63"/>
      <c r="BF207" s="63"/>
      <c r="BG207" s="63"/>
      <c r="BH207" s="63"/>
      <c r="BI207" s="63"/>
      <c r="BJ207" s="63"/>
      <c r="BK207" s="63"/>
      <c r="BL207" s="63">
        <f t="shared" si="44"/>
        <v>0</v>
      </c>
      <c r="BM207" s="63">
        <f t="shared" si="48"/>
        <v>64000</v>
      </c>
      <c r="BN207" s="63">
        <f t="shared" si="49"/>
        <v>0</v>
      </c>
      <c r="BO207" s="63">
        <f t="shared" si="50"/>
        <v>0</v>
      </c>
      <c r="BP207" s="63">
        <f t="shared" si="51"/>
        <v>64000</v>
      </c>
      <c r="BQ207" s="63">
        <f t="shared" si="52"/>
        <v>0</v>
      </c>
      <c r="BR207" s="63">
        <f t="shared" si="53"/>
        <v>0</v>
      </c>
      <c r="BS207" s="63">
        <f t="shared" si="54"/>
        <v>64000</v>
      </c>
    </row>
    <row r="208" spans="1:71">
      <c r="A208" s="28">
        <f t="shared" si="45"/>
        <v>207</v>
      </c>
      <c r="B208" s="30" t="s">
        <v>904</v>
      </c>
      <c r="C208" s="30" t="s">
        <v>72</v>
      </c>
      <c r="D208" s="30" t="s">
        <v>749</v>
      </c>
      <c r="E208" s="30" t="s">
        <v>810</v>
      </c>
      <c r="F208" s="30" t="s">
        <v>750</v>
      </c>
      <c r="G208" s="30" t="s">
        <v>457</v>
      </c>
      <c r="H208" s="35" t="s">
        <v>458</v>
      </c>
      <c r="I208" s="30"/>
      <c r="J208" s="30"/>
      <c r="K208" s="30" t="s">
        <v>737</v>
      </c>
      <c r="L208" s="63"/>
      <c r="M208" s="63"/>
      <c r="N208" s="63"/>
      <c r="O208" s="63"/>
      <c r="P208" s="63"/>
      <c r="Q208" s="42">
        <v>1.35</v>
      </c>
      <c r="R208" s="47">
        <f t="shared" si="46"/>
        <v>1890000</v>
      </c>
      <c r="S208" s="48">
        <v>2160000</v>
      </c>
      <c r="T208" s="48">
        <f t="shared" si="47"/>
        <v>1400000</v>
      </c>
      <c r="U208" s="63"/>
      <c r="V208" s="63"/>
      <c r="W208" s="63"/>
      <c r="X208" s="63"/>
      <c r="Y208" s="39">
        <v>200000</v>
      </c>
      <c r="Z208" s="39">
        <v>200000</v>
      </c>
      <c r="AA208" s="39">
        <v>200000</v>
      </c>
      <c r="AB208" s="39">
        <v>200000</v>
      </c>
      <c r="AC208" s="39">
        <v>200000</v>
      </c>
      <c r="AD208" s="39">
        <v>200000</v>
      </c>
      <c r="AE208" s="39">
        <v>200000</v>
      </c>
      <c r="AF208" s="39">
        <v>200000</v>
      </c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3"/>
      <c r="AS208" s="63"/>
      <c r="AT208" s="63" t="s">
        <v>116</v>
      </c>
      <c r="AU208" s="30" t="s">
        <v>688</v>
      </c>
      <c r="AV208" s="63"/>
      <c r="AW208" s="63"/>
      <c r="AX208" s="63"/>
      <c r="AY208" s="63"/>
      <c r="AZ208" s="63"/>
      <c r="BA208" s="63"/>
      <c r="BB208" s="63"/>
      <c r="BC208" s="63"/>
      <c r="BD208" s="63"/>
      <c r="BE208" s="63"/>
      <c r="BF208" s="63"/>
      <c r="BG208" s="63"/>
      <c r="BH208" s="63"/>
      <c r="BI208" s="63"/>
      <c r="BJ208" s="63"/>
      <c r="BK208" s="63"/>
      <c r="BL208" s="63">
        <f t="shared" si="44"/>
        <v>270000</v>
      </c>
      <c r="BM208" s="63">
        <f t="shared" si="48"/>
        <v>270000</v>
      </c>
      <c r="BN208" s="63">
        <f t="shared" si="49"/>
        <v>270000</v>
      </c>
      <c r="BO208" s="63">
        <f t="shared" si="50"/>
        <v>270000</v>
      </c>
      <c r="BP208" s="63">
        <f t="shared" si="51"/>
        <v>270000</v>
      </c>
      <c r="BQ208" s="63">
        <f t="shared" si="52"/>
        <v>270000</v>
      </c>
      <c r="BR208" s="63">
        <f t="shared" si="53"/>
        <v>270000</v>
      </c>
      <c r="BS208" s="63">
        <f t="shared" si="54"/>
        <v>270000</v>
      </c>
    </row>
    <row r="209" spans="1:71">
      <c r="A209" s="28">
        <f t="shared" si="45"/>
        <v>208</v>
      </c>
      <c r="B209" s="30" t="s">
        <v>905</v>
      </c>
      <c r="C209" s="30" t="s">
        <v>72</v>
      </c>
      <c r="D209" s="30" t="s">
        <v>749</v>
      </c>
      <c r="E209" s="30" t="s">
        <v>810</v>
      </c>
      <c r="F209" s="30" t="s">
        <v>750</v>
      </c>
      <c r="G209" s="30" t="s">
        <v>413</v>
      </c>
      <c r="H209" s="35" t="s">
        <v>414</v>
      </c>
      <c r="I209" s="30"/>
      <c r="J209" s="30"/>
      <c r="K209" s="30" t="s">
        <v>906</v>
      </c>
      <c r="L209" s="63"/>
      <c r="M209" s="63"/>
      <c r="N209" s="63"/>
      <c r="O209" s="63"/>
      <c r="P209" s="63"/>
      <c r="Q209" s="42">
        <v>3.8</v>
      </c>
      <c r="R209" s="47">
        <f t="shared" si="46"/>
        <v>266000</v>
      </c>
      <c r="S209" s="48">
        <v>304000</v>
      </c>
      <c r="T209" s="48">
        <f t="shared" si="47"/>
        <v>70000</v>
      </c>
      <c r="U209" s="63"/>
      <c r="V209" s="63"/>
      <c r="W209" s="63"/>
      <c r="X209" s="63"/>
      <c r="Y209" s="39">
        <v>10000</v>
      </c>
      <c r="Z209" s="39">
        <v>10000</v>
      </c>
      <c r="AA209" s="39">
        <v>10000</v>
      </c>
      <c r="AB209" s="39">
        <v>10000</v>
      </c>
      <c r="AC209" s="39">
        <v>10000</v>
      </c>
      <c r="AD209" s="39">
        <v>10000</v>
      </c>
      <c r="AE209" s="39">
        <v>10000</v>
      </c>
      <c r="AF209" s="39">
        <v>10000</v>
      </c>
      <c r="AG209" s="63"/>
      <c r="AH209" s="63"/>
      <c r="AI209" s="63"/>
      <c r="AJ209" s="63"/>
      <c r="AK209" s="63"/>
      <c r="AL209" s="63"/>
      <c r="AM209" s="63"/>
      <c r="AN209" s="63"/>
      <c r="AO209" s="63"/>
      <c r="AP209" s="63"/>
      <c r="AQ209" s="63"/>
      <c r="AR209" s="63"/>
      <c r="AS209" s="63"/>
      <c r="AT209" s="63" t="s">
        <v>116</v>
      </c>
      <c r="AU209" s="30" t="s">
        <v>545</v>
      </c>
      <c r="AV209" s="63"/>
      <c r="AW209" s="63"/>
      <c r="AX209" s="63"/>
      <c r="AY209" s="63"/>
      <c r="AZ209" s="63"/>
      <c r="BA209" s="63"/>
      <c r="BB209" s="63"/>
      <c r="BC209" s="63"/>
      <c r="BD209" s="63"/>
      <c r="BE209" s="63"/>
      <c r="BF209" s="63"/>
      <c r="BG209" s="63"/>
      <c r="BH209" s="63"/>
      <c r="BI209" s="63"/>
      <c r="BJ209" s="63"/>
      <c r="BK209" s="63"/>
      <c r="BL209" s="63">
        <f t="shared" si="44"/>
        <v>38000</v>
      </c>
      <c r="BM209" s="63">
        <f t="shared" si="48"/>
        <v>38000</v>
      </c>
      <c r="BN209" s="63">
        <f t="shared" si="49"/>
        <v>38000</v>
      </c>
      <c r="BO209" s="63">
        <f t="shared" si="50"/>
        <v>38000</v>
      </c>
      <c r="BP209" s="63">
        <f t="shared" si="51"/>
        <v>38000</v>
      </c>
      <c r="BQ209" s="63">
        <f t="shared" si="52"/>
        <v>38000</v>
      </c>
      <c r="BR209" s="63">
        <f t="shared" si="53"/>
        <v>38000</v>
      </c>
      <c r="BS209" s="63">
        <f t="shared" si="54"/>
        <v>38000</v>
      </c>
    </row>
    <row r="210" spans="1:71">
      <c r="A210" s="28">
        <f t="shared" si="45"/>
        <v>209</v>
      </c>
      <c r="B210" s="30" t="s">
        <v>907</v>
      </c>
      <c r="C210" s="30" t="s">
        <v>72</v>
      </c>
      <c r="D210" s="30" t="s">
        <v>907</v>
      </c>
      <c r="E210" s="30" t="s">
        <v>810</v>
      </c>
      <c r="F210" s="30" t="s">
        <v>908</v>
      </c>
      <c r="G210" s="30" t="s">
        <v>439</v>
      </c>
      <c r="H210" s="35" t="s">
        <v>440</v>
      </c>
      <c r="I210" s="30"/>
      <c r="J210" s="30"/>
      <c r="K210" s="30" t="s">
        <v>745</v>
      </c>
      <c r="L210" s="63"/>
      <c r="M210" s="63"/>
      <c r="N210" s="63"/>
      <c r="O210" s="63"/>
      <c r="P210" s="63"/>
      <c r="Q210" s="42">
        <v>2.28</v>
      </c>
      <c r="R210" s="47">
        <f t="shared" si="46"/>
        <v>478800</v>
      </c>
      <c r="S210" s="48">
        <v>934800</v>
      </c>
      <c r="T210" s="48">
        <f t="shared" si="47"/>
        <v>210000</v>
      </c>
      <c r="U210" s="63"/>
      <c r="V210" s="63"/>
      <c r="W210" s="63"/>
      <c r="X210" s="63"/>
      <c r="Y210" s="39">
        <v>200000</v>
      </c>
      <c r="Z210" s="39">
        <v>30000</v>
      </c>
      <c r="AA210" s="39">
        <v>30000</v>
      </c>
      <c r="AB210" s="39">
        <v>30000</v>
      </c>
      <c r="AC210" s="39">
        <v>30000</v>
      </c>
      <c r="AD210" s="39">
        <v>30000</v>
      </c>
      <c r="AE210" s="39">
        <v>30000</v>
      </c>
      <c r="AF210" s="39">
        <v>30000</v>
      </c>
      <c r="AG210" s="63"/>
      <c r="AH210" s="63"/>
      <c r="AI210" s="63"/>
      <c r="AJ210" s="63"/>
      <c r="AK210" s="63"/>
      <c r="AL210" s="63"/>
      <c r="AM210" s="63"/>
      <c r="AN210" s="63"/>
      <c r="AO210" s="63"/>
      <c r="AP210" s="63"/>
      <c r="AQ210" s="63"/>
      <c r="AR210" s="63"/>
      <c r="AS210" s="63"/>
      <c r="AT210" s="63" t="s">
        <v>116</v>
      </c>
      <c r="AU210" s="30" t="s">
        <v>688</v>
      </c>
      <c r="AV210" s="63"/>
      <c r="AW210" s="63"/>
      <c r="AX210" s="63"/>
      <c r="AY210" s="63"/>
      <c r="AZ210" s="63"/>
      <c r="BA210" s="63"/>
      <c r="BB210" s="63"/>
      <c r="BC210" s="63"/>
      <c r="BD210" s="63"/>
      <c r="BE210" s="63"/>
      <c r="BF210" s="63"/>
      <c r="BG210" s="63"/>
      <c r="BH210" s="63"/>
      <c r="BI210" s="63"/>
      <c r="BJ210" s="63"/>
      <c r="BK210" s="63"/>
      <c r="BL210" s="63">
        <f t="shared" si="44"/>
        <v>456000</v>
      </c>
      <c r="BM210" s="63">
        <f t="shared" si="48"/>
        <v>68400</v>
      </c>
      <c r="BN210" s="63">
        <f t="shared" si="49"/>
        <v>68400</v>
      </c>
      <c r="BO210" s="63">
        <f t="shared" si="50"/>
        <v>68400</v>
      </c>
      <c r="BP210" s="63">
        <f t="shared" si="51"/>
        <v>68400</v>
      </c>
      <c r="BQ210" s="63">
        <f t="shared" si="52"/>
        <v>68400</v>
      </c>
      <c r="BR210" s="63">
        <f t="shared" si="53"/>
        <v>68400</v>
      </c>
      <c r="BS210" s="63">
        <f t="shared" si="54"/>
        <v>68400</v>
      </c>
    </row>
    <row r="211" spans="1:71">
      <c r="A211" s="28">
        <f t="shared" si="45"/>
        <v>210</v>
      </c>
      <c r="B211" s="30" t="s">
        <v>907</v>
      </c>
      <c r="C211" s="30" t="s">
        <v>72</v>
      </c>
      <c r="D211" s="30" t="s">
        <v>907</v>
      </c>
      <c r="E211" s="30" t="s">
        <v>810</v>
      </c>
      <c r="F211" s="30" t="s">
        <v>908</v>
      </c>
      <c r="G211" s="30" t="s">
        <v>270</v>
      </c>
      <c r="H211" s="35" t="s">
        <v>271</v>
      </c>
      <c r="I211" s="30"/>
      <c r="J211" s="30"/>
      <c r="K211" s="30" t="s">
        <v>909</v>
      </c>
      <c r="L211" s="63"/>
      <c r="M211" s="63"/>
      <c r="N211" s="63"/>
      <c r="O211" s="63"/>
      <c r="P211" s="63"/>
      <c r="Q211" s="42">
        <v>0.52</v>
      </c>
      <c r="R211" s="47">
        <f t="shared" si="46"/>
        <v>18200</v>
      </c>
      <c r="S211" s="48">
        <v>20800</v>
      </c>
      <c r="T211" s="48">
        <f t="shared" si="47"/>
        <v>35000</v>
      </c>
      <c r="U211" s="63"/>
      <c r="V211" s="63"/>
      <c r="W211" s="63"/>
      <c r="X211" s="63"/>
      <c r="Y211" s="39">
        <v>5000</v>
      </c>
      <c r="Z211" s="39">
        <v>5000</v>
      </c>
      <c r="AA211" s="39">
        <v>5000</v>
      </c>
      <c r="AB211" s="39">
        <v>5000</v>
      </c>
      <c r="AC211" s="39">
        <v>5000</v>
      </c>
      <c r="AD211" s="39">
        <v>5000</v>
      </c>
      <c r="AE211" s="39">
        <v>5000</v>
      </c>
      <c r="AF211" s="39">
        <v>5000</v>
      </c>
      <c r="AG211" s="63"/>
      <c r="AH211" s="63"/>
      <c r="AI211" s="63"/>
      <c r="AJ211" s="63"/>
      <c r="AK211" s="63"/>
      <c r="AL211" s="63"/>
      <c r="AM211" s="63"/>
      <c r="AN211" s="63"/>
      <c r="AO211" s="63"/>
      <c r="AP211" s="63"/>
      <c r="AQ211" s="63"/>
      <c r="AR211" s="63"/>
      <c r="AS211" s="63"/>
      <c r="AT211" s="63" t="s">
        <v>116</v>
      </c>
      <c r="AU211" s="30" t="s">
        <v>81</v>
      </c>
      <c r="AV211" s="63"/>
      <c r="AW211" s="63"/>
      <c r="AX211" s="63"/>
      <c r="AY211" s="63"/>
      <c r="AZ211" s="63"/>
      <c r="BA211" s="63"/>
      <c r="BB211" s="63"/>
      <c r="BC211" s="63"/>
      <c r="BD211" s="63"/>
      <c r="BE211" s="63"/>
      <c r="BF211" s="63"/>
      <c r="BG211" s="63"/>
      <c r="BH211" s="63"/>
      <c r="BI211" s="63"/>
      <c r="BJ211" s="63"/>
      <c r="BK211" s="63"/>
      <c r="BL211" s="63">
        <f t="shared" si="44"/>
        <v>2600</v>
      </c>
      <c r="BM211" s="63">
        <f t="shared" si="48"/>
        <v>2600</v>
      </c>
      <c r="BN211" s="63">
        <f t="shared" si="49"/>
        <v>2600</v>
      </c>
      <c r="BO211" s="63">
        <f t="shared" si="50"/>
        <v>2600</v>
      </c>
      <c r="BP211" s="63">
        <f t="shared" si="51"/>
        <v>2600</v>
      </c>
      <c r="BQ211" s="63">
        <f t="shared" si="52"/>
        <v>2600</v>
      </c>
      <c r="BR211" s="63">
        <f t="shared" si="53"/>
        <v>2600</v>
      </c>
      <c r="BS211" s="63">
        <f t="shared" si="54"/>
        <v>2600</v>
      </c>
    </row>
    <row r="212" spans="1:71">
      <c r="A212" s="28">
        <f t="shared" si="45"/>
        <v>211</v>
      </c>
      <c r="B212" s="30" t="s">
        <v>910</v>
      </c>
      <c r="C212" s="30" t="s">
        <v>72</v>
      </c>
      <c r="D212" s="30"/>
      <c r="E212" s="30" t="s">
        <v>911</v>
      </c>
      <c r="F212" s="30"/>
      <c r="G212" s="30" t="s">
        <v>505</v>
      </c>
      <c r="H212" s="35" t="s">
        <v>506</v>
      </c>
      <c r="I212" s="72">
        <v>8602</v>
      </c>
      <c r="J212" s="72"/>
      <c r="K212" s="30" t="s">
        <v>912</v>
      </c>
      <c r="L212" s="39"/>
      <c r="M212" s="30" t="s">
        <v>114</v>
      </c>
      <c r="N212" s="30"/>
      <c r="O212" s="30"/>
      <c r="P212" s="29"/>
      <c r="Q212" s="42">
        <v>3</v>
      </c>
      <c r="R212" s="47">
        <f t="shared" si="46"/>
        <v>240000</v>
      </c>
      <c r="S212" s="48">
        <v>528000</v>
      </c>
      <c r="T212" s="48">
        <f t="shared" si="47"/>
        <v>80000</v>
      </c>
      <c r="U212" s="39"/>
      <c r="V212" s="39"/>
      <c r="W212" s="39"/>
      <c r="X212" s="39">
        <v>0</v>
      </c>
      <c r="Y212" s="39">
        <v>0</v>
      </c>
      <c r="Z212" s="39">
        <v>2000</v>
      </c>
      <c r="AA212" s="39">
        <v>4000</v>
      </c>
      <c r="AB212" s="39">
        <v>4000</v>
      </c>
      <c r="AC212" s="39">
        <v>10000</v>
      </c>
      <c r="AD212" s="76">
        <v>20000</v>
      </c>
      <c r="AE212" s="76">
        <v>20000</v>
      </c>
      <c r="AF212" s="76">
        <v>20000</v>
      </c>
      <c r="AG212" s="77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63"/>
      <c r="AT212" s="63" t="s">
        <v>80</v>
      </c>
      <c r="AU212" s="30" t="s">
        <v>788</v>
      </c>
      <c r="AV212" s="63"/>
      <c r="AW212" s="63"/>
      <c r="AX212" s="63"/>
      <c r="AY212" s="63"/>
      <c r="AZ212" s="63"/>
      <c r="BA212" s="63"/>
      <c r="BB212" s="63"/>
      <c r="BC212" s="63"/>
      <c r="BD212" s="63"/>
      <c r="BE212" s="63"/>
      <c r="BF212" s="63"/>
      <c r="BG212" s="63"/>
      <c r="BH212" s="63"/>
      <c r="BI212" s="63"/>
      <c r="BJ212" s="63"/>
      <c r="BK212" s="63"/>
      <c r="BL212" s="63">
        <f t="shared" si="44"/>
        <v>0</v>
      </c>
      <c r="BM212" s="63">
        <f t="shared" si="48"/>
        <v>6000</v>
      </c>
      <c r="BN212" s="63">
        <f t="shared" si="49"/>
        <v>12000</v>
      </c>
      <c r="BO212" s="63">
        <f t="shared" si="50"/>
        <v>12000</v>
      </c>
      <c r="BP212" s="63">
        <f t="shared" si="51"/>
        <v>30000</v>
      </c>
      <c r="BQ212" s="63">
        <f t="shared" si="52"/>
        <v>60000</v>
      </c>
      <c r="BR212" s="63">
        <f t="shared" si="53"/>
        <v>60000</v>
      </c>
      <c r="BS212" s="63">
        <f t="shared" si="54"/>
        <v>60000</v>
      </c>
    </row>
    <row r="213" spans="1:71">
      <c r="A213" s="28">
        <f t="shared" si="45"/>
        <v>212</v>
      </c>
      <c r="B213" s="30" t="s">
        <v>913</v>
      </c>
      <c r="C213" s="30" t="s">
        <v>72</v>
      </c>
      <c r="D213" s="30"/>
      <c r="E213" s="30" t="s">
        <v>911</v>
      </c>
      <c r="F213" s="30"/>
      <c r="G213" s="30" t="s">
        <v>503</v>
      </c>
      <c r="H213" s="35" t="s">
        <v>504</v>
      </c>
      <c r="I213" s="72">
        <v>8602</v>
      </c>
      <c r="J213" s="72"/>
      <c r="K213" s="30" t="s">
        <v>914</v>
      </c>
      <c r="L213" s="39"/>
      <c r="M213" s="30" t="s">
        <v>57</v>
      </c>
      <c r="N213" s="30"/>
      <c r="O213" s="30"/>
      <c r="P213" s="29"/>
      <c r="Q213" s="42">
        <v>3</v>
      </c>
      <c r="R213" s="47">
        <f t="shared" si="46"/>
        <v>57000</v>
      </c>
      <c r="S213" s="48">
        <v>276000</v>
      </c>
      <c r="T213" s="48">
        <f t="shared" si="47"/>
        <v>19000</v>
      </c>
      <c r="U213" s="39"/>
      <c r="V213" s="39"/>
      <c r="W213" s="39"/>
      <c r="X213" s="39">
        <v>0</v>
      </c>
      <c r="Y213" s="39">
        <v>0</v>
      </c>
      <c r="Z213" s="39">
        <v>0</v>
      </c>
      <c r="AA213" s="39">
        <v>1000</v>
      </c>
      <c r="AB213" s="39">
        <v>2000</v>
      </c>
      <c r="AC213" s="39">
        <v>4000</v>
      </c>
      <c r="AD213" s="39">
        <v>4000</v>
      </c>
      <c r="AE213" s="39">
        <v>4000</v>
      </c>
      <c r="AF213" s="39">
        <v>4000</v>
      </c>
      <c r="AG213" s="77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63"/>
      <c r="AT213" s="63" t="s">
        <v>80</v>
      </c>
      <c r="AU213" s="30" t="s">
        <v>788</v>
      </c>
      <c r="AV213" s="63"/>
      <c r="AW213" s="63"/>
      <c r="AX213" s="63"/>
      <c r="AY213" s="63"/>
      <c r="AZ213" s="63"/>
      <c r="BA213" s="63"/>
      <c r="BB213" s="63"/>
      <c r="BC213" s="63"/>
      <c r="BD213" s="63"/>
      <c r="BE213" s="63"/>
      <c r="BF213" s="63"/>
      <c r="BG213" s="63"/>
      <c r="BH213" s="63"/>
      <c r="BI213" s="63"/>
      <c r="BJ213" s="63"/>
      <c r="BK213" s="63"/>
      <c r="BL213" s="63">
        <f t="shared" si="44"/>
        <v>0</v>
      </c>
      <c r="BM213" s="63">
        <f t="shared" si="48"/>
        <v>0</v>
      </c>
      <c r="BN213" s="63">
        <f t="shared" si="49"/>
        <v>3000</v>
      </c>
      <c r="BO213" s="63">
        <f t="shared" si="50"/>
        <v>6000</v>
      </c>
      <c r="BP213" s="63">
        <f t="shared" si="51"/>
        <v>12000</v>
      </c>
      <c r="BQ213" s="63">
        <f t="shared" si="52"/>
        <v>12000</v>
      </c>
      <c r="BR213" s="63">
        <f t="shared" si="53"/>
        <v>12000</v>
      </c>
      <c r="BS213" s="63">
        <f t="shared" si="54"/>
        <v>12000</v>
      </c>
    </row>
    <row r="214" spans="1:71">
      <c r="A214" s="28">
        <f t="shared" si="45"/>
        <v>213</v>
      </c>
      <c r="B214" s="30" t="s">
        <v>915</v>
      </c>
      <c r="C214" s="30" t="s">
        <v>72</v>
      </c>
      <c r="D214" s="30"/>
      <c r="E214" s="30" t="s">
        <v>911</v>
      </c>
      <c r="F214" s="30"/>
      <c r="G214" s="30" t="s">
        <v>503</v>
      </c>
      <c r="H214" s="35" t="s">
        <v>504</v>
      </c>
      <c r="I214" s="72">
        <v>8602</v>
      </c>
      <c r="J214" s="72"/>
      <c r="K214" s="30" t="s">
        <v>916</v>
      </c>
      <c r="L214" s="39"/>
      <c r="M214" s="30" t="s">
        <v>57</v>
      </c>
      <c r="N214" s="30"/>
      <c r="O214" s="30"/>
      <c r="P214" s="29"/>
      <c r="Q214" s="42">
        <v>2.5</v>
      </c>
      <c r="R214" s="47">
        <f t="shared" si="46"/>
        <v>187500</v>
      </c>
      <c r="S214" s="48">
        <v>245000</v>
      </c>
      <c r="T214" s="48">
        <f t="shared" si="47"/>
        <v>75000</v>
      </c>
      <c r="U214" s="39"/>
      <c r="V214" s="39"/>
      <c r="W214" s="39"/>
      <c r="X214" s="39">
        <v>0</v>
      </c>
      <c r="Y214" s="39">
        <v>0</v>
      </c>
      <c r="Z214" s="39">
        <v>0</v>
      </c>
      <c r="AA214" s="76">
        <v>1000</v>
      </c>
      <c r="AB214" s="76">
        <v>4000</v>
      </c>
      <c r="AC214" s="76">
        <v>10000</v>
      </c>
      <c r="AD214" s="76">
        <v>20000</v>
      </c>
      <c r="AE214" s="76">
        <v>20000</v>
      </c>
      <c r="AF214" s="76">
        <v>20000</v>
      </c>
      <c r="AG214" s="77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63"/>
      <c r="AT214" s="63" t="s">
        <v>80</v>
      </c>
      <c r="AU214" s="30" t="s">
        <v>788</v>
      </c>
      <c r="AV214" s="63"/>
      <c r="AW214" s="63"/>
      <c r="AX214" s="63"/>
      <c r="AY214" s="63"/>
      <c r="AZ214" s="63"/>
      <c r="BA214" s="63"/>
      <c r="BB214" s="63"/>
      <c r="BC214" s="63"/>
      <c r="BD214" s="63"/>
      <c r="BE214" s="63"/>
      <c r="BF214" s="63"/>
      <c r="BG214" s="63"/>
      <c r="BH214" s="63"/>
      <c r="BI214" s="63"/>
      <c r="BJ214" s="63"/>
      <c r="BK214" s="63"/>
      <c r="BL214" s="63">
        <f t="shared" si="44"/>
        <v>0</v>
      </c>
      <c r="BM214" s="63">
        <f t="shared" si="48"/>
        <v>0</v>
      </c>
      <c r="BN214" s="63">
        <f t="shared" si="49"/>
        <v>2500</v>
      </c>
      <c r="BO214" s="63">
        <f t="shared" si="50"/>
        <v>10000</v>
      </c>
      <c r="BP214" s="63">
        <f t="shared" si="51"/>
        <v>25000</v>
      </c>
      <c r="BQ214" s="63">
        <f t="shared" si="52"/>
        <v>50000</v>
      </c>
      <c r="BR214" s="63">
        <f t="shared" si="53"/>
        <v>50000</v>
      </c>
      <c r="BS214" s="63">
        <f t="shared" si="54"/>
        <v>50000</v>
      </c>
    </row>
    <row r="215" spans="1:71">
      <c r="A215" s="28">
        <f t="shared" si="45"/>
        <v>214</v>
      </c>
      <c r="B215" s="30" t="s">
        <v>917</v>
      </c>
      <c r="C215" s="30" t="s">
        <v>72</v>
      </c>
      <c r="D215" s="30"/>
      <c r="E215" s="30" t="s">
        <v>911</v>
      </c>
      <c r="F215" s="30"/>
      <c r="G215" s="30" t="s">
        <v>503</v>
      </c>
      <c r="H215" s="35" t="s">
        <v>504</v>
      </c>
      <c r="I215" s="72">
        <v>8602</v>
      </c>
      <c r="J215" s="72"/>
      <c r="K215" s="30" t="s">
        <v>918</v>
      </c>
      <c r="L215" s="39"/>
      <c r="M215" s="30" t="s">
        <v>57</v>
      </c>
      <c r="N215" s="30"/>
      <c r="O215" s="30"/>
      <c r="P215" s="29"/>
      <c r="Q215" s="42">
        <v>2.5</v>
      </c>
      <c r="R215" s="47">
        <f t="shared" si="46"/>
        <v>47500</v>
      </c>
      <c r="S215" s="48">
        <v>230000</v>
      </c>
      <c r="T215" s="48">
        <f t="shared" si="47"/>
        <v>19000</v>
      </c>
      <c r="U215" s="39"/>
      <c r="V215" s="39"/>
      <c r="W215" s="39"/>
      <c r="X215" s="39">
        <v>0</v>
      </c>
      <c r="Y215" s="39">
        <v>0</v>
      </c>
      <c r="Z215" s="39">
        <v>0</v>
      </c>
      <c r="AA215" s="76">
        <v>1000</v>
      </c>
      <c r="AB215" s="76">
        <v>2000</v>
      </c>
      <c r="AC215" s="76">
        <v>4000</v>
      </c>
      <c r="AD215" s="76">
        <v>4000</v>
      </c>
      <c r="AE215" s="76">
        <v>4000</v>
      </c>
      <c r="AF215" s="76">
        <v>4000</v>
      </c>
      <c r="AG215" s="77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63"/>
      <c r="AT215" s="63" t="s">
        <v>80</v>
      </c>
      <c r="AU215" s="30" t="s">
        <v>788</v>
      </c>
      <c r="AV215" s="63"/>
      <c r="AW215" s="63"/>
      <c r="AX215" s="63"/>
      <c r="AY215" s="63"/>
      <c r="AZ215" s="63"/>
      <c r="BA215" s="63"/>
      <c r="BB215" s="63"/>
      <c r="BC215" s="63"/>
      <c r="BD215" s="63"/>
      <c r="BE215" s="63"/>
      <c r="BF215" s="63"/>
      <c r="BG215" s="63"/>
      <c r="BH215" s="63"/>
      <c r="BI215" s="63"/>
      <c r="BJ215" s="63"/>
      <c r="BK215" s="63"/>
      <c r="BL215" s="63">
        <f t="shared" si="44"/>
        <v>0</v>
      </c>
      <c r="BM215" s="63">
        <f t="shared" si="48"/>
        <v>0</v>
      </c>
      <c r="BN215" s="63">
        <f t="shared" si="49"/>
        <v>2500</v>
      </c>
      <c r="BO215" s="63">
        <f t="shared" si="50"/>
        <v>5000</v>
      </c>
      <c r="BP215" s="63">
        <f t="shared" si="51"/>
        <v>10000</v>
      </c>
      <c r="BQ215" s="63">
        <f t="shared" si="52"/>
        <v>10000</v>
      </c>
      <c r="BR215" s="63">
        <f t="shared" si="53"/>
        <v>10000</v>
      </c>
      <c r="BS215" s="63">
        <f t="shared" si="54"/>
        <v>10000</v>
      </c>
    </row>
    <row r="216" spans="1:71">
      <c r="A216" s="28">
        <f t="shared" si="45"/>
        <v>215</v>
      </c>
      <c r="B216" s="30" t="s">
        <v>919</v>
      </c>
      <c r="C216" s="30" t="s">
        <v>72</v>
      </c>
      <c r="D216" s="30"/>
      <c r="E216" s="30" t="s">
        <v>911</v>
      </c>
      <c r="F216" s="30"/>
      <c r="G216" s="30" t="s">
        <v>503</v>
      </c>
      <c r="H216" s="35" t="s">
        <v>504</v>
      </c>
      <c r="I216" s="72">
        <v>8602</v>
      </c>
      <c r="J216" s="72"/>
      <c r="K216" s="30" t="s">
        <v>920</v>
      </c>
      <c r="L216" s="39"/>
      <c r="M216" s="30" t="s">
        <v>114</v>
      </c>
      <c r="N216" s="30"/>
      <c r="O216" s="30"/>
      <c r="P216" s="29"/>
      <c r="Q216" s="42">
        <v>2.5</v>
      </c>
      <c r="R216" s="47">
        <f t="shared" si="46"/>
        <v>47500</v>
      </c>
      <c r="S216" s="48">
        <v>230000</v>
      </c>
      <c r="T216" s="48">
        <f t="shared" si="47"/>
        <v>19000</v>
      </c>
      <c r="U216" s="39"/>
      <c r="V216" s="39"/>
      <c r="W216" s="39"/>
      <c r="X216" s="39">
        <v>0</v>
      </c>
      <c r="Y216" s="39">
        <v>0</v>
      </c>
      <c r="Z216" s="39">
        <v>0</v>
      </c>
      <c r="AA216" s="76">
        <v>1000</v>
      </c>
      <c r="AB216" s="76">
        <v>2000</v>
      </c>
      <c r="AC216" s="76">
        <v>4000</v>
      </c>
      <c r="AD216" s="76">
        <v>4000</v>
      </c>
      <c r="AE216" s="76">
        <v>4000</v>
      </c>
      <c r="AF216" s="76">
        <v>4000</v>
      </c>
      <c r="AG216" s="77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63"/>
      <c r="AT216" s="63" t="s">
        <v>80</v>
      </c>
      <c r="AU216" s="30" t="s">
        <v>788</v>
      </c>
      <c r="AV216" s="63"/>
      <c r="AW216" s="63"/>
      <c r="AX216" s="63"/>
      <c r="AY216" s="63"/>
      <c r="AZ216" s="63"/>
      <c r="BA216" s="63"/>
      <c r="BB216" s="63"/>
      <c r="BC216" s="63"/>
      <c r="BD216" s="63"/>
      <c r="BE216" s="63"/>
      <c r="BF216" s="63"/>
      <c r="BG216" s="63"/>
      <c r="BH216" s="63"/>
      <c r="BI216" s="63"/>
      <c r="BJ216" s="63"/>
      <c r="BK216" s="63"/>
      <c r="BL216" s="63">
        <f t="shared" si="44"/>
        <v>0</v>
      </c>
      <c r="BM216" s="63">
        <f t="shared" si="48"/>
        <v>0</v>
      </c>
      <c r="BN216" s="63">
        <f t="shared" si="49"/>
        <v>2500</v>
      </c>
      <c r="BO216" s="63">
        <f t="shared" si="50"/>
        <v>5000</v>
      </c>
      <c r="BP216" s="63">
        <f t="shared" si="51"/>
        <v>10000</v>
      </c>
      <c r="BQ216" s="63">
        <f t="shared" si="52"/>
        <v>10000</v>
      </c>
      <c r="BR216" s="63">
        <f t="shared" si="53"/>
        <v>10000</v>
      </c>
      <c r="BS216" s="63">
        <f t="shared" si="54"/>
        <v>10000</v>
      </c>
    </row>
    <row r="217" spans="1:71">
      <c r="A217" s="28">
        <f t="shared" si="45"/>
        <v>216</v>
      </c>
      <c r="B217" s="30" t="s">
        <v>921</v>
      </c>
      <c r="C217" s="30" t="s">
        <v>72</v>
      </c>
      <c r="D217" s="30"/>
      <c r="E217" s="30" t="s">
        <v>911</v>
      </c>
      <c r="F217" s="30"/>
      <c r="G217" s="30" t="s">
        <v>503</v>
      </c>
      <c r="H217" s="35" t="s">
        <v>504</v>
      </c>
      <c r="I217" s="72">
        <v>8602</v>
      </c>
      <c r="J217" s="72"/>
      <c r="K217" s="30" t="s">
        <v>918</v>
      </c>
      <c r="L217" s="39"/>
      <c r="M217" s="30" t="s">
        <v>57</v>
      </c>
      <c r="N217" s="30"/>
      <c r="O217" s="30"/>
      <c r="P217" s="29"/>
      <c r="Q217" s="42">
        <v>2.5</v>
      </c>
      <c r="R217" s="47">
        <f t="shared" si="46"/>
        <v>47500</v>
      </c>
      <c r="S217" s="48">
        <v>145000</v>
      </c>
      <c r="T217" s="48">
        <f t="shared" si="47"/>
        <v>19000</v>
      </c>
      <c r="U217" s="39"/>
      <c r="V217" s="39"/>
      <c r="W217" s="39"/>
      <c r="X217" s="39">
        <v>0</v>
      </c>
      <c r="Y217" s="39">
        <v>0</v>
      </c>
      <c r="Z217" s="39">
        <v>0</v>
      </c>
      <c r="AA217" s="76">
        <v>1000</v>
      </c>
      <c r="AB217" s="76">
        <v>2000</v>
      </c>
      <c r="AC217" s="76">
        <v>4000</v>
      </c>
      <c r="AD217" s="76">
        <v>4000</v>
      </c>
      <c r="AE217" s="76">
        <v>4000</v>
      </c>
      <c r="AF217" s="76">
        <v>4000</v>
      </c>
      <c r="AG217" s="77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63"/>
      <c r="AT217" s="63" t="s">
        <v>80</v>
      </c>
      <c r="AU217" s="30" t="s">
        <v>788</v>
      </c>
      <c r="AV217" s="63"/>
      <c r="AW217" s="63"/>
      <c r="AX217" s="63"/>
      <c r="AY217" s="63"/>
      <c r="AZ217" s="63"/>
      <c r="BA217" s="63"/>
      <c r="BB217" s="63"/>
      <c r="BC217" s="63"/>
      <c r="BD217" s="63"/>
      <c r="BE217" s="63"/>
      <c r="BF217" s="63"/>
      <c r="BG217" s="63"/>
      <c r="BH217" s="63"/>
      <c r="BI217" s="63"/>
      <c r="BJ217" s="63"/>
      <c r="BK217" s="63"/>
      <c r="BL217" s="63">
        <f t="shared" si="44"/>
        <v>0</v>
      </c>
      <c r="BM217" s="63">
        <f t="shared" si="48"/>
        <v>0</v>
      </c>
      <c r="BN217" s="63">
        <f t="shared" si="49"/>
        <v>2500</v>
      </c>
      <c r="BO217" s="63">
        <f t="shared" si="50"/>
        <v>5000</v>
      </c>
      <c r="BP217" s="63">
        <f t="shared" si="51"/>
        <v>10000</v>
      </c>
      <c r="BQ217" s="63">
        <f t="shared" si="52"/>
        <v>10000</v>
      </c>
      <c r="BR217" s="63">
        <f t="shared" si="53"/>
        <v>10000</v>
      </c>
      <c r="BS217" s="63">
        <f t="shared" si="54"/>
        <v>10000</v>
      </c>
    </row>
    <row r="218" spans="1:71">
      <c r="A218" s="28">
        <f t="shared" si="45"/>
        <v>217</v>
      </c>
      <c r="B218" s="30" t="s">
        <v>922</v>
      </c>
      <c r="C218" s="30" t="s">
        <v>72</v>
      </c>
      <c r="D218" s="30"/>
      <c r="E218" s="30" t="s">
        <v>911</v>
      </c>
      <c r="F218" s="30"/>
      <c r="G218" s="30" t="s">
        <v>503</v>
      </c>
      <c r="H218" s="35" t="s">
        <v>504</v>
      </c>
      <c r="I218" s="72">
        <v>8602</v>
      </c>
      <c r="J218" s="72"/>
      <c r="K218" s="30" t="s">
        <v>916</v>
      </c>
      <c r="L218" s="39"/>
      <c r="M218" s="30" t="s">
        <v>57</v>
      </c>
      <c r="N218" s="30"/>
      <c r="O218" s="30"/>
      <c r="P218" s="29"/>
      <c r="Q218" s="42">
        <v>2.5</v>
      </c>
      <c r="R218" s="47">
        <f t="shared" si="46"/>
        <v>0</v>
      </c>
      <c r="S218" s="48">
        <v>120000</v>
      </c>
      <c r="T218" s="48">
        <f t="shared" si="47"/>
        <v>0</v>
      </c>
      <c r="U218" s="39"/>
      <c r="V218" s="39"/>
      <c r="W218" s="39"/>
      <c r="X218" s="39">
        <v>0</v>
      </c>
      <c r="Y218" s="39">
        <v>0</v>
      </c>
      <c r="Z218" s="39">
        <v>0</v>
      </c>
      <c r="AA218" s="39"/>
      <c r="AB218" s="39"/>
      <c r="AC218" s="39"/>
      <c r="AD218" s="39"/>
      <c r="AE218" s="39"/>
      <c r="AF218" s="39"/>
      <c r="AG218" s="77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63"/>
      <c r="AT218" s="63" t="s">
        <v>80</v>
      </c>
      <c r="AU218" s="30" t="s">
        <v>788</v>
      </c>
      <c r="AV218" s="63"/>
      <c r="AW218" s="63"/>
      <c r="AX218" s="63"/>
      <c r="AY218" s="63"/>
      <c r="AZ218" s="63"/>
      <c r="BA218" s="63"/>
      <c r="BB218" s="63"/>
      <c r="BC218" s="63"/>
      <c r="BD218" s="63"/>
      <c r="BE218" s="63"/>
      <c r="BF218" s="63"/>
      <c r="BG218" s="63"/>
      <c r="BH218" s="63"/>
      <c r="BI218" s="63"/>
      <c r="BJ218" s="63"/>
      <c r="BK218" s="63"/>
      <c r="BL218" s="63">
        <f t="shared" si="44"/>
        <v>0</v>
      </c>
      <c r="BM218" s="63">
        <f t="shared" si="48"/>
        <v>0</v>
      </c>
      <c r="BN218" s="63">
        <f t="shared" si="49"/>
        <v>0</v>
      </c>
      <c r="BO218" s="63">
        <f t="shared" si="50"/>
        <v>0</v>
      </c>
      <c r="BP218" s="63">
        <f t="shared" si="51"/>
        <v>0</v>
      </c>
      <c r="BQ218" s="63">
        <f t="shared" si="52"/>
        <v>0</v>
      </c>
      <c r="BR218" s="63">
        <f t="shared" si="53"/>
        <v>0</v>
      </c>
      <c r="BS218" s="63">
        <f t="shared" si="54"/>
        <v>0</v>
      </c>
    </row>
    <row r="219" spans="1:71">
      <c r="A219" s="28">
        <f t="shared" si="45"/>
        <v>218</v>
      </c>
      <c r="B219" s="30" t="s">
        <v>923</v>
      </c>
      <c r="C219" s="30" t="s">
        <v>72</v>
      </c>
      <c r="D219" s="30"/>
      <c r="E219" s="30" t="s">
        <v>911</v>
      </c>
      <c r="F219" s="30"/>
      <c r="G219" s="30" t="s">
        <v>503</v>
      </c>
      <c r="H219" s="35" t="s">
        <v>504</v>
      </c>
      <c r="I219" s="72">
        <v>8602</v>
      </c>
      <c r="J219" s="72"/>
      <c r="K219" s="30" t="s">
        <v>916</v>
      </c>
      <c r="L219" s="39"/>
      <c r="M219" s="30" t="s">
        <v>57</v>
      </c>
      <c r="N219" s="30"/>
      <c r="O219" s="30"/>
      <c r="P219" s="29"/>
      <c r="Q219" s="42">
        <v>2.5</v>
      </c>
      <c r="R219" s="47">
        <f t="shared" si="46"/>
        <v>47500</v>
      </c>
      <c r="S219" s="48">
        <v>120000</v>
      </c>
      <c r="T219" s="48">
        <f t="shared" si="47"/>
        <v>19000</v>
      </c>
      <c r="U219" s="39"/>
      <c r="V219" s="39"/>
      <c r="W219" s="39"/>
      <c r="X219" s="39">
        <v>0</v>
      </c>
      <c r="Y219" s="39">
        <v>0</v>
      </c>
      <c r="Z219" s="39">
        <v>0</v>
      </c>
      <c r="AA219" s="76">
        <v>1000</v>
      </c>
      <c r="AB219" s="76">
        <v>2000</v>
      </c>
      <c r="AC219" s="76">
        <v>4000</v>
      </c>
      <c r="AD219" s="76">
        <v>4000</v>
      </c>
      <c r="AE219" s="76">
        <v>4000</v>
      </c>
      <c r="AF219" s="76">
        <v>4000</v>
      </c>
      <c r="AG219" s="77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63"/>
      <c r="AT219" s="63" t="s">
        <v>80</v>
      </c>
      <c r="AU219" s="30" t="s">
        <v>788</v>
      </c>
      <c r="AV219" s="63"/>
      <c r="AW219" s="63"/>
      <c r="AX219" s="63"/>
      <c r="AY219" s="63"/>
      <c r="AZ219" s="63"/>
      <c r="BA219" s="63"/>
      <c r="BB219" s="63"/>
      <c r="BC219" s="63"/>
      <c r="BD219" s="63"/>
      <c r="BE219" s="63"/>
      <c r="BF219" s="63"/>
      <c r="BG219" s="63"/>
      <c r="BH219" s="63"/>
      <c r="BI219" s="63"/>
      <c r="BJ219" s="63"/>
      <c r="BK219" s="63"/>
      <c r="BL219" s="63">
        <f t="shared" si="44"/>
        <v>0</v>
      </c>
      <c r="BM219" s="63">
        <f t="shared" si="48"/>
        <v>0</v>
      </c>
      <c r="BN219" s="63">
        <f t="shared" si="49"/>
        <v>2500</v>
      </c>
      <c r="BO219" s="63">
        <f t="shared" si="50"/>
        <v>5000</v>
      </c>
      <c r="BP219" s="63">
        <f t="shared" si="51"/>
        <v>10000</v>
      </c>
      <c r="BQ219" s="63">
        <f t="shared" si="52"/>
        <v>10000</v>
      </c>
      <c r="BR219" s="63">
        <f t="shared" si="53"/>
        <v>10000</v>
      </c>
      <c r="BS219" s="63">
        <f t="shared" si="54"/>
        <v>10000</v>
      </c>
    </row>
    <row r="220" spans="1:71">
      <c r="A220" s="28">
        <f t="shared" si="45"/>
        <v>219</v>
      </c>
      <c r="B220" s="30" t="s">
        <v>924</v>
      </c>
      <c r="C220" s="30" t="s">
        <v>72</v>
      </c>
      <c r="D220" s="30"/>
      <c r="E220" s="30" t="s">
        <v>911</v>
      </c>
      <c r="F220" s="30"/>
      <c r="G220" s="30" t="s">
        <v>503</v>
      </c>
      <c r="H220" s="35" t="s">
        <v>504</v>
      </c>
      <c r="I220" s="72">
        <v>8602</v>
      </c>
      <c r="J220" s="72"/>
      <c r="K220" s="30" t="s">
        <v>916</v>
      </c>
      <c r="L220" s="39"/>
      <c r="M220" s="30" t="s">
        <v>57</v>
      </c>
      <c r="N220" s="30"/>
      <c r="O220" s="30"/>
      <c r="P220" s="29"/>
      <c r="Q220" s="42">
        <v>2.5</v>
      </c>
      <c r="R220" s="47">
        <f t="shared" si="46"/>
        <v>187500</v>
      </c>
      <c r="S220" s="48">
        <v>120000</v>
      </c>
      <c r="T220" s="48">
        <f t="shared" si="47"/>
        <v>75000</v>
      </c>
      <c r="U220" s="39"/>
      <c r="V220" s="39"/>
      <c r="W220" s="39"/>
      <c r="X220" s="39">
        <v>0</v>
      </c>
      <c r="Y220" s="39">
        <v>0</v>
      </c>
      <c r="Z220" s="39">
        <v>0</v>
      </c>
      <c r="AA220" s="39">
        <v>1000</v>
      </c>
      <c r="AB220" s="39">
        <v>4000</v>
      </c>
      <c r="AC220" s="39">
        <v>10000</v>
      </c>
      <c r="AD220" s="76">
        <v>20000</v>
      </c>
      <c r="AE220" s="76">
        <v>20000</v>
      </c>
      <c r="AF220" s="76">
        <v>20000</v>
      </c>
      <c r="AG220" s="77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63"/>
      <c r="AT220" s="63" t="s">
        <v>80</v>
      </c>
      <c r="AU220" s="30" t="s">
        <v>788</v>
      </c>
      <c r="AV220" s="63"/>
      <c r="AW220" s="63"/>
      <c r="AX220" s="63"/>
      <c r="AY220" s="63"/>
      <c r="AZ220" s="63"/>
      <c r="BA220" s="63"/>
      <c r="BB220" s="63"/>
      <c r="BC220" s="63"/>
      <c r="BD220" s="63"/>
      <c r="BE220" s="63"/>
      <c r="BF220" s="63"/>
      <c r="BG220" s="63"/>
      <c r="BH220" s="63"/>
      <c r="BI220" s="63"/>
      <c r="BJ220" s="63"/>
      <c r="BK220" s="63"/>
      <c r="BL220" s="63">
        <f t="shared" si="44"/>
        <v>0</v>
      </c>
      <c r="BM220" s="63">
        <f t="shared" si="48"/>
        <v>0</v>
      </c>
      <c r="BN220" s="63">
        <f t="shared" si="49"/>
        <v>2500</v>
      </c>
      <c r="BO220" s="63">
        <f t="shared" si="50"/>
        <v>10000</v>
      </c>
      <c r="BP220" s="63">
        <f t="shared" si="51"/>
        <v>25000</v>
      </c>
      <c r="BQ220" s="63">
        <f t="shared" si="52"/>
        <v>50000</v>
      </c>
      <c r="BR220" s="63">
        <f t="shared" si="53"/>
        <v>50000</v>
      </c>
      <c r="BS220" s="63">
        <f t="shared" si="54"/>
        <v>50000</v>
      </c>
    </row>
    <row r="221" spans="1:71">
      <c r="A221" s="28">
        <f t="shared" si="45"/>
        <v>220</v>
      </c>
      <c r="B221" s="30" t="s">
        <v>925</v>
      </c>
      <c r="C221" s="30" t="s">
        <v>72</v>
      </c>
      <c r="D221" s="30"/>
      <c r="E221" s="30" t="s">
        <v>911</v>
      </c>
      <c r="F221" s="30"/>
      <c r="G221" s="30" t="s">
        <v>503</v>
      </c>
      <c r="H221" s="35" t="s">
        <v>504</v>
      </c>
      <c r="I221" s="72">
        <v>8602</v>
      </c>
      <c r="J221" s="72"/>
      <c r="K221" s="30" t="s">
        <v>916</v>
      </c>
      <c r="L221" s="39"/>
      <c r="M221" s="30" t="s">
        <v>57</v>
      </c>
      <c r="N221" s="30"/>
      <c r="O221" s="30"/>
      <c r="P221" s="29"/>
      <c r="Q221" s="42">
        <v>2.5</v>
      </c>
      <c r="R221" s="47">
        <f t="shared" si="46"/>
        <v>92500</v>
      </c>
      <c r="S221" s="48">
        <v>120000</v>
      </c>
      <c r="T221" s="48">
        <f t="shared" si="47"/>
        <v>37000</v>
      </c>
      <c r="U221" s="39"/>
      <c r="V221" s="39"/>
      <c r="W221" s="39"/>
      <c r="X221" s="39">
        <v>0</v>
      </c>
      <c r="Y221" s="39">
        <v>0</v>
      </c>
      <c r="Z221" s="39">
        <v>0</v>
      </c>
      <c r="AA221" s="76">
        <v>1000</v>
      </c>
      <c r="AB221" s="76">
        <v>2000</v>
      </c>
      <c r="AC221" s="76">
        <v>4000</v>
      </c>
      <c r="AD221" s="76">
        <v>10000</v>
      </c>
      <c r="AE221" s="76">
        <v>10000</v>
      </c>
      <c r="AF221" s="76">
        <v>10000</v>
      </c>
      <c r="AG221" s="77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63"/>
      <c r="AT221" s="63" t="s">
        <v>80</v>
      </c>
      <c r="AU221" s="30" t="s">
        <v>788</v>
      </c>
      <c r="AV221" s="63"/>
      <c r="AW221" s="63"/>
      <c r="AX221" s="63"/>
      <c r="AY221" s="63"/>
      <c r="AZ221" s="63"/>
      <c r="BA221" s="63"/>
      <c r="BB221" s="63"/>
      <c r="BC221" s="63"/>
      <c r="BD221" s="63"/>
      <c r="BE221" s="63"/>
      <c r="BF221" s="63"/>
      <c r="BG221" s="63"/>
      <c r="BH221" s="63"/>
      <c r="BI221" s="63"/>
      <c r="BJ221" s="63"/>
      <c r="BK221" s="63"/>
      <c r="BL221" s="63">
        <f t="shared" si="44"/>
        <v>0</v>
      </c>
      <c r="BM221" s="63">
        <f t="shared" si="48"/>
        <v>0</v>
      </c>
      <c r="BN221" s="63">
        <f t="shared" si="49"/>
        <v>2500</v>
      </c>
      <c r="BO221" s="63">
        <f t="shared" si="50"/>
        <v>5000</v>
      </c>
      <c r="BP221" s="63">
        <f t="shared" si="51"/>
        <v>10000</v>
      </c>
      <c r="BQ221" s="63">
        <f t="shared" si="52"/>
        <v>25000</v>
      </c>
      <c r="BR221" s="63">
        <f t="shared" si="53"/>
        <v>25000</v>
      </c>
      <c r="BS221" s="63">
        <f t="shared" si="54"/>
        <v>25000</v>
      </c>
    </row>
    <row r="222" spans="1:71">
      <c r="A222" s="28">
        <f t="shared" si="45"/>
        <v>221</v>
      </c>
      <c r="B222" s="30" t="s">
        <v>926</v>
      </c>
      <c r="C222" s="30" t="s">
        <v>72</v>
      </c>
      <c r="D222" s="30"/>
      <c r="E222" s="30" t="s">
        <v>911</v>
      </c>
      <c r="F222" s="30"/>
      <c r="G222" s="30" t="s">
        <v>503</v>
      </c>
      <c r="H222" s="35" t="s">
        <v>504</v>
      </c>
      <c r="I222" s="72">
        <v>8602</v>
      </c>
      <c r="J222" s="72"/>
      <c r="K222" s="30" t="s">
        <v>916</v>
      </c>
      <c r="L222" s="39"/>
      <c r="M222" s="30" t="s">
        <v>57</v>
      </c>
      <c r="N222" s="30"/>
      <c r="O222" s="30"/>
      <c r="P222" s="29"/>
      <c r="Q222" s="42">
        <v>2.5</v>
      </c>
      <c r="R222" s="47">
        <f t="shared" si="46"/>
        <v>0</v>
      </c>
      <c r="S222" s="48">
        <v>120000</v>
      </c>
      <c r="T222" s="48">
        <f t="shared" si="47"/>
        <v>0</v>
      </c>
      <c r="U222" s="39"/>
      <c r="V222" s="39"/>
      <c r="W222" s="39"/>
      <c r="X222" s="39">
        <v>0</v>
      </c>
      <c r="Y222" s="39">
        <v>0</v>
      </c>
      <c r="Z222" s="39">
        <v>0</v>
      </c>
      <c r="AA222" s="39"/>
      <c r="AB222" s="39"/>
      <c r="AC222" s="39"/>
      <c r="AD222" s="39"/>
      <c r="AE222" s="39"/>
      <c r="AF222" s="39"/>
      <c r="AG222" s="77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63"/>
      <c r="AT222" s="63" t="s">
        <v>80</v>
      </c>
      <c r="AU222" s="30" t="s">
        <v>788</v>
      </c>
      <c r="AV222" s="63"/>
      <c r="AW222" s="63"/>
      <c r="AX222" s="63"/>
      <c r="AY222" s="63"/>
      <c r="AZ222" s="63"/>
      <c r="BA222" s="63"/>
      <c r="BB222" s="63"/>
      <c r="BC222" s="63"/>
      <c r="BD222" s="63"/>
      <c r="BE222" s="63"/>
      <c r="BF222" s="63"/>
      <c r="BG222" s="63"/>
      <c r="BH222" s="63"/>
      <c r="BI222" s="63"/>
      <c r="BJ222" s="63"/>
      <c r="BK222" s="63"/>
      <c r="BL222" s="63">
        <f t="shared" si="44"/>
        <v>0</v>
      </c>
      <c r="BM222" s="63">
        <f t="shared" si="48"/>
        <v>0</v>
      </c>
      <c r="BN222" s="63">
        <f t="shared" si="49"/>
        <v>0</v>
      </c>
      <c r="BO222" s="63">
        <f t="shared" si="50"/>
        <v>0</v>
      </c>
      <c r="BP222" s="63">
        <f t="shared" si="51"/>
        <v>0</v>
      </c>
      <c r="BQ222" s="63">
        <f t="shared" si="52"/>
        <v>0</v>
      </c>
      <c r="BR222" s="63">
        <f t="shared" si="53"/>
        <v>0</v>
      </c>
      <c r="BS222" s="63">
        <f t="shared" si="54"/>
        <v>0</v>
      </c>
    </row>
    <row r="223" spans="1:71">
      <c r="A223" s="28">
        <f t="shared" si="45"/>
        <v>222</v>
      </c>
      <c r="B223" s="30" t="s">
        <v>927</v>
      </c>
      <c r="C223" s="30" t="s">
        <v>72</v>
      </c>
      <c r="D223" s="63"/>
      <c r="E223" s="30" t="s">
        <v>911</v>
      </c>
      <c r="F223" s="63"/>
      <c r="G223" s="30" t="s">
        <v>503</v>
      </c>
      <c r="H223" s="35" t="s">
        <v>504</v>
      </c>
      <c r="I223" s="72">
        <v>8602</v>
      </c>
      <c r="J223" s="63"/>
      <c r="K223" s="30" t="s">
        <v>916</v>
      </c>
      <c r="L223" s="63"/>
      <c r="M223" s="30" t="s">
        <v>57</v>
      </c>
      <c r="N223" s="63"/>
      <c r="O223" s="63"/>
      <c r="P223" s="63"/>
      <c r="Q223" s="42">
        <v>2.5</v>
      </c>
      <c r="R223" s="47">
        <f t="shared" si="46"/>
        <v>125000</v>
      </c>
      <c r="S223" s="63"/>
      <c r="T223" s="48">
        <f t="shared" si="47"/>
        <v>50000</v>
      </c>
      <c r="U223" s="63"/>
      <c r="V223" s="63"/>
      <c r="W223" s="63"/>
      <c r="X223" s="63"/>
      <c r="Y223" s="63"/>
      <c r="Z223" s="63"/>
      <c r="AA223" s="76">
        <v>0</v>
      </c>
      <c r="AB223" s="76">
        <v>1000</v>
      </c>
      <c r="AC223" s="76">
        <v>4000</v>
      </c>
      <c r="AD223" s="76">
        <v>15000</v>
      </c>
      <c r="AE223" s="76">
        <v>15000</v>
      </c>
      <c r="AF223" s="76">
        <v>15000</v>
      </c>
      <c r="AG223" s="63"/>
      <c r="AH223" s="63"/>
      <c r="AI223" s="63"/>
      <c r="AJ223" s="63"/>
      <c r="AK223" s="63"/>
      <c r="AL223" s="63"/>
      <c r="AM223" s="63"/>
      <c r="AN223" s="63"/>
      <c r="AO223" s="63"/>
      <c r="AP223" s="63"/>
      <c r="AQ223" s="63"/>
      <c r="AR223" s="63"/>
      <c r="AS223" s="63"/>
      <c r="AT223" s="63" t="s">
        <v>80</v>
      </c>
      <c r="AU223" s="30" t="s">
        <v>788</v>
      </c>
      <c r="AV223" s="63"/>
      <c r="AW223" s="63"/>
      <c r="AX223" s="63"/>
      <c r="AY223" s="63"/>
      <c r="AZ223" s="63"/>
      <c r="BA223" s="63"/>
      <c r="BB223" s="63"/>
      <c r="BC223" s="63"/>
      <c r="BD223" s="63"/>
      <c r="BE223" s="63"/>
      <c r="BF223" s="63"/>
      <c r="BG223" s="63"/>
      <c r="BH223" s="63"/>
      <c r="BI223" s="63"/>
      <c r="BJ223" s="63"/>
      <c r="BK223" s="63"/>
      <c r="BL223" s="63">
        <f t="shared" si="44"/>
        <v>0</v>
      </c>
      <c r="BM223" s="63">
        <f t="shared" si="48"/>
        <v>0</v>
      </c>
      <c r="BN223" s="63">
        <f t="shared" si="49"/>
        <v>0</v>
      </c>
      <c r="BO223" s="63">
        <f t="shared" si="50"/>
        <v>2500</v>
      </c>
      <c r="BP223" s="63">
        <f t="shared" si="51"/>
        <v>10000</v>
      </c>
      <c r="BQ223" s="63">
        <f t="shared" si="52"/>
        <v>37500</v>
      </c>
      <c r="BR223" s="63">
        <f t="shared" si="53"/>
        <v>37500</v>
      </c>
      <c r="BS223" s="63">
        <f t="shared" si="54"/>
        <v>37500</v>
      </c>
    </row>
    <row r="224" spans="1:71">
      <c r="A224" s="28">
        <f t="shared" si="45"/>
        <v>223</v>
      </c>
      <c r="B224" s="30" t="s">
        <v>928</v>
      </c>
      <c r="C224" s="30" t="s">
        <v>72</v>
      </c>
      <c r="D224" s="63"/>
      <c r="E224" s="30" t="s">
        <v>911</v>
      </c>
      <c r="F224" s="63"/>
      <c r="G224" s="30" t="s">
        <v>503</v>
      </c>
      <c r="H224" s="35" t="s">
        <v>504</v>
      </c>
      <c r="I224" s="72">
        <v>8602</v>
      </c>
      <c r="J224" s="63"/>
      <c r="K224" s="30" t="s">
        <v>916</v>
      </c>
      <c r="L224" s="63"/>
      <c r="M224" s="30" t="s">
        <v>57</v>
      </c>
      <c r="N224" s="63"/>
      <c r="O224" s="63"/>
      <c r="P224" s="63"/>
      <c r="Q224" s="42">
        <v>2.5</v>
      </c>
      <c r="R224" s="47">
        <f t="shared" si="46"/>
        <v>97500</v>
      </c>
      <c r="S224" s="63"/>
      <c r="T224" s="48">
        <f t="shared" si="47"/>
        <v>39000</v>
      </c>
      <c r="U224" s="63"/>
      <c r="V224" s="63"/>
      <c r="W224" s="63"/>
      <c r="X224" s="63"/>
      <c r="Y224" s="63"/>
      <c r="Z224" s="63"/>
      <c r="AA224" s="76">
        <v>1000</v>
      </c>
      <c r="AB224" s="76">
        <v>4000</v>
      </c>
      <c r="AC224" s="76">
        <v>4000</v>
      </c>
      <c r="AD224" s="76">
        <v>10000</v>
      </c>
      <c r="AE224" s="76">
        <v>10000</v>
      </c>
      <c r="AF224" s="76">
        <v>10000</v>
      </c>
      <c r="AG224" s="63"/>
      <c r="AH224" s="63"/>
      <c r="AI224" s="63"/>
      <c r="AJ224" s="63"/>
      <c r="AK224" s="63"/>
      <c r="AL224" s="63"/>
      <c r="AM224" s="63"/>
      <c r="AN224" s="63"/>
      <c r="AO224" s="63"/>
      <c r="AP224" s="63"/>
      <c r="AQ224" s="63"/>
      <c r="AR224" s="63"/>
      <c r="AS224" s="63"/>
      <c r="AT224" s="63" t="s">
        <v>80</v>
      </c>
      <c r="AU224" s="30" t="s">
        <v>788</v>
      </c>
      <c r="AV224" s="63"/>
      <c r="AW224" s="63"/>
      <c r="AX224" s="63"/>
      <c r="AY224" s="63"/>
      <c r="AZ224" s="63"/>
      <c r="BA224" s="63"/>
      <c r="BB224" s="63"/>
      <c r="BC224" s="63"/>
      <c r="BD224" s="63"/>
      <c r="BE224" s="63"/>
      <c r="BF224" s="63"/>
      <c r="BG224" s="63"/>
      <c r="BH224" s="63"/>
      <c r="BI224" s="63"/>
      <c r="BJ224" s="63"/>
      <c r="BK224" s="63"/>
      <c r="BL224" s="63">
        <f t="shared" si="44"/>
        <v>0</v>
      </c>
      <c r="BM224" s="63">
        <f t="shared" si="48"/>
        <v>0</v>
      </c>
      <c r="BN224" s="63">
        <f t="shared" si="49"/>
        <v>2500</v>
      </c>
      <c r="BO224" s="63">
        <f t="shared" si="50"/>
        <v>10000</v>
      </c>
      <c r="BP224" s="63">
        <f t="shared" si="51"/>
        <v>10000</v>
      </c>
      <c r="BQ224" s="63">
        <f t="shared" si="52"/>
        <v>25000</v>
      </c>
      <c r="BR224" s="63">
        <f t="shared" si="53"/>
        <v>25000</v>
      </c>
      <c r="BS224" s="63">
        <f t="shared" si="54"/>
        <v>25000</v>
      </c>
    </row>
    <row r="225" spans="1:71">
      <c r="A225" s="28">
        <f t="shared" si="45"/>
        <v>224</v>
      </c>
      <c r="B225" s="30" t="s">
        <v>929</v>
      </c>
      <c r="C225" s="30" t="s">
        <v>72</v>
      </c>
      <c r="D225" s="63"/>
      <c r="E225" s="30" t="s">
        <v>911</v>
      </c>
      <c r="F225" s="63"/>
      <c r="G225" s="30" t="s">
        <v>503</v>
      </c>
      <c r="H225" s="35" t="s">
        <v>504</v>
      </c>
      <c r="I225" s="72">
        <v>8602</v>
      </c>
      <c r="J225" s="63"/>
      <c r="K225" s="30" t="s">
        <v>916</v>
      </c>
      <c r="L225" s="63"/>
      <c r="M225" s="30" t="s">
        <v>57</v>
      </c>
      <c r="N225" s="63"/>
      <c r="O225" s="63"/>
      <c r="P225" s="63"/>
      <c r="Q225" s="42">
        <v>2.5</v>
      </c>
      <c r="R225" s="47">
        <f t="shared" si="46"/>
        <v>92500</v>
      </c>
      <c r="S225" s="63"/>
      <c r="T225" s="48">
        <f t="shared" si="47"/>
        <v>37000</v>
      </c>
      <c r="U225" s="63"/>
      <c r="V225" s="63"/>
      <c r="W225" s="63"/>
      <c r="X225" s="63"/>
      <c r="Y225" s="63"/>
      <c r="Z225" s="63"/>
      <c r="AA225" s="76">
        <v>1000</v>
      </c>
      <c r="AB225" s="76">
        <v>2000</v>
      </c>
      <c r="AC225" s="76">
        <v>4000</v>
      </c>
      <c r="AD225" s="76">
        <v>10000</v>
      </c>
      <c r="AE225" s="76">
        <v>10000</v>
      </c>
      <c r="AF225" s="76">
        <v>10000</v>
      </c>
      <c r="AG225" s="63"/>
      <c r="AH225" s="63"/>
      <c r="AI225" s="63"/>
      <c r="AJ225" s="63"/>
      <c r="AK225" s="63"/>
      <c r="AL225" s="63"/>
      <c r="AM225" s="63"/>
      <c r="AN225" s="63"/>
      <c r="AO225" s="63"/>
      <c r="AP225" s="63"/>
      <c r="AQ225" s="63"/>
      <c r="AR225" s="63"/>
      <c r="AS225" s="63"/>
      <c r="AT225" s="63" t="s">
        <v>80</v>
      </c>
      <c r="AU225" s="30" t="s">
        <v>788</v>
      </c>
      <c r="AV225" s="63"/>
      <c r="AW225" s="63"/>
      <c r="AX225" s="63"/>
      <c r="AY225" s="63"/>
      <c r="AZ225" s="63"/>
      <c r="BA225" s="63"/>
      <c r="BB225" s="63"/>
      <c r="BC225" s="63"/>
      <c r="BD225" s="63"/>
      <c r="BE225" s="63"/>
      <c r="BF225" s="63"/>
      <c r="BG225" s="63"/>
      <c r="BH225" s="63"/>
      <c r="BI225" s="63"/>
      <c r="BJ225" s="63"/>
      <c r="BK225" s="63"/>
      <c r="BL225" s="63">
        <f t="shared" si="44"/>
        <v>0</v>
      </c>
      <c r="BM225" s="63">
        <f t="shared" si="48"/>
        <v>0</v>
      </c>
      <c r="BN225" s="63">
        <f t="shared" si="49"/>
        <v>2500</v>
      </c>
      <c r="BO225" s="63">
        <f t="shared" si="50"/>
        <v>5000</v>
      </c>
      <c r="BP225" s="63">
        <f t="shared" si="51"/>
        <v>10000</v>
      </c>
      <c r="BQ225" s="63">
        <f t="shared" si="52"/>
        <v>25000</v>
      </c>
      <c r="BR225" s="63">
        <f t="shared" si="53"/>
        <v>25000</v>
      </c>
      <c r="BS225" s="63">
        <f t="shared" si="54"/>
        <v>25000</v>
      </c>
    </row>
    <row r="226" spans="1:71">
      <c r="A226" s="28">
        <f t="shared" si="45"/>
        <v>225</v>
      </c>
      <c r="B226" s="31" t="s">
        <v>930</v>
      </c>
      <c r="C226" s="31" t="s">
        <v>92</v>
      </c>
      <c r="D226" s="30" t="s">
        <v>931</v>
      </c>
      <c r="E226" s="30" t="s">
        <v>74</v>
      </c>
      <c r="F226" s="30" t="s">
        <v>932</v>
      </c>
      <c r="G226" s="69" t="s">
        <v>351</v>
      </c>
      <c r="H226" s="68" t="s">
        <v>352</v>
      </c>
      <c r="I226" s="69"/>
      <c r="J226" s="69"/>
      <c r="K226" s="31" t="s">
        <v>933</v>
      </c>
      <c r="L226" s="40">
        <v>10800000</v>
      </c>
      <c r="M226" s="39" t="s">
        <v>57</v>
      </c>
      <c r="N226" s="31" t="s">
        <v>934</v>
      </c>
      <c r="O226" s="30" t="s">
        <v>935</v>
      </c>
      <c r="P226" s="30">
        <v>0.33</v>
      </c>
      <c r="Q226" s="42">
        <v>0.26</v>
      </c>
      <c r="R226" s="47">
        <f t="shared" si="46"/>
        <v>21840</v>
      </c>
      <c r="S226" s="75"/>
      <c r="T226" s="48">
        <f t="shared" si="47"/>
        <v>84000</v>
      </c>
      <c r="U226" s="40"/>
      <c r="V226" s="40"/>
      <c r="W226" s="40">
        <v>5000</v>
      </c>
      <c r="X226" s="40">
        <v>6000</v>
      </c>
      <c r="Y226" s="40">
        <v>12000</v>
      </c>
      <c r="Z226" s="40">
        <v>12000</v>
      </c>
      <c r="AA226" s="40">
        <v>12000</v>
      </c>
      <c r="AB226" s="40">
        <v>12000</v>
      </c>
      <c r="AC226" s="40">
        <v>12000</v>
      </c>
      <c r="AD226" s="40">
        <v>12000</v>
      </c>
      <c r="AE226" s="40">
        <v>12000</v>
      </c>
      <c r="AF226" s="40">
        <v>12000</v>
      </c>
      <c r="AG226" s="40"/>
      <c r="AH226" s="39"/>
      <c r="AI226" s="39"/>
      <c r="AJ226" s="39"/>
      <c r="AK226" s="39"/>
      <c r="AL226" s="39"/>
      <c r="AM226" s="39"/>
      <c r="AN226" s="39"/>
      <c r="AO226" s="39"/>
      <c r="AP226" s="39"/>
      <c r="AQ226" s="39"/>
      <c r="AR226" s="39"/>
      <c r="AS226" s="30" t="s">
        <v>74</v>
      </c>
      <c r="AT226" s="30" t="s">
        <v>80</v>
      </c>
      <c r="AU226" s="30" t="s">
        <v>81</v>
      </c>
      <c r="AV226" s="30" t="s">
        <v>82</v>
      </c>
      <c r="AW226" s="30" t="s">
        <v>936</v>
      </c>
      <c r="AX226" s="30" t="s">
        <v>937</v>
      </c>
      <c r="AY226" s="30" t="s">
        <v>933</v>
      </c>
      <c r="AZ226" s="30"/>
      <c r="BA226" s="30"/>
      <c r="BB226" s="30"/>
      <c r="BC226" s="58">
        <v>2</v>
      </c>
      <c r="BD226" s="30"/>
      <c r="BE226" s="55"/>
      <c r="BF226" s="55"/>
      <c r="BG226" s="55"/>
      <c r="BH226" s="55"/>
      <c r="BI226" s="55"/>
      <c r="BJ226" s="64"/>
      <c r="BK226" s="39"/>
      <c r="BL226" s="63">
        <f t="shared" si="44"/>
        <v>3120</v>
      </c>
      <c r="BM226" s="63">
        <f t="shared" si="48"/>
        <v>3120</v>
      </c>
      <c r="BN226" s="63">
        <f t="shared" si="49"/>
        <v>3120</v>
      </c>
      <c r="BO226" s="63">
        <f t="shared" si="50"/>
        <v>3120</v>
      </c>
      <c r="BP226" s="63">
        <f t="shared" si="51"/>
        <v>3120</v>
      </c>
      <c r="BQ226" s="63">
        <f t="shared" si="52"/>
        <v>3120</v>
      </c>
      <c r="BR226" s="63">
        <f t="shared" si="53"/>
        <v>3120</v>
      </c>
      <c r="BS226" s="63">
        <f t="shared" si="54"/>
        <v>3120</v>
      </c>
    </row>
    <row r="227" spans="1:71">
      <c r="A227" s="28">
        <f t="shared" si="45"/>
        <v>226</v>
      </c>
      <c r="B227" s="31" t="s">
        <v>938</v>
      </c>
      <c r="C227" s="31" t="s">
        <v>72</v>
      </c>
      <c r="D227" s="30" t="s">
        <v>73</v>
      </c>
      <c r="E227" s="30" t="s">
        <v>74</v>
      </c>
      <c r="F227" s="69" t="s">
        <v>75</v>
      </c>
      <c r="G227" s="69" t="s">
        <v>218</v>
      </c>
      <c r="H227" s="68" t="s">
        <v>221</v>
      </c>
      <c r="I227" s="69"/>
      <c r="J227" s="69"/>
      <c r="K227" s="69" t="s">
        <v>939</v>
      </c>
      <c r="L227" s="73">
        <v>12000000</v>
      </c>
      <c r="M227" s="31" t="s">
        <v>79</v>
      </c>
      <c r="N227" s="31"/>
      <c r="O227" s="69" t="s">
        <v>940</v>
      </c>
      <c r="P227" s="31"/>
      <c r="Q227" s="74">
        <v>0.12</v>
      </c>
      <c r="R227" s="47">
        <f t="shared" si="46"/>
        <v>0</v>
      </c>
      <c r="S227" s="75"/>
      <c r="T227" s="48">
        <f t="shared" si="47"/>
        <v>0</v>
      </c>
      <c r="U227" s="40">
        <v>1000000</v>
      </c>
      <c r="V227" s="40">
        <v>1000000</v>
      </c>
      <c r="W227" s="40">
        <v>1000000</v>
      </c>
      <c r="X227" s="40">
        <v>0</v>
      </c>
      <c r="Y227" s="40">
        <v>0</v>
      </c>
      <c r="Z227" s="40">
        <v>0</v>
      </c>
      <c r="AA227" s="40">
        <v>0</v>
      </c>
      <c r="AB227" s="40">
        <v>0</v>
      </c>
      <c r="AC227" s="40">
        <v>0</v>
      </c>
      <c r="AD227" s="40">
        <v>0</v>
      </c>
      <c r="AE227" s="40">
        <v>0</v>
      </c>
      <c r="AF227" s="40">
        <v>0</v>
      </c>
      <c r="AG227" s="40"/>
      <c r="AH227" s="39"/>
      <c r="AI227" s="39"/>
      <c r="AJ227" s="39"/>
      <c r="AK227" s="39"/>
      <c r="AL227" s="39"/>
      <c r="AM227" s="39"/>
      <c r="AN227" s="39"/>
      <c r="AO227" s="39"/>
      <c r="AP227" s="39"/>
      <c r="AQ227" s="39"/>
      <c r="AR227" s="39"/>
      <c r="AS227" s="30" t="s">
        <v>74</v>
      </c>
      <c r="AT227" s="30" t="s">
        <v>80</v>
      </c>
      <c r="AU227" s="30" t="s">
        <v>81</v>
      </c>
      <c r="AV227" s="30" t="s">
        <v>581</v>
      </c>
      <c r="AW227" s="30" t="s">
        <v>588</v>
      </c>
      <c r="AX227" s="30"/>
      <c r="AY227" s="30"/>
      <c r="AZ227" s="30"/>
      <c r="BA227" s="30"/>
      <c r="BB227" s="30"/>
      <c r="BC227" s="58"/>
      <c r="BD227" s="30"/>
      <c r="BE227" s="30"/>
      <c r="BF227" s="30"/>
      <c r="BG227" s="30"/>
      <c r="BH227" s="30"/>
      <c r="BI227" s="30"/>
      <c r="BJ227" s="31"/>
      <c r="BK227" s="31"/>
      <c r="BL227" s="63">
        <f t="shared" si="44"/>
        <v>0</v>
      </c>
      <c r="BM227" s="63">
        <f t="shared" si="48"/>
        <v>0</v>
      </c>
      <c r="BN227" s="63">
        <f t="shared" si="49"/>
        <v>0</v>
      </c>
      <c r="BO227" s="63">
        <f t="shared" si="50"/>
        <v>0</v>
      </c>
      <c r="BP227" s="63">
        <f t="shared" si="51"/>
        <v>0</v>
      </c>
      <c r="BQ227" s="63">
        <f t="shared" si="52"/>
        <v>0</v>
      </c>
      <c r="BR227" s="63">
        <f t="shared" si="53"/>
        <v>0</v>
      </c>
      <c r="BS227" s="63">
        <f t="shared" si="54"/>
        <v>0</v>
      </c>
    </row>
    <row r="228" spans="1:71">
      <c r="A228" s="28">
        <f t="shared" si="45"/>
        <v>227</v>
      </c>
      <c r="B228" s="31" t="s">
        <v>941</v>
      </c>
      <c r="C228" s="31" t="s">
        <v>527</v>
      </c>
      <c r="D228" s="30" t="s">
        <v>73</v>
      </c>
      <c r="E228" s="30" t="s">
        <v>74</v>
      </c>
      <c r="F228" s="69" t="s">
        <v>75</v>
      </c>
      <c r="G228" s="69" t="s">
        <v>333</v>
      </c>
      <c r="H228" s="68" t="s">
        <v>334</v>
      </c>
      <c r="I228" s="69"/>
      <c r="J228" s="69"/>
      <c r="K228" s="69" t="s">
        <v>942</v>
      </c>
      <c r="L228" s="73">
        <v>5000000</v>
      </c>
      <c r="M228" s="31" t="s">
        <v>57</v>
      </c>
      <c r="N228" s="31"/>
      <c r="O228" s="69" t="s">
        <v>89</v>
      </c>
      <c r="P228" s="30"/>
      <c r="Q228" s="74">
        <v>0.2</v>
      </c>
      <c r="R228" s="47">
        <f t="shared" si="46"/>
        <v>0</v>
      </c>
      <c r="S228" s="75"/>
      <c r="T228" s="48">
        <f t="shared" si="47"/>
        <v>0</v>
      </c>
      <c r="U228" s="40">
        <v>500000</v>
      </c>
      <c r="V228" s="40">
        <v>500000</v>
      </c>
      <c r="W228" s="40">
        <v>0</v>
      </c>
      <c r="X228" s="40">
        <v>0</v>
      </c>
      <c r="Y228" s="40">
        <v>0</v>
      </c>
      <c r="Z228" s="40">
        <v>0</v>
      </c>
      <c r="AA228" s="40">
        <v>0</v>
      </c>
      <c r="AB228" s="40">
        <v>0</v>
      </c>
      <c r="AC228" s="40">
        <v>0</v>
      </c>
      <c r="AD228" s="40">
        <v>0</v>
      </c>
      <c r="AE228" s="40">
        <v>0</v>
      </c>
      <c r="AF228" s="40">
        <v>0</v>
      </c>
      <c r="AG228" s="40"/>
      <c r="AH228" s="39"/>
      <c r="AI228" s="39"/>
      <c r="AJ228" s="39"/>
      <c r="AK228" s="39"/>
      <c r="AL228" s="39"/>
      <c r="AM228" s="39"/>
      <c r="AN228" s="39"/>
      <c r="AO228" s="39"/>
      <c r="AP228" s="39"/>
      <c r="AQ228" s="39"/>
      <c r="AR228" s="39"/>
      <c r="AS228" s="30"/>
      <c r="AT228" s="30" t="s">
        <v>80</v>
      </c>
      <c r="AU228" s="30" t="s">
        <v>81</v>
      </c>
      <c r="AV228" s="30"/>
      <c r="AW228" s="30"/>
      <c r="AX228" s="30"/>
      <c r="AY228" s="30"/>
      <c r="AZ228" s="30"/>
      <c r="BA228" s="30"/>
      <c r="BB228" s="30"/>
      <c r="BC228" s="58"/>
      <c r="BD228" s="30"/>
      <c r="BE228" s="55"/>
      <c r="BF228" s="55"/>
      <c r="BG228" s="55"/>
      <c r="BH228" s="55"/>
      <c r="BI228" s="55"/>
      <c r="BJ228" s="64"/>
      <c r="BK228" s="39"/>
      <c r="BL228" s="63">
        <f t="shared" si="44"/>
        <v>0</v>
      </c>
      <c r="BM228" s="63">
        <f t="shared" si="48"/>
        <v>0</v>
      </c>
      <c r="BN228" s="63">
        <f t="shared" si="49"/>
        <v>0</v>
      </c>
      <c r="BO228" s="63">
        <f t="shared" si="50"/>
        <v>0</v>
      </c>
      <c r="BP228" s="63">
        <f t="shared" si="51"/>
        <v>0</v>
      </c>
      <c r="BQ228" s="63">
        <f t="shared" si="52"/>
        <v>0</v>
      </c>
      <c r="BR228" s="63">
        <f t="shared" si="53"/>
        <v>0</v>
      </c>
      <c r="BS228" s="63">
        <f t="shared" si="54"/>
        <v>0</v>
      </c>
    </row>
    <row r="229" spans="1:71">
      <c r="A229" s="28">
        <f t="shared" si="45"/>
        <v>228</v>
      </c>
      <c r="B229" s="31" t="s">
        <v>943</v>
      </c>
      <c r="C229" s="31" t="s">
        <v>72</v>
      </c>
      <c r="D229" s="30" t="s">
        <v>73</v>
      </c>
      <c r="E229" s="30" t="s">
        <v>74</v>
      </c>
      <c r="F229" s="69" t="s">
        <v>75</v>
      </c>
      <c r="G229" s="69" t="s">
        <v>203</v>
      </c>
      <c r="H229" s="68" t="s">
        <v>204</v>
      </c>
      <c r="I229" s="69"/>
      <c r="J229" s="69"/>
      <c r="K229" s="69" t="s">
        <v>944</v>
      </c>
      <c r="L229" s="73">
        <v>1800000</v>
      </c>
      <c r="M229" s="31" t="s">
        <v>79</v>
      </c>
      <c r="N229" s="31"/>
      <c r="O229" s="69" t="s">
        <v>89</v>
      </c>
      <c r="P229" s="31"/>
      <c r="Q229" s="74">
        <v>0.28</v>
      </c>
      <c r="R229" s="47">
        <f t="shared" si="46"/>
        <v>588000</v>
      </c>
      <c r="S229" s="75"/>
      <c r="T229" s="48">
        <f t="shared" si="47"/>
        <v>2100000</v>
      </c>
      <c r="U229" s="40">
        <v>300000</v>
      </c>
      <c r="V229" s="40">
        <v>300000</v>
      </c>
      <c r="W229" s="40">
        <v>300000</v>
      </c>
      <c r="X229" s="40">
        <v>300000</v>
      </c>
      <c r="Y229" s="40">
        <v>300000</v>
      </c>
      <c r="Z229" s="40">
        <v>300000</v>
      </c>
      <c r="AA229" s="40">
        <v>300000</v>
      </c>
      <c r="AB229" s="40">
        <v>300000</v>
      </c>
      <c r="AC229" s="40">
        <v>300000</v>
      </c>
      <c r="AD229" s="40">
        <v>300000</v>
      </c>
      <c r="AE229" s="40">
        <v>300000</v>
      </c>
      <c r="AF229" s="40">
        <v>300000</v>
      </c>
      <c r="AG229" s="40"/>
      <c r="AH229" s="39"/>
      <c r="AI229" s="39"/>
      <c r="AJ229" s="39"/>
      <c r="AK229" s="39"/>
      <c r="AL229" s="39"/>
      <c r="AM229" s="39"/>
      <c r="AN229" s="39"/>
      <c r="AO229" s="39"/>
      <c r="AP229" s="39"/>
      <c r="AQ229" s="39"/>
      <c r="AR229" s="39"/>
      <c r="AS229" s="30" t="s">
        <v>74</v>
      </c>
      <c r="AT229" s="30" t="s">
        <v>80</v>
      </c>
      <c r="AU229" s="30" t="s">
        <v>81</v>
      </c>
      <c r="AV229" s="30" t="s">
        <v>82</v>
      </c>
      <c r="AW229" s="30" t="s">
        <v>945</v>
      </c>
      <c r="AX229" s="30" t="s">
        <v>946</v>
      </c>
      <c r="AY229" s="30"/>
      <c r="AZ229" s="30"/>
      <c r="BA229" s="30"/>
      <c r="BB229" s="30"/>
      <c r="BC229" s="58"/>
      <c r="BD229" s="30"/>
      <c r="BE229" s="30"/>
      <c r="BF229" s="30"/>
      <c r="BG229" s="30"/>
      <c r="BH229" s="30"/>
      <c r="BI229" s="30"/>
      <c r="BJ229" s="31"/>
      <c r="BK229" s="31"/>
      <c r="BL229" s="63">
        <f t="shared" si="44"/>
        <v>84000</v>
      </c>
      <c r="BM229" s="63">
        <f t="shared" si="48"/>
        <v>84000</v>
      </c>
      <c r="BN229" s="63">
        <f t="shared" si="49"/>
        <v>84000</v>
      </c>
      <c r="BO229" s="63">
        <f t="shared" si="50"/>
        <v>84000</v>
      </c>
      <c r="BP229" s="63">
        <f t="shared" si="51"/>
        <v>84000</v>
      </c>
      <c r="BQ229" s="63">
        <f t="shared" si="52"/>
        <v>84000</v>
      </c>
      <c r="BR229" s="63">
        <f t="shared" si="53"/>
        <v>84000</v>
      </c>
      <c r="BS229" s="63">
        <f t="shared" si="54"/>
        <v>84000</v>
      </c>
    </row>
    <row r="230" spans="1:71">
      <c r="A230" s="28">
        <f t="shared" si="45"/>
        <v>229</v>
      </c>
      <c r="B230" s="31" t="s">
        <v>947</v>
      </c>
      <c r="C230" s="31" t="s">
        <v>72</v>
      </c>
      <c r="D230" s="30" t="s">
        <v>931</v>
      </c>
      <c r="E230" s="30" t="s">
        <v>74</v>
      </c>
      <c r="F230" s="30" t="s">
        <v>948</v>
      </c>
      <c r="G230" s="30" t="s">
        <v>210</v>
      </c>
      <c r="H230" s="35" t="s">
        <v>215</v>
      </c>
      <c r="I230" s="30"/>
      <c r="J230" s="30"/>
      <c r="K230" s="30" t="s">
        <v>949</v>
      </c>
      <c r="L230" s="40">
        <v>10000000</v>
      </c>
      <c r="M230" s="39" t="s">
        <v>57</v>
      </c>
      <c r="N230" s="31" t="s">
        <v>950</v>
      </c>
      <c r="O230" s="30" t="s">
        <v>951</v>
      </c>
      <c r="P230" s="30">
        <v>0.35</v>
      </c>
      <c r="Q230" s="42">
        <v>0.22</v>
      </c>
      <c r="R230" s="47">
        <f t="shared" si="46"/>
        <v>0</v>
      </c>
      <c r="S230" s="75"/>
      <c r="T230" s="48">
        <f t="shared" si="47"/>
        <v>0</v>
      </c>
      <c r="U230" s="40">
        <v>0</v>
      </c>
      <c r="V230" s="40">
        <v>10000</v>
      </c>
      <c r="W230" s="40">
        <v>10000</v>
      </c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39"/>
      <c r="AI230" s="39"/>
      <c r="AJ230" s="39"/>
      <c r="AK230" s="39"/>
      <c r="AL230" s="39"/>
      <c r="AM230" s="39"/>
      <c r="AN230" s="39"/>
      <c r="AO230" s="39"/>
      <c r="AP230" s="39"/>
      <c r="AQ230" s="39"/>
      <c r="AR230" s="39"/>
      <c r="AS230" s="30" t="s">
        <v>74</v>
      </c>
      <c r="AT230" s="30" t="s">
        <v>80</v>
      </c>
      <c r="AU230" s="30" t="s">
        <v>81</v>
      </c>
      <c r="AV230" s="30" t="s">
        <v>581</v>
      </c>
      <c r="AW230" s="30" t="s">
        <v>588</v>
      </c>
      <c r="AX230" s="30" t="s">
        <v>607</v>
      </c>
      <c r="AY230" s="30" t="s">
        <v>952</v>
      </c>
      <c r="AZ230" s="30"/>
      <c r="BA230" s="30"/>
      <c r="BB230" s="30"/>
      <c r="BC230" s="58">
        <v>3</v>
      </c>
      <c r="BD230" s="30"/>
      <c r="BE230" s="55"/>
      <c r="BF230" s="55"/>
      <c r="BG230" s="55"/>
      <c r="BH230" s="55"/>
      <c r="BI230" s="55"/>
      <c r="BJ230" s="64"/>
      <c r="BK230" s="39"/>
      <c r="BL230" s="63">
        <f t="shared" si="44"/>
        <v>0</v>
      </c>
      <c r="BM230" s="63">
        <f t="shared" si="48"/>
        <v>0</v>
      </c>
      <c r="BN230" s="63">
        <f t="shared" si="49"/>
        <v>0</v>
      </c>
      <c r="BO230" s="63">
        <f t="shared" si="50"/>
        <v>0</v>
      </c>
      <c r="BP230" s="63">
        <f t="shared" si="51"/>
        <v>0</v>
      </c>
      <c r="BQ230" s="63">
        <f t="shared" si="52"/>
        <v>0</v>
      </c>
      <c r="BR230" s="63">
        <f t="shared" si="53"/>
        <v>0</v>
      </c>
      <c r="BS230" s="63">
        <f t="shared" si="54"/>
        <v>0</v>
      </c>
    </row>
    <row r="231" spans="1:71">
      <c r="A231" s="28">
        <f t="shared" si="45"/>
        <v>230</v>
      </c>
      <c r="B231" s="30" t="s">
        <v>953</v>
      </c>
      <c r="C231" s="30" t="s">
        <v>72</v>
      </c>
      <c r="D231" s="30" t="s">
        <v>129</v>
      </c>
      <c r="E231" s="30" t="s">
        <v>74</v>
      </c>
      <c r="F231" s="30" t="s">
        <v>130</v>
      </c>
      <c r="G231" s="30" t="s">
        <v>404</v>
      </c>
      <c r="H231" s="35"/>
      <c r="I231" s="30"/>
      <c r="J231" s="30"/>
      <c r="K231" s="30" t="s">
        <v>954</v>
      </c>
      <c r="L231" s="40">
        <v>240000</v>
      </c>
      <c r="M231" s="30" t="s">
        <v>57</v>
      </c>
      <c r="N231" s="30" t="s">
        <v>955</v>
      </c>
      <c r="O231" s="30"/>
      <c r="P231" s="30"/>
      <c r="Q231" s="74">
        <v>3.65</v>
      </c>
      <c r="R231" s="47">
        <f t="shared" si="46"/>
        <v>255500</v>
      </c>
      <c r="S231" s="30"/>
      <c r="T231" s="48">
        <f t="shared" si="47"/>
        <v>70000</v>
      </c>
      <c r="U231" s="40">
        <v>20000</v>
      </c>
      <c r="V231" s="40">
        <v>20000</v>
      </c>
      <c r="W231" s="40">
        <v>20000</v>
      </c>
      <c r="X231" s="40">
        <v>10000</v>
      </c>
      <c r="Y231" s="40">
        <v>10000</v>
      </c>
      <c r="Z231" s="40">
        <v>10000</v>
      </c>
      <c r="AA231" s="40">
        <v>10000</v>
      </c>
      <c r="AB231" s="40">
        <v>10000</v>
      </c>
      <c r="AC231" s="40">
        <v>10000</v>
      </c>
      <c r="AD231" s="40">
        <v>10000</v>
      </c>
      <c r="AE231" s="40">
        <v>10000</v>
      </c>
      <c r="AF231" s="40">
        <v>10000</v>
      </c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0" t="s">
        <v>74</v>
      </c>
      <c r="AT231" s="30" t="s">
        <v>80</v>
      </c>
      <c r="AU231" s="30" t="s">
        <v>956</v>
      </c>
      <c r="AV231" s="30" t="s">
        <v>106</v>
      </c>
      <c r="AW231" s="30" t="s">
        <v>140</v>
      </c>
      <c r="AX231" s="30" t="s">
        <v>645</v>
      </c>
      <c r="AY231" s="30"/>
      <c r="AZ231" s="31"/>
      <c r="BA231" s="31"/>
      <c r="BB231" s="31"/>
      <c r="BC231" s="31"/>
      <c r="BD231" s="79"/>
      <c r="BE231" s="79"/>
      <c r="BF231" s="79"/>
      <c r="BG231" s="79"/>
      <c r="BH231" s="79"/>
      <c r="BI231" s="79"/>
      <c r="BJ231" s="31"/>
      <c r="BK231" s="31"/>
      <c r="BL231" s="63">
        <f t="shared" si="44"/>
        <v>36500</v>
      </c>
      <c r="BM231" s="63">
        <f t="shared" si="48"/>
        <v>36500</v>
      </c>
      <c r="BN231" s="63">
        <f t="shared" si="49"/>
        <v>36500</v>
      </c>
      <c r="BO231" s="63">
        <f t="shared" si="50"/>
        <v>36500</v>
      </c>
      <c r="BP231" s="63">
        <f t="shared" si="51"/>
        <v>36500</v>
      </c>
      <c r="BQ231" s="63">
        <f t="shared" si="52"/>
        <v>36500</v>
      </c>
      <c r="BR231" s="63">
        <f t="shared" si="53"/>
        <v>36500</v>
      </c>
      <c r="BS231" s="63">
        <f t="shared" si="54"/>
        <v>36500</v>
      </c>
    </row>
    <row r="232" spans="1:71">
      <c r="A232" s="28">
        <f t="shared" si="45"/>
        <v>231</v>
      </c>
      <c r="B232" s="29" t="s">
        <v>71</v>
      </c>
      <c r="C232" s="30" t="s">
        <v>72</v>
      </c>
      <c r="D232" s="29" t="s">
        <v>73</v>
      </c>
      <c r="E232" s="30" t="s">
        <v>74</v>
      </c>
      <c r="F232" s="29" t="s">
        <v>75</v>
      </c>
      <c r="G232" s="29" t="s">
        <v>76</v>
      </c>
      <c r="H232" s="37" t="s">
        <v>77</v>
      </c>
      <c r="I232" s="29"/>
      <c r="J232" s="29"/>
      <c r="K232" s="29" t="s">
        <v>78</v>
      </c>
      <c r="L232" s="73">
        <v>2000000</v>
      </c>
      <c r="M232" s="31" t="s">
        <v>79</v>
      </c>
      <c r="N232" s="31"/>
      <c r="O232" s="30"/>
      <c r="P232" s="31"/>
      <c r="Q232" s="74">
        <v>0.19</v>
      </c>
      <c r="R232" s="47">
        <f t="shared" si="46"/>
        <v>465500</v>
      </c>
      <c r="S232" s="75"/>
      <c r="T232" s="48">
        <f t="shared" si="47"/>
        <v>2450000</v>
      </c>
      <c r="U232" s="40">
        <v>350000</v>
      </c>
      <c r="V232" s="40">
        <v>350000</v>
      </c>
      <c r="W232" s="40">
        <v>350000</v>
      </c>
      <c r="X232" s="40">
        <v>350000</v>
      </c>
      <c r="Y232" s="40">
        <v>350000</v>
      </c>
      <c r="Z232" s="40">
        <v>350000</v>
      </c>
      <c r="AA232" s="40">
        <v>350000</v>
      </c>
      <c r="AB232" s="40">
        <v>350000</v>
      </c>
      <c r="AC232" s="40">
        <v>350000</v>
      </c>
      <c r="AD232" s="40">
        <v>350000</v>
      </c>
      <c r="AE232" s="40">
        <v>350000</v>
      </c>
      <c r="AF232" s="40">
        <v>350000</v>
      </c>
      <c r="AG232" s="40"/>
      <c r="AH232" s="39"/>
      <c r="AI232" s="39"/>
      <c r="AJ232" s="39"/>
      <c r="AK232" s="39"/>
      <c r="AL232" s="39"/>
      <c r="AM232" s="39"/>
      <c r="AN232" s="39"/>
      <c r="AO232" s="39"/>
      <c r="AP232" s="39"/>
      <c r="AQ232" s="39"/>
      <c r="AR232" s="39"/>
      <c r="AS232" s="30" t="s">
        <v>74</v>
      </c>
      <c r="AT232" s="30" t="s">
        <v>80</v>
      </c>
      <c r="AU232" s="30" t="s">
        <v>81</v>
      </c>
      <c r="AV232" s="30" t="s">
        <v>82</v>
      </c>
      <c r="AW232" s="30"/>
      <c r="AX232" s="30"/>
      <c r="AY232" s="30"/>
      <c r="AZ232" s="30"/>
      <c r="BA232" s="30"/>
      <c r="BB232" s="30"/>
      <c r="BC232" s="58"/>
      <c r="BD232" s="30"/>
      <c r="BE232" s="55"/>
      <c r="BF232" s="55"/>
      <c r="BG232" s="55"/>
      <c r="BH232" s="55"/>
      <c r="BI232" s="55"/>
      <c r="BJ232" s="64"/>
      <c r="BK232" s="39"/>
      <c r="BL232" s="63">
        <f t="shared" si="44"/>
        <v>66500</v>
      </c>
      <c r="BM232" s="63">
        <f t="shared" si="48"/>
        <v>66500</v>
      </c>
      <c r="BN232" s="63">
        <f t="shared" si="49"/>
        <v>66500</v>
      </c>
      <c r="BO232" s="63">
        <f t="shared" si="50"/>
        <v>66500</v>
      </c>
      <c r="BP232" s="63">
        <f t="shared" si="51"/>
        <v>66500</v>
      </c>
      <c r="BQ232" s="63">
        <f t="shared" si="52"/>
        <v>66500</v>
      </c>
      <c r="BR232" s="63">
        <f t="shared" si="53"/>
        <v>66500</v>
      </c>
      <c r="BS232" s="63">
        <f t="shared" si="54"/>
        <v>66500</v>
      </c>
    </row>
    <row r="233" spans="1:71">
      <c r="A233" s="28">
        <f t="shared" si="45"/>
        <v>232</v>
      </c>
      <c r="B233" s="31" t="s">
        <v>957</v>
      </c>
      <c r="C233" s="31" t="s">
        <v>92</v>
      </c>
      <c r="D233" s="30" t="s">
        <v>610</v>
      </c>
      <c r="E233" s="30" t="s">
        <v>74</v>
      </c>
      <c r="F233" s="30" t="s">
        <v>958</v>
      </c>
      <c r="G233" s="30" t="s">
        <v>261</v>
      </c>
      <c r="H233" s="35" t="s">
        <v>262</v>
      </c>
      <c r="I233" s="30"/>
      <c r="J233" s="30"/>
      <c r="K233" s="30" t="s">
        <v>959</v>
      </c>
      <c r="L233" s="40"/>
      <c r="M233" s="39" t="s">
        <v>79</v>
      </c>
      <c r="N233" s="31" t="s">
        <v>103</v>
      </c>
      <c r="O233" s="30"/>
      <c r="P233" s="30"/>
      <c r="Q233" s="42">
        <v>0.46</v>
      </c>
      <c r="R233" s="47">
        <f t="shared" si="46"/>
        <v>483000</v>
      </c>
      <c r="S233" s="75"/>
      <c r="T233" s="48">
        <f t="shared" si="47"/>
        <v>1050000</v>
      </c>
      <c r="U233" s="40">
        <v>150000</v>
      </c>
      <c r="V233" s="40">
        <v>150000</v>
      </c>
      <c r="W233" s="40">
        <v>150000</v>
      </c>
      <c r="X233" s="40">
        <v>150000</v>
      </c>
      <c r="Y233" s="40">
        <v>150000</v>
      </c>
      <c r="Z233" s="40">
        <v>150000</v>
      </c>
      <c r="AA233" s="40">
        <v>150000</v>
      </c>
      <c r="AB233" s="40">
        <v>150000</v>
      </c>
      <c r="AC233" s="40">
        <v>150000</v>
      </c>
      <c r="AD233" s="40">
        <v>150000</v>
      </c>
      <c r="AE233" s="40">
        <v>150000</v>
      </c>
      <c r="AF233" s="40">
        <v>150000</v>
      </c>
      <c r="AG233" s="40"/>
      <c r="AH233" s="39"/>
      <c r="AI233" s="39"/>
      <c r="AJ233" s="39"/>
      <c r="AK233" s="39"/>
      <c r="AL233" s="39"/>
      <c r="AM233" s="39"/>
      <c r="AN233" s="39"/>
      <c r="AO233" s="39"/>
      <c r="AP233" s="39"/>
      <c r="AQ233" s="39"/>
      <c r="AR233" s="39"/>
      <c r="AS233" s="30" t="s">
        <v>74</v>
      </c>
      <c r="AT233" s="30" t="s">
        <v>80</v>
      </c>
      <c r="AU233" s="30" t="s">
        <v>81</v>
      </c>
      <c r="AV233" s="30" t="s">
        <v>117</v>
      </c>
      <c r="AW233" s="30" t="s">
        <v>143</v>
      </c>
      <c r="AX233" s="30" t="s">
        <v>960</v>
      </c>
      <c r="AY233" s="30" t="s">
        <v>961</v>
      </c>
      <c r="AZ233" s="30"/>
      <c r="BA233" s="30"/>
      <c r="BB233" s="30"/>
      <c r="BC233" s="58"/>
      <c r="BD233" s="30"/>
      <c r="BE233" s="55"/>
      <c r="BF233" s="55"/>
      <c r="BG233" s="55"/>
      <c r="BH233" s="55"/>
      <c r="BI233" s="55"/>
      <c r="BJ233" s="64"/>
      <c r="BK233" s="39"/>
      <c r="BL233" s="63">
        <f t="shared" si="44"/>
        <v>69000</v>
      </c>
      <c r="BM233" s="63">
        <f t="shared" si="48"/>
        <v>69000</v>
      </c>
      <c r="BN233" s="63">
        <f t="shared" si="49"/>
        <v>69000</v>
      </c>
      <c r="BO233" s="63">
        <f t="shared" si="50"/>
        <v>69000</v>
      </c>
      <c r="BP233" s="63">
        <f t="shared" si="51"/>
        <v>69000</v>
      </c>
      <c r="BQ233" s="63">
        <f t="shared" si="52"/>
        <v>69000</v>
      </c>
      <c r="BR233" s="63">
        <f t="shared" si="53"/>
        <v>69000</v>
      </c>
      <c r="BS233" s="63">
        <f t="shared" si="54"/>
        <v>69000</v>
      </c>
    </row>
    <row r="234" spans="1:71">
      <c r="A234" s="28">
        <f t="shared" si="45"/>
        <v>233</v>
      </c>
      <c r="B234" s="30" t="s">
        <v>71</v>
      </c>
      <c r="C234" s="30" t="s">
        <v>72</v>
      </c>
      <c r="D234" s="69" t="s">
        <v>73</v>
      </c>
      <c r="E234" s="30" t="s">
        <v>74</v>
      </c>
      <c r="F234" s="69" t="s">
        <v>75</v>
      </c>
      <c r="G234" s="69" t="s">
        <v>287</v>
      </c>
      <c r="H234" s="68" t="s">
        <v>288</v>
      </c>
      <c r="I234" s="69"/>
      <c r="J234" s="69"/>
      <c r="K234" s="69" t="s">
        <v>962</v>
      </c>
      <c r="L234" s="73">
        <v>3000000</v>
      </c>
      <c r="M234" s="30" t="s">
        <v>56</v>
      </c>
      <c r="N234" s="31"/>
      <c r="O234" s="30"/>
      <c r="P234" s="31"/>
      <c r="Q234" s="74">
        <v>0.25</v>
      </c>
      <c r="R234" s="47">
        <f t="shared" si="46"/>
        <v>462500</v>
      </c>
      <c r="S234" s="75"/>
      <c r="T234" s="48">
        <f t="shared" si="47"/>
        <v>1850000</v>
      </c>
      <c r="U234" s="40"/>
      <c r="V234" s="40"/>
      <c r="W234" s="40">
        <v>50000</v>
      </c>
      <c r="X234" s="40">
        <v>50000</v>
      </c>
      <c r="Y234" s="40">
        <v>50000</v>
      </c>
      <c r="Z234" s="40">
        <v>50000</v>
      </c>
      <c r="AA234" s="40">
        <v>300000</v>
      </c>
      <c r="AB234" s="40">
        <v>300000</v>
      </c>
      <c r="AC234" s="40">
        <v>300000</v>
      </c>
      <c r="AD234" s="40">
        <v>300000</v>
      </c>
      <c r="AE234" s="40">
        <v>300000</v>
      </c>
      <c r="AF234" s="40">
        <v>300000</v>
      </c>
      <c r="AG234" s="40"/>
      <c r="AH234" s="39"/>
      <c r="AI234" s="39"/>
      <c r="AJ234" s="39"/>
      <c r="AK234" s="39"/>
      <c r="AL234" s="39"/>
      <c r="AM234" s="39"/>
      <c r="AN234" s="39"/>
      <c r="AO234" s="39"/>
      <c r="AP234" s="39"/>
      <c r="AQ234" s="39"/>
      <c r="AR234" s="39"/>
      <c r="AS234" s="30" t="s">
        <v>74</v>
      </c>
      <c r="AT234" s="30" t="s">
        <v>80</v>
      </c>
      <c r="AU234" s="30" t="s">
        <v>81</v>
      </c>
      <c r="AV234" s="30" t="s">
        <v>106</v>
      </c>
      <c r="AW234" s="30"/>
      <c r="AX234" s="30"/>
      <c r="AY234" s="30"/>
      <c r="AZ234" s="30"/>
      <c r="BA234" s="30"/>
      <c r="BB234" s="30"/>
      <c r="BC234" s="58"/>
      <c r="BD234" s="30"/>
      <c r="BE234" s="55"/>
      <c r="BF234" s="55"/>
      <c r="BG234" s="55"/>
      <c r="BH234" s="55"/>
      <c r="BI234" s="55"/>
      <c r="BJ234" s="64"/>
      <c r="BK234" s="39"/>
      <c r="BL234" s="63">
        <f t="shared" si="44"/>
        <v>12500</v>
      </c>
      <c r="BM234" s="63">
        <f t="shared" si="48"/>
        <v>12500</v>
      </c>
      <c r="BN234" s="63">
        <f t="shared" si="49"/>
        <v>75000</v>
      </c>
      <c r="BO234" s="63">
        <f t="shared" si="50"/>
        <v>75000</v>
      </c>
      <c r="BP234" s="63">
        <f t="shared" si="51"/>
        <v>75000</v>
      </c>
      <c r="BQ234" s="63">
        <f t="shared" si="52"/>
        <v>75000</v>
      </c>
      <c r="BR234" s="63">
        <f t="shared" si="53"/>
        <v>75000</v>
      </c>
      <c r="BS234" s="63">
        <f t="shared" si="54"/>
        <v>75000</v>
      </c>
    </row>
    <row r="235" spans="1:71">
      <c r="A235" s="28">
        <f t="shared" si="45"/>
        <v>234</v>
      </c>
      <c r="B235" s="31" t="s">
        <v>963</v>
      </c>
      <c r="C235" s="31" t="s">
        <v>92</v>
      </c>
      <c r="D235" s="30" t="s">
        <v>610</v>
      </c>
      <c r="E235" s="30" t="s">
        <v>74</v>
      </c>
      <c r="F235" s="30" t="s">
        <v>958</v>
      </c>
      <c r="G235" s="30" t="s">
        <v>354</v>
      </c>
      <c r="H235" s="35" t="s">
        <v>355</v>
      </c>
      <c r="I235" s="30"/>
      <c r="J235" s="30"/>
      <c r="K235" s="31" t="s">
        <v>946</v>
      </c>
      <c r="L235" s="40">
        <v>2600000</v>
      </c>
      <c r="M235" s="39" t="s">
        <v>114</v>
      </c>
      <c r="N235" s="31" t="s">
        <v>964</v>
      </c>
      <c r="O235" s="30" t="s">
        <v>965</v>
      </c>
      <c r="P235" s="30">
        <v>0.31</v>
      </c>
      <c r="Q235" s="42">
        <v>0.44</v>
      </c>
      <c r="R235" s="47">
        <f t="shared" si="46"/>
        <v>572000</v>
      </c>
      <c r="S235" s="75"/>
      <c r="T235" s="48">
        <f t="shared" si="47"/>
        <v>1300000</v>
      </c>
      <c r="U235" s="40"/>
      <c r="V235" s="40">
        <v>0</v>
      </c>
      <c r="W235" s="40">
        <v>100000</v>
      </c>
      <c r="X235" s="40">
        <v>100000</v>
      </c>
      <c r="Y235" s="40">
        <v>200000</v>
      </c>
      <c r="Z235" s="40">
        <v>100000</v>
      </c>
      <c r="AA235" s="40">
        <v>100000</v>
      </c>
      <c r="AB235" s="40">
        <v>100000</v>
      </c>
      <c r="AC235" s="40">
        <v>100000</v>
      </c>
      <c r="AD235" s="40">
        <v>500000</v>
      </c>
      <c r="AE235" s="40">
        <v>200000</v>
      </c>
      <c r="AF235" s="40">
        <v>200000</v>
      </c>
      <c r="AG235" s="40"/>
      <c r="AH235" s="39"/>
      <c r="AI235" s="39"/>
      <c r="AJ235" s="39"/>
      <c r="AK235" s="39"/>
      <c r="AL235" s="39"/>
      <c r="AM235" s="39"/>
      <c r="AN235" s="39"/>
      <c r="AO235" s="39"/>
      <c r="AP235" s="39"/>
      <c r="AQ235" s="39"/>
      <c r="AR235" s="39"/>
      <c r="AS235" s="30" t="s">
        <v>74</v>
      </c>
      <c r="AT235" s="30" t="s">
        <v>80</v>
      </c>
      <c r="AU235" s="30" t="s">
        <v>81</v>
      </c>
      <c r="AV235" s="30" t="s">
        <v>82</v>
      </c>
      <c r="AW235" s="30" t="s">
        <v>945</v>
      </c>
      <c r="AX235" s="30" t="s">
        <v>946</v>
      </c>
      <c r="AY235" s="30" t="s">
        <v>966</v>
      </c>
      <c r="AZ235" s="30"/>
      <c r="BA235" s="30"/>
      <c r="BB235" s="30"/>
      <c r="BC235" s="58">
        <v>1</v>
      </c>
      <c r="BD235" s="30"/>
      <c r="BE235" s="55"/>
      <c r="BF235" s="55"/>
      <c r="BG235" s="55"/>
      <c r="BH235" s="55"/>
      <c r="BI235" s="55"/>
      <c r="BJ235" s="64"/>
      <c r="BK235" s="39"/>
      <c r="BL235" s="63">
        <f t="shared" si="44"/>
        <v>88000</v>
      </c>
      <c r="BM235" s="63">
        <f t="shared" si="48"/>
        <v>44000</v>
      </c>
      <c r="BN235" s="63">
        <f t="shared" si="49"/>
        <v>44000</v>
      </c>
      <c r="BO235" s="63">
        <f t="shared" si="50"/>
        <v>44000</v>
      </c>
      <c r="BP235" s="63">
        <f t="shared" si="51"/>
        <v>44000</v>
      </c>
      <c r="BQ235" s="63">
        <f t="shared" si="52"/>
        <v>220000</v>
      </c>
      <c r="BR235" s="63">
        <f t="shared" si="53"/>
        <v>88000</v>
      </c>
      <c r="BS235" s="63">
        <f t="shared" si="54"/>
        <v>88000</v>
      </c>
    </row>
    <row r="236" spans="1:71">
      <c r="A236" s="28">
        <f t="shared" si="45"/>
        <v>235</v>
      </c>
      <c r="B236" s="31" t="s">
        <v>967</v>
      </c>
      <c r="C236" s="30" t="s">
        <v>72</v>
      </c>
      <c r="D236" s="30" t="s">
        <v>610</v>
      </c>
      <c r="E236" s="30" t="s">
        <v>74</v>
      </c>
      <c r="F236" s="30" t="s">
        <v>968</v>
      </c>
      <c r="G236" s="31" t="s">
        <v>301</v>
      </c>
      <c r="H236" s="36" t="s">
        <v>302</v>
      </c>
      <c r="I236" s="31"/>
      <c r="J236" s="31"/>
      <c r="K236" s="30" t="s">
        <v>555</v>
      </c>
      <c r="L236" s="40">
        <v>5000000</v>
      </c>
      <c r="M236" s="39" t="s">
        <v>57</v>
      </c>
      <c r="N236" s="31" t="s">
        <v>969</v>
      </c>
      <c r="O236" s="30"/>
      <c r="P236" s="30"/>
      <c r="Q236" s="42">
        <v>0.62</v>
      </c>
      <c r="R236" s="47">
        <f t="shared" si="46"/>
        <v>0</v>
      </c>
      <c r="S236" s="75"/>
      <c r="T236" s="48">
        <f t="shared" si="47"/>
        <v>0</v>
      </c>
      <c r="U236" s="40">
        <v>50000</v>
      </c>
      <c r="V236" s="40">
        <v>50000</v>
      </c>
      <c r="W236" s="40">
        <v>100000</v>
      </c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39"/>
      <c r="AI236" s="39"/>
      <c r="AJ236" s="39"/>
      <c r="AK236" s="39"/>
      <c r="AL236" s="39"/>
      <c r="AM236" s="39"/>
      <c r="AN236" s="39"/>
      <c r="AO236" s="39"/>
      <c r="AP236" s="39"/>
      <c r="AQ236" s="39"/>
      <c r="AR236" s="39"/>
      <c r="AS236" s="30" t="s">
        <v>74</v>
      </c>
      <c r="AT236" s="30" t="s">
        <v>80</v>
      </c>
      <c r="AU236" s="30" t="s">
        <v>81</v>
      </c>
      <c r="AV236" s="30" t="s">
        <v>117</v>
      </c>
      <c r="AW236" s="30" t="s">
        <v>553</v>
      </c>
      <c r="AX236" s="30" t="s">
        <v>554</v>
      </c>
      <c r="AY236" s="30" t="s">
        <v>555</v>
      </c>
      <c r="AZ236" s="30"/>
      <c r="BA236" s="30"/>
      <c r="BB236" s="30"/>
      <c r="BC236" s="58"/>
      <c r="BD236" s="30"/>
      <c r="BE236" s="55"/>
      <c r="BF236" s="55"/>
      <c r="BG236" s="55"/>
      <c r="BH236" s="55"/>
      <c r="BI236" s="55"/>
      <c r="BJ236" s="64"/>
      <c r="BK236" s="39"/>
      <c r="BL236" s="63">
        <f t="shared" si="44"/>
        <v>0</v>
      </c>
      <c r="BM236" s="63">
        <f t="shared" si="48"/>
        <v>0</v>
      </c>
      <c r="BN236" s="63">
        <f t="shared" si="49"/>
        <v>0</v>
      </c>
      <c r="BO236" s="63">
        <f t="shared" si="50"/>
        <v>0</v>
      </c>
      <c r="BP236" s="63">
        <f t="shared" si="51"/>
        <v>0</v>
      </c>
      <c r="BQ236" s="63">
        <f t="shared" si="52"/>
        <v>0</v>
      </c>
      <c r="BR236" s="63">
        <f t="shared" si="53"/>
        <v>0</v>
      </c>
      <c r="BS236" s="63">
        <f t="shared" si="54"/>
        <v>0</v>
      </c>
    </row>
    <row r="237" spans="1:71">
      <c r="A237" s="28">
        <f t="shared" si="45"/>
        <v>236</v>
      </c>
      <c r="B237" s="31" t="s">
        <v>90</v>
      </c>
      <c r="C237" s="30" t="s">
        <v>72</v>
      </c>
      <c r="D237" s="30" t="s">
        <v>84</v>
      </c>
      <c r="E237" s="30" t="s">
        <v>74</v>
      </c>
      <c r="F237" s="69" t="s">
        <v>85</v>
      </c>
      <c r="G237" s="30" t="s">
        <v>402</v>
      </c>
      <c r="H237" s="35" t="s">
        <v>402</v>
      </c>
      <c r="I237" s="30"/>
      <c r="J237" s="30"/>
      <c r="K237" s="30" t="s">
        <v>87</v>
      </c>
      <c r="L237" s="40">
        <v>100000</v>
      </c>
      <c r="M237" s="39" t="s">
        <v>79</v>
      </c>
      <c r="N237" s="31" t="s">
        <v>88</v>
      </c>
      <c r="O237" s="30" t="s">
        <v>89</v>
      </c>
      <c r="P237" s="30" t="s">
        <v>89</v>
      </c>
      <c r="Q237" s="42">
        <v>3</v>
      </c>
      <c r="R237" s="47">
        <f t="shared" si="46"/>
        <v>312480</v>
      </c>
      <c r="S237" s="75"/>
      <c r="T237" s="48">
        <f t="shared" si="47"/>
        <v>104160</v>
      </c>
      <c r="U237" s="40">
        <v>14880</v>
      </c>
      <c r="V237" s="40">
        <v>14880</v>
      </c>
      <c r="W237" s="40">
        <v>14880</v>
      </c>
      <c r="X237" s="40">
        <v>14880</v>
      </c>
      <c r="Y237" s="40">
        <v>14880</v>
      </c>
      <c r="Z237" s="40">
        <v>14880</v>
      </c>
      <c r="AA237" s="40">
        <v>14880</v>
      </c>
      <c r="AB237" s="40">
        <v>14880</v>
      </c>
      <c r="AC237" s="40">
        <v>14880</v>
      </c>
      <c r="AD237" s="40">
        <v>14880</v>
      </c>
      <c r="AE237" s="40">
        <v>14880</v>
      </c>
      <c r="AF237" s="40">
        <v>14880</v>
      </c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0" t="s">
        <v>74</v>
      </c>
      <c r="AT237" s="30" t="s">
        <v>80</v>
      </c>
      <c r="AU237" s="30" t="s">
        <v>956</v>
      </c>
      <c r="AV237" s="30" t="s">
        <v>82</v>
      </c>
      <c r="AW237" s="30"/>
      <c r="AX237" s="30"/>
      <c r="AY237" s="30"/>
      <c r="AZ237" s="31"/>
      <c r="BA237" s="31"/>
      <c r="BB237" s="31"/>
      <c r="BC237" s="31"/>
      <c r="BD237" s="79"/>
      <c r="BE237" s="79"/>
      <c r="BF237" s="79"/>
      <c r="BG237" s="79"/>
      <c r="BH237" s="79"/>
      <c r="BI237" s="79"/>
      <c r="BJ237" s="31"/>
      <c r="BK237" s="31"/>
      <c r="BL237" s="63">
        <f t="shared" si="44"/>
        <v>44640</v>
      </c>
      <c r="BM237" s="63">
        <f t="shared" si="48"/>
        <v>44640</v>
      </c>
      <c r="BN237" s="63">
        <f t="shared" si="49"/>
        <v>44640</v>
      </c>
      <c r="BO237" s="63">
        <f t="shared" si="50"/>
        <v>44640</v>
      </c>
      <c r="BP237" s="63">
        <f t="shared" si="51"/>
        <v>44640</v>
      </c>
      <c r="BQ237" s="63">
        <f t="shared" si="52"/>
        <v>44640</v>
      </c>
      <c r="BR237" s="63">
        <f t="shared" si="53"/>
        <v>44640</v>
      </c>
      <c r="BS237" s="63">
        <f t="shared" si="54"/>
        <v>44640</v>
      </c>
    </row>
    <row r="238" spans="1:71">
      <c r="A238" s="28">
        <f t="shared" si="45"/>
        <v>237</v>
      </c>
      <c r="B238" s="31" t="s">
        <v>957</v>
      </c>
      <c r="C238" s="31" t="s">
        <v>92</v>
      </c>
      <c r="D238" s="30" t="s">
        <v>610</v>
      </c>
      <c r="E238" s="30" t="s">
        <v>74</v>
      </c>
      <c r="F238" s="30" t="s">
        <v>958</v>
      </c>
      <c r="G238" s="30" t="s">
        <v>208</v>
      </c>
      <c r="H238" s="35" t="s">
        <v>209</v>
      </c>
      <c r="I238" s="30"/>
      <c r="J238" s="30"/>
      <c r="K238" s="30" t="s">
        <v>959</v>
      </c>
      <c r="L238" s="40">
        <v>1000000</v>
      </c>
      <c r="M238" s="39" t="s">
        <v>79</v>
      </c>
      <c r="N238" s="31" t="s">
        <v>103</v>
      </c>
      <c r="O238" s="30" t="s">
        <v>614</v>
      </c>
      <c r="P238" s="30">
        <v>1.1</v>
      </c>
      <c r="Q238" s="42">
        <v>0.52</v>
      </c>
      <c r="R238" s="47">
        <f t="shared" si="46"/>
        <v>364000</v>
      </c>
      <c r="S238" s="75"/>
      <c r="T238" s="48">
        <f t="shared" si="47"/>
        <v>700000</v>
      </c>
      <c r="U238" s="40">
        <v>10000</v>
      </c>
      <c r="V238" s="40">
        <v>10000</v>
      </c>
      <c r="W238" s="40">
        <v>10000</v>
      </c>
      <c r="X238" s="40">
        <v>100000</v>
      </c>
      <c r="Y238" s="40">
        <v>100000</v>
      </c>
      <c r="Z238" s="40">
        <v>100000</v>
      </c>
      <c r="AA238" s="40">
        <v>100000</v>
      </c>
      <c r="AB238" s="40">
        <v>100000</v>
      </c>
      <c r="AC238" s="40">
        <v>100000</v>
      </c>
      <c r="AD238" s="40">
        <v>100000</v>
      </c>
      <c r="AE238" s="40">
        <v>100000</v>
      </c>
      <c r="AF238" s="40">
        <v>100000</v>
      </c>
      <c r="AG238" s="40"/>
      <c r="AH238" s="39"/>
      <c r="AI238" s="39"/>
      <c r="AJ238" s="39"/>
      <c r="AK238" s="39"/>
      <c r="AL238" s="39"/>
      <c r="AM238" s="39"/>
      <c r="AN238" s="39"/>
      <c r="AO238" s="39"/>
      <c r="AP238" s="39"/>
      <c r="AQ238" s="39"/>
      <c r="AR238" s="39"/>
      <c r="AS238" s="30" t="s">
        <v>74</v>
      </c>
      <c r="AT238" s="30" t="s">
        <v>80</v>
      </c>
      <c r="AU238" s="30" t="s">
        <v>81</v>
      </c>
      <c r="AV238" s="30" t="s">
        <v>117</v>
      </c>
      <c r="AW238" s="30" t="s">
        <v>143</v>
      </c>
      <c r="AX238" s="30" t="s">
        <v>960</v>
      </c>
      <c r="AY238" s="30" t="s">
        <v>961</v>
      </c>
      <c r="AZ238" s="30"/>
      <c r="BA238" s="30"/>
      <c r="BB238" s="30"/>
      <c r="BC238" s="58"/>
      <c r="BD238" s="30"/>
      <c r="BE238" s="55"/>
      <c r="BF238" s="55"/>
      <c r="BG238" s="55"/>
      <c r="BH238" s="55"/>
      <c r="BI238" s="55"/>
      <c r="BJ238" s="64"/>
      <c r="BK238" s="39"/>
      <c r="BL238" s="63">
        <f t="shared" ref="BL238:BL270" si="55">$Q238*Y238</f>
        <v>52000</v>
      </c>
      <c r="BM238" s="63">
        <f t="shared" si="48"/>
        <v>52000</v>
      </c>
      <c r="BN238" s="63">
        <f t="shared" si="49"/>
        <v>52000</v>
      </c>
      <c r="BO238" s="63">
        <f t="shared" si="50"/>
        <v>52000</v>
      </c>
      <c r="BP238" s="63">
        <f t="shared" si="51"/>
        <v>52000</v>
      </c>
      <c r="BQ238" s="63">
        <f t="shared" si="52"/>
        <v>52000</v>
      </c>
      <c r="BR238" s="63">
        <f t="shared" si="53"/>
        <v>52000</v>
      </c>
      <c r="BS238" s="63">
        <f t="shared" si="54"/>
        <v>52000</v>
      </c>
    </row>
    <row r="239" spans="1:71">
      <c r="A239" s="28">
        <f t="shared" si="45"/>
        <v>238</v>
      </c>
      <c r="B239" s="31" t="s">
        <v>970</v>
      </c>
      <c r="C239" s="30" t="s">
        <v>72</v>
      </c>
      <c r="D239" s="30" t="s">
        <v>73</v>
      </c>
      <c r="E239" s="30" t="s">
        <v>74</v>
      </c>
      <c r="F239" s="69" t="s">
        <v>971</v>
      </c>
      <c r="G239" s="69" t="s">
        <v>254</v>
      </c>
      <c r="H239" s="68" t="s">
        <v>255</v>
      </c>
      <c r="I239" s="69"/>
      <c r="J239" s="69"/>
      <c r="K239" s="69" t="s">
        <v>643</v>
      </c>
      <c r="L239" s="73">
        <v>1000000</v>
      </c>
      <c r="M239" s="31" t="s">
        <v>114</v>
      </c>
      <c r="N239" s="31"/>
      <c r="O239" s="69" t="s">
        <v>972</v>
      </c>
      <c r="P239" s="30"/>
      <c r="Q239" s="74">
        <v>0.35</v>
      </c>
      <c r="R239" s="47">
        <f t="shared" si="46"/>
        <v>245000</v>
      </c>
      <c r="S239" s="75"/>
      <c r="T239" s="48">
        <f t="shared" si="47"/>
        <v>700000</v>
      </c>
      <c r="U239" s="40">
        <v>100000</v>
      </c>
      <c r="V239" s="40">
        <v>100000</v>
      </c>
      <c r="W239" s="40">
        <v>100000</v>
      </c>
      <c r="X239" s="40">
        <v>100000</v>
      </c>
      <c r="Y239" s="40">
        <v>100000</v>
      </c>
      <c r="Z239" s="40">
        <v>100000</v>
      </c>
      <c r="AA239" s="40">
        <v>100000</v>
      </c>
      <c r="AB239" s="40">
        <v>100000</v>
      </c>
      <c r="AC239" s="40">
        <v>100000</v>
      </c>
      <c r="AD239" s="40">
        <v>100000</v>
      </c>
      <c r="AE239" s="40">
        <v>100000</v>
      </c>
      <c r="AF239" s="40">
        <v>100000</v>
      </c>
      <c r="AG239" s="40"/>
      <c r="AH239" s="39"/>
      <c r="AI239" s="39"/>
      <c r="AJ239" s="39"/>
      <c r="AK239" s="39"/>
      <c r="AL239" s="39"/>
      <c r="AM239" s="39"/>
      <c r="AN239" s="39"/>
      <c r="AO239" s="39"/>
      <c r="AP239" s="39"/>
      <c r="AQ239" s="39"/>
      <c r="AR239" s="39"/>
      <c r="AS239" s="30" t="s">
        <v>74</v>
      </c>
      <c r="AT239" s="30" t="s">
        <v>80</v>
      </c>
      <c r="AU239" s="30" t="s">
        <v>81</v>
      </c>
      <c r="AV239" s="30" t="s">
        <v>82</v>
      </c>
      <c r="AW239" s="30"/>
      <c r="AX239" s="30"/>
      <c r="AY239" s="30"/>
      <c r="AZ239" s="30"/>
      <c r="BA239" s="30"/>
      <c r="BB239" s="30"/>
      <c r="BC239" s="58"/>
      <c r="BD239" s="30"/>
      <c r="BE239" s="55"/>
      <c r="BF239" s="55"/>
      <c r="BG239" s="55"/>
      <c r="BH239" s="55"/>
      <c r="BI239" s="55"/>
      <c r="BJ239" s="64"/>
      <c r="BK239" s="39"/>
      <c r="BL239" s="63">
        <f t="shared" si="55"/>
        <v>35000</v>
      </c>
      <c r="BM239" s="63">
        <f t="shared" si="48"/>
        <v>35000</v>
      </c>
      <c r="BN239" s="63">
        <f t="shared" si="49"/>
        <v>35000</v>
      </c>
      <c r="BO239" s="63">
        <f t="shared" si="50"/>
        <v>35000</v>
      </c>
      <c r="BP239" s="63">
        <f t="shared" si="51"/>
        <v>35000</v>
      </c>
      <c r="BQ239" s="63">
        <f t="shared" si="52"/>
        <v>35000</v>
      </c>
      <c r="BR239" s="63">
        <f t="shared" si="53"/>
        <v>35000</v>
      </c>
      <c r="BS239" s="63">
        <f t="shared" si="54"/>
        <v>35000</v>
      </c>
    </row>
    <row r="240" spans="1:71">
      <c r="A240" s="28">
        <f t="shared" si="45"/>
        <v>239</v>
      </c>
      <c r="B240" s="29" t="s">
        <v>973</v>
      </c>
      <c r="C240" s="31" t="s">
        <v>92</v>
      </c>
      <c r="D240" s="29" t="s">
        <v>73</v>
      </c>
      <c r="E240" s="30" t="s">
        <v>74</v>
      </c>
      <c r="F240" s="29" t="s">
        <v>75</v>
      </c>
      <c r="G240" s="29" t="s">
        <v>266</v>
      </c>
      <c r="H240" s="37" t="s">
        <v>267</v>
      </c>
      <c r="I240" s="29"/>
      <c r="J240" s="29"/>
      <c r="K240" s="29" t="s">
        <v>974</v>
      </c>
      <c r="L240" s="73">
        <v>1000000</v>
      </c>
      <c r="M240" s="31" t="s">
        <v>79</v>
      </c>
      <c r="N240" s="31"/>
      <c r="O240" s="30"/>
      <c r="P240" s="31"/>
      <c r="Q240" s="74">
        <v>0.35</v>
      </c>
      <c r="R240" s="47">
        <f t="shared" si="46"/>
        <v>245000</v>
      </c>
      <c r="S240" s="75"/>
      <c r="T240" s="48">
        <f t="shared" si="47"/>
        <v>700000</v>
      </c>
      <c r="U240" s="40">
        <v>100000</v>
      </c>
      <c r="V240" s="40">
        <v>100000</v>
      </c>
      <c r="W240" s="40">
        <v>100000</v>
      </c>
      <c r="X240" s="40">
        <v>100000</v>
      </c>
      <c r="Y240" s="40">
        <v>100000</v>
      </c>
      <c r="Z240" s="40">
        <v>100000</v>
      </c>
      <c r="AA240" s="40">
        <v>100000</v>
      </c>
      <c r="AB240" s="40">
        <v>100000</v>
      </c>
      <c r="AC240" s="40">
        <v>100000</v>
      </c>
      <c r="AD240" s="40">
        <v>100000</v>
      </c>
      <c r="AE240" s="40">
        <v>100000</v>
      </c>
      <c r="AF240" s="40">
        <v>100000</v>
      </c>
      <c r="AG240" s="40"/>
      <c r="AH240" s="39"/>
      <c r="AI240" s="39"/>
      <c r="AJ240" s="39"/>
      <c r="AK240" s="39"/>
      <c r="AL240" s="39"/>
      <c r="AM240" s="39"/>
      <c r="AN240" s="39"/>
      <c r="AO240" s="39"/>
      <c r="AP240" s="39"/>
      <c r="AQ240" s="39"/>
      <c r="AR240" s="39"/>
      <c r="AS240" s="30" t="s">
        <v>74</v>
      </c>
      <c r="AT240" s="30" t="s">
        <v>80</v>
      </c>
      <c r="AU240" s="30" t="s">
        <v>81</v>
      </c>
      <c r="AV240" s="30" t="s">
        <v>117</v>
      </c>
      <c r="AW240" s="30" t="s">
        <v>143</v>
      </c>
      <c r="AX240" s="30" t="s">
        <v>960</v>
      </c>
      <c r="AY240" s="30" t="s">
        <v>961</v>
      </c>
      <c r="AZ240" s="30"/>
      <c r="BA240" s="30"/>
      <c r="BB240" s="30"/>
      <c r="BC240" s="58"/>
      <c r="BD240" s="30"/>
      <c r="BE240" s="55"/>
      <c r="BF240" s="55"/>
      <c r="BG240" s="55"/>
      <c r="BH240" s="55"/>
      <c r="BI240" s="55"/>
      <c r="BJ240" s="64"/>
      <c r="BK240" s="39"/>
      <c r="BL240" s="63">
        <f t="shared" si="55"/>
        <v>35000</v>
      </c>
      <c r="BM240" s="63">
        <f t="shared" si="48"/>
        <v>35000</v>
      </c>
      <c r="BN240" s="63">
        <f t="shared" si="49"/>
        <v>35000</v>
      </c>
      <c r="BO240" s="63">
        <f t="shared" si="50"/>
        <v>35000</v>
      </c>
      <c r="BP240" s="63">
        <f t="shared" si="51"/>
        <v>35000</v>
      </c>
      <c r="BQ240" s="63">
        <f t="shared" si="52"/>
        <v>35000</v>
      </c>
      <c r="BR240" s="63">
        <f t="shared" si="53"/>
        <v>35000</v>
      </c>
      <c r="BS240" s="63">
        <f t="shared" si="54"/>
        <v>35000</v>
      </c>
    </row>
    <row r="241" spans="1:71">
      <c r="A241" s="28">
        <f t="shared" si="45"/>
        <v>240</v>
      </c>
      <c r="B241" s="29" t="s">
        <v>975</v>
      </c>
      <c r="C241" s="30" t="s">
        <v>72</v>
      </c>
      <c r="D241" s="29" t="s">
        <v>73</v>
      </c>
      <c r="E241" s="30" t="s">
        <v>74</v>
      </c>
      <c r="F241" s="29" t="s">
        <v>75</v>
      </c>
      <c r="G241" s="29" t="s">
        <v>266</v>
      </c>
      <c r="H241" s="37" t="s">
        <v>267</v>
      </c>
      <c r="I241" s="29"/>
      <c r="J241" s="29"/>
      <c r="K241" s="69" t="s">
        <v>974</v>
      </c>
      <c r="L241" s="73">
        <v>1000000</v>
      </c>
      <c r="M241" s="31" t="s">
        <v>79</v>
      </c>
      <c r="N241" s="31"/>
      <c r="O241" s="30"/>
      <c r="P241" s="31"/>
      <c r="Q241" s="74">
        <v>0.35</v>
      </c>
      <c r="R241" s="47">
        <f t="shared" si="46"/>
        <v>245000</v>
      </c>
      <c r="S241" s="75"/>
      <c r="T241" s="48">
        <f t="shared" si="47"/>
        <v>700000</v>
      </c>
      <c r="U241" s="40">
        <v>100000</v>
      </c>
      <c r="V241" s="40">
        <v>100000</v>
      </c>
      <c r="W241" s="40">
        <v>100000</v>
      </c>
      <c r="X241" s="40">
        <v>100000</v>
      </c>
      <c r="Y241" s="40">
        <v>100000</v>
      </c>
      <c r="Z241" s="40">
        <v>100000</v>
      </c>
      <c r="AA241" s="40">
        <v>100000</v>
      </c>
      <c r="AB241" s="40">
        <v>100000</v>
      </c>
      <c r="AC241" s="40">
        <v>100000</v>
      </c>
      <c r="AD241" s="40">
        <v>100000</v>
      </c>
      <c r="AE241" s="40">
        <v>100000</v>
      </c>
      <c r="AF241" s="40">
        <v>100000</v>
      </c>
      <c r="AG241" s="40"/>
      <c r="AH241" s="39"/>
      <c r="AI241" s="39"/>
      <c r="AJ241" s="39"/>
      <c r="AK241" s="39"/>
      <c r="AL241" s="39"/>
      <c r="AM241" s="39"/>
      <c r="AN241" s="39"/>
      <c r="AO241" s="39"/>
      <c r="AP241" s="39"/>
      <c r="AQ241" s="39"/>
      <c r="AR241" s="39"/>
      <c r="AS241" s="30" t="s">
        <v>74</v>
      </c>
      <c r="AT241" s="30" t="s">
        <v>80</v>
      </c>
      <c r="AU241" s="30" t="s">
        <v>81</v>
      </c>
      <c r="AV241" s="30" t="s">
        <v>117</v>
      </c>
      <c r="AW241" s="30" t="s">
        <v>143</v>
      </c>
      <c r="AX241" s="30" t="s">
        <v>960</v>
      </c>
      <c r="AY241" s="30" t="s">
        <v>961</v>
      </c>
      <c r="AZ241" s="30"/>
      <c r="BA241" s="30"/>
      <c r="BB241" s="30"/>
      <c r="BC241" s="58"/>
      <c r="BD241" s="30"/>
      <c r="BE241" s="55"/>
      <c r="BF241" s="55"/>
      <c r="BG241" s="55"/>
      <c r="BH241" s="55"/>
      <c r="BI241" s="55"/>
      <c r="BJ241" s="64"/>
      <c r="BK241" s="39"/>
      <c r="BL241" s="63">
        <f t="shared" si="55"/>
        <v>35000</v>
      </c>
      <c r="BM241" s="63">
        <f t="shared" si="48"/>
        <v>35000</v>
      </c>
      <c r="BN241" s="63">
        <f t="shared" si="49"/>
        <v>35000</v>
      </c>
      <c r="BO241" s="63">
        <f t="shared" si="50"/>
        <v>35000</v>
      </c>
      <c r="BP241" s="63">
        <f t="shared" si="51"/>
        <v>35000</v>
      </c>
      <c r="BQ241" s="63">
        <f t="shared" si="52"/>
        <v>35000</v>
      </c>
      <c r="BR241" s="63">
        <f t="shared" si="53"/>
        <v>35000</v>
      </c>
      <c r="BS241" s="63">
        <f t="shared" si="54"/>
        <v>35000</v>
      </c>
    </row>
    <row r="242" spans="1:71">
      <c r="A242" s="28">
        <f t="shared" si="45"/>
        <v>241</v>
      </c>
      <c r="B242" s="30" t="s">
        <v>976</v>
      </c>
      <c r="C242" s="30" t="s">
        <v>72</v>
      </c>
      <c r="D242" s="30" t="s">
        <v>129</v>
      </c>
      <c r="E242" s="30" t="s">
        <v>74</v>
      </c>
      <c r="F242" s="30" t="s">
        <v>977</v>
      </c>
      <c r="G242" s="30" t="s">
        <v>403</v>
      </c>
      <c r="H242" s="35" t="s">
        <v>403</v>
      </c>
      <c r="I242" s="30"/>
      <c r="J242" s="30"/>
      <c r="K242" s="30" t="s">
        <v>978</v>
      </c>
      <c r="L242" s="40">
        <v>120000</v>
      </c>
      <c r="M242" s="30" t="s">
        <v>79</v>
      </c>
      <c r="N242" s="30" t="s">
        <v>134</v>
      </c>
      <c r="O242" s="30"/>
      <c r="P242" s="30"/>
      <c r="Q242" s="74">
        <v>3.3</v>
      </c>
      <c r="R242" s="47">
        <f t="shared" si="46"/>
        <v>231000</v>
      </c>
      <c r="S242" s="30"/>
      <c r="T242" s="48">
        <f t="shared" si="47"/>
        <v>70000</v>
      </c>
      <c r="U242" s="40">
        <v>10000</v>
      </c>
      <c r="V242" s="40">
        <v>10000</v>
      </c>
      <c r="W242" s="40">
        <v>10000</v>
      </c>
      <c r="X242" s="40">
        <v>10000</v>
      </c>
      <c r="Y242" s="40">
        <v>10000</v>
      </c>
      <c r="Z242" s="40">
        <v>10000</v>
      </c>
      <c r="AA242" s="40">
        <v>10000</v>
      </c>
      <c r="AB242" s="40">
        <v>10000</v>
      </c>
      <c r="AC242" s="40">
        <v>10000</v>
      </c>
      <c r="AD242" s="40">
        <v>10000</v>
      </c>
      <c r="AE242" s="40">
        <v>10000</v>
      </c>
      <c r="AF242" s="40">
        <v>10000</v>
      </c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0" t="s">
        <v>74</v>
      </c>
      <c r="AT242" s="30" t="s">
        <v>80</v>
      </c>
      <c r="AU242" s="30" t="s">
        <v>956</v>
      </c>
      <c r="AV242" s="30" t="s">
        <v>106</v>
      </c>
      <c r="AW242" s="30"/>
      <c r="AX242" s="30"/>
      <c r="AY242" s="30"/>
      <c r="AZ242" s="31"/>
      <c r="BA242" s="31"/>
      <c r="BB242" s="31"/>
      <c r="BC242" s="31"/>
      <c r="BD242" s="79"/>
      <c r="BE242" s="79"/>
      <c r="BF242" s="79"/>
      <c r="BG242" s="79"/>
      <c r="BH242" s="79"/>
      <c r="BI242" s="79"/>
      <c r="BJ242" s="31"/>
      <c r="BK242" s="31"/>
      <c r="BL242" s="63">
        <f t="shared" si="55"/>
        <v>33000</v>
      </c>
      <c r="BM242" s="63">
        <f t="shared" si="48"/>
        <v>33000</v>
      </c>
      <c r="BN242" s="63">
        <f t="shared" si="49"/>
        <v>33000</v>
      </c>
      <c r="BO242" s="63">
        <f t="shared" si="50"/>
        <v>33000</v>
      </c>
      <c r="BP242" s="63">
        <f t="shared" si="51"/>
        <v>33000</v>
      </c>
      <c r="BQ242" s="63">
        <f t="shared" si="52"/>
        <v>33000</v>
      </c>
      <c r="BR242" s="63">
        <f t="shared" si="53"/>
        <v>33000</v>
      </c>
      <c r="BS242" s="63">
        <f t="shared" si="54"/>
        <v>33000</v>
      </c>
    </row>
    <row r="243" spans="1:71">
      <c r="A243" s="28">
        <f t="shared" si="45"/>
        <v>242</v>
      </c>
      <c r="B243" s="30" t="s">
        <v>979</v>
      </c>
      <c r="C243" s="30" t="s">
        <v>72</v>
      </c>
      <c r="D243" s="69" t="s">
        <v>73</v>
      </c>
      <c r="E243" s="30" t="s">
        <v>74</v>
      </c>
      <c r="F243" s="69" t="s">
        <v>75</v>
      </c>
      <c r="G243" s="69" t="s">
        <v>165</v>
      </c>
      <c r="H243" s="68" t="s">
        <v>166</v>
      </c>
      <c r="I243" s="69"/>
      <c r="J243" s="69"/>
      <c r="K243" s="69" t="s">
        <v>980</v>
      </c>
      <c r="L243" s="73">
        <v>2000000</v>
      </c>
      <c r="M243" s="30" t="s">
        <v>79</v>
      </c>
      <c r="N243" s="31"/>
      <c r="O243" s="30"/>
      <c r="P243" s="31"/>
      <c r="Q243" s="74">
        <v>0.21</v>
      </c>
      <c r="R243" s="47">
        <f t="shared" si="46"/>
        <v>220500</v>
      </c>
      <c r="S243" s="75"/>
      <c r="T243" s="48">
        <f t="shared" si="47"/>
        <v>1050000</v>
      </c>
      <c r="U243" s="40">
        <v>150000</v>
      </c>
      <c r="V243" s="40">
        <v>150000</v>
      </c>
      <c r="W243" s="40">
        <v>150000</v>
      </c>
      <c r="X243" s="40">
        <v>150000</v>
      </c>
      <c r="Y243" s="40">
        <v>150000</v>
      </c>
      <c r="Z243" s="40">
        <v>150000</v>
      </c>
      <c r="AA243" s="40">
        <v>150000</v>
      </c>
      <c r="AB243" s="40">
        <v>150000</v>
      </c>
      <c r="AC243" s="40">
        <v>150000</v>
      </c>
      <c r="AD243" s="40">
        <v>150000</v>
      </c>
      <c r="AE243" s="40">
        <v>150000</v>
      </c>
      <c r="AF243" s="40">
        <v>150000</v>
      </c>
      <c r="AG243" s="40"/>
      <c r="AH243" s="39"/>
      <c r="AI243" s="39"/>
      <c r="AJ243" s="39"/>
      <c r="AK243" s="39"/>
      <c r="AL243" s="39"/>
      <c r="AM243" s="39"/>
      <c r="AN243" s="39"/>
      <c r="AO243" s="39"/>
      <c r="AP243" s="39"/>
      <c r="AQ243" s="39"/>
      <c r="AR243" s="39"/>
      <c r="AS243" s="30" t="s">
        <v>74</v>
      </c>
      <c r="AT243" s="30" t="s">
        <v>80</v>
      </c>
      <c r="AU243" s="30" t="s">
        <v>81</v>
      </c>
      <c r="AV243" s="30" t="s">
        <v>82</v>
      </c>
      <c r="AW243" s="30"/>
      <c r="AX243" s="30"/>
      <c r="AY243" s="30"/>
      <c r="AZ243" s="30"/>
      <c r="BA243" s="30"/>
      <c r="BB243" s="30"/>
      <c r="BC243" s="58"/>
      <c r="BD243" s="30"/>
      <c r="BE243" s="55"/>
      <c r="BF243" s="55"/>
      <c r="BG243" s="55"/>
      <c r="BH243" s="55"/>
      <c r="BI243" s="55"/>
      <c r="BJ243" s="64"/>
      <c r="BK243" s="39"/>
      <c r="BL243" s="63">
        <f t="shared" si="55"/>
        <v>31500</v>
      </c>
      <c r="BM243" s="63">
        <f t="shared" si="48"/>
        <v>31500</v>
      </c>
      <c r="BN243" s="63">
        <f t="shared" si="49"/>
        <v>31500</v>
      </c>
      <c r="BO243" s="63">
        <f t="shared" si="50"/>
        <v>31500</v>
      </c>
      <c r="BP243" s="63">
        <f t="shared" si="51"/>
        <v>31500</v>
      </c>
      <c r="BQ243" s="63">
        <f t="shared" si="52"/>
        <v>31500</v>
      </c>
      <c r="BR243" s="63">
        <f t="shared" si="53"/>
        <v>31500</v>
      </c>
      <c r="BS243" s="63">
        <f t="shared" si="54"/>
        <v>31500</v>
      </c>
    </row>
    <row r="244" spans="1:71">
      <c r="A244" s="28">
        <f t="shared" si="45"/>
        <v>243</v>
      </c>
      <c r="B244" s="31" t="s">
        <v>963</v>
      </c>
      <c r="C244" s="31" t="s">
        <v>92</v>
      </c>
      <c r="D244" s="30" t="s">
        <v>610</v>
      </c>
      <c r="E244" s="30" t="s">
        <v>74</v>
      </c>
      <c r="F244" s="30" t="s">
        <v>958</v>
      </c>
      <c r="G244" s="30" t="s">
        <v>354</v>
      </c>
      <c r="H244" s="35" t="s">
        <v>355</v>
      </c>
      <c r="I244" s="30"/>
      <c r="J244" s="30"/>
      <c r="K244" s="30" t="s">
        <v>981</v>
      </c>
      <c r="L244" s="40">
        <v>1000000</v>
      </c>
      <c r="M244" s="39" t="s">
        <v>56</v>
      </c>
      <c r="N244" s="31" t="s">
        <v>982</v>
      </c>
      <c r="O244" s="30" t="s">
        <v>983</v>
      </c>
      <c r="P244" s="30">
        <v>0.31</v>
      </c>
      <c r="Q244" s="42">
        <v>0.44</v>
      </c>
      <c r="R244" s="47">
        <f t="shared" si="46"/>
        <v>308000</v>
      </c>
      <c r="S244" s="75"/>
      <c r="T244" s="48">
        <f t="shared" si="47"/>
        <v>700000</v>
      </c>
      <c r="U244" s="40">
        <v>0</v>
      </c>
      <c r="V244" s="40">
        <v>0</v>
      </c>
      <c r="W244" s="40">
        <v>0</v>
      </c>
      <c r="X244" s="40"/>
      <c r="Y244" s="40">
        <v>100000</v>
      </c>
      <c r="Z244" s="40">
        <v>100000</v>
      </c>
      <c r="AA244" s="40">
        <v>100000</v>
      </c>
      <c r="AB244" s="40">
        <v>100000</v>
      </c>
      <c r="AC244" s="40">
        <v>100000</v>
      </c>
      <c r="AD244" s="40">
        <v>100000</v>
      </c>
      <c r="AE244" s="40">
        <v>100000</v>
      </c>
      <c r="AF244" s="40">
        <v>100000</v>
      </c>
      <c r="AG244" s="40"/>
      <c r="AH244" s="39"/>
      <c r="AI244" s="39"/>
      <c r="AJ244" s="39"/>
      <c r="AK244" s="39"/>
      <c r="AL244" s="39"/>
      <c r="AM244" s="39"/>
      <c r="AN244" s="39"/>
      <c r="AO244" s="39"/>
      <c r="AP244" s="39"/>
      <c r="AQ244" s="39"/>
      <c r="AR244" s="39"/>
      <c r="AS244" s="30" t="s">
        <v>74</v>
      </c>
      <c r="AT244" s="30" t="s">
        <v>80</v>
      </c>
      <c r="AU244" s="30" t="s">
        <v>81</v>
      </c>
      <c r="AV244" s="30" t="s">
        <v>82</v>
      </c>
      <c r="AW244" s="30" t="s">
        <v>936</v>
      </c>
      <c r="AX244" s="30" t="s">
        <v>984</v>
      </c>
      <c r="AY244" s="30" t="s">
        <v>981</v>
      </c>
      <c r="AZ244" s="30"/>
      <c r="BA244" s="30"/>
      <c r="BB244" s="30"/>
      <c r="BC244" s="58">
        <v>1</v>
      </c>
      <c r="BD244" s="30"/>
      <c r="BE244" s="55"/>
      <c r="BF244" s="55"/>
      <c r="BG244" s="55"/>
      <c r="BH244" s="55"/>
      <c r="BI244" s="55"/>
      <c r="BJ244" s="64"/>
      <c r="BK244" s="39"/>
      <c r="BL244" s="63">
        <f t="shared" si="55"/>
        <v>44000</v>
      </c>
      <c r="BM244" s="63">
        <f t="shared" si="48"/>
        <v>44000</v>
      </c>
      <c r="BN244" s="63">
        <f t="shared" si="49"/>
        <v>44000</v>
      </c>
      <c r="BO244" s="63">
        <f t="shared" si="50"/>
        <v>44000</v>
      </c>
      <c r="BP244" s="63">
        <f t="shared" si="51"/>
        <v>44000</v>
      </c>
      <c r="BQ244" s="63">
        <f t="shared" si="52"/>
        <v>44000</v>
      </c>
      <c r="BR244" s="63">
        <f t="shared" si="53"/>
        <v>44000</v>
      </c>
      <c r="BS244" s="63">
        <f t="shared" si="54"/>
        <v>44000</v>
      </c>
    </row>
    <row r="245" spans="1:71">
      <c r="A245" s="28">
        <f t="shared" si="45"/>
        <v>244</v>
      </c>
      <c r="B245" s="30" t="s">
        <v>985</v>
      </c>
      <c r="C245" s="30" t="s">
        <v>72</v>
      </c>
      <c r="D245" s="69" t="s">
        <v>73</v>
      </c>
      <c r="E245" s="30" t="s">
        <v>74</v>
      </c>
      <c r="F245" s="69" t="s">
        <v>75</v>
      </c>
      <c r="G245" s="30" t="s">
        <v>236</v>
      </c>
      <c r="H245" s="35" t="s">
        <v>237</v>
      </c>
      <c r="I245" s="30"/>
      <c r="J245" s="30"/>
      <c r="K245" s="69" t="s">
        <v>980</v>
      </c>
      <c r="L245" s="73">
        <v>1000000</v>
      </c>
      <c r="M245" s="31" t="s">
        <v>79</v>
      </c>
      <c r="N245" s="31"/>
      <c r="O245" s="30"/>
      <c r="P245" s="31"/>
      <c r="Q245" s="42">
        <v>0.25</v>
      </c>
      <c r="R245" s="47">
        <f t="shared" si="46"/>
        <v>175000</v>
      </c>
      <c r="S245" s="75"/>
      <c r="T245" s="48">
        <f t="shared" si="47"/>
        <v>700000</v>
      </c>
      <c r="U245" s="40">
        <v>100000</v>
      </c>
      <c r="V245" s="40">
        <v>100000</v>
      </c>
      <c r="W245" s="40">
        <v>100000</v>
      </c>
      <c r="X245" s="40">
        <v>100000</v>
      </c>
      <c r="Y245" s="40">
        <v>100000</v>
      </c>
      <c r="Z245" s="40">
        <v>100000</v>
      </c>
      <c r="AA245" s="40">
        <v>100000</v>
      </c>
      <c r="AB245" s="40">
        <v>100000</v>
      </c>
      <c r="AC245" s="40">
        <v>100000</v>
      </c>
      <c r="AD245" s="40">
        <v>100000</v>
      </c>
      <c r="AE245" s="40">
        <v>100000</v>
      </c>
      <c r="AF245" s="40">
        <v>100000</v>
      </c>
      <c r="AG245" s="40"/>
      <c r="AH245" s="39"/>
      <c r="AI245" s="39"/>
      <c r="AJ245" s="39"/>
      <c r="AK245" s="39"/>
      <c r="AL245" s="39"/>
      <c r="AM245" s="39"/>
      <c r="AN245" s="39"/>
      <c r="AO245" s="39"/>
      <c r="AP245" s="39"/>
      <c r="AQ245" s="39"/>
      <c r="AR245" s="39"/>
      <c r="AS245" s="30" t="s">
        <v>74</v>
      </c>
      <c r="AT245" s="30" t="s">
        <v>80</v>
      </c>
      <c r="AU245" s="30" t="s">
        <v>81</v>
      </c>
      <c r="AV245" s="30" t="s">
        <v>82</v>
      </c>
      <c r="AW245" s="30"/>
      <c r="AX245" s="30"/>
      <c r="AY245" s="30"/>
      <c r="AZ245" s="30"/>
      <c r="BA245" s="30"/>
      <c r="BB245" s="30"/>
      <c r="BC245" s="58"/>
      <c r="BD245" s="30"/>
      <c r="BE245" s="55"/>
      <c r="BF245" s="55"/>
      <c r="BG245" s="55"/>
      <c r="BH245" s="55"/>
      <c r="BI245" s="55"/>
      <c r="BJ245" s="64"/>
      <c r="BK245" s="39"/>
      <c r="BL245" s="63">
        <f t="shared" si="55"/>
        <v>25000</v>
      </c>
      <c r="BM245" s="63">
        <f t="shared" si="48"/>
        <v>25000</v>
      </c>
      <c r="BN245" s="63">
        <f t="shared" si="49"/>
        <v>25000</v>
      </c>
      <c r="BO245" s="63">
        <f t="shared" si="50"/>
        <v>25000</v>
      </c>
      <c r="BP245" s="63">
        <f t="shared" si="51"/>
        <v>25000</v>
      </c>
      <c r="BQ245" s="63">
        <f t="shared" si="52"/>
        <v>25000</v>
      </c>
      <c r="BR245" s="63">
        <f t="shared" si="53"/>
        <v>25000</v>
      </c>
      <c r="BS245" s="63">
        <f t="shared" si="54"/>
        <v>25000</v>
      </c>
    </row>
    <row r="246" spans="1:71">
      <c r="A246" s="28">
        <f t="shared" si="45"/>
        <v>245</v>
      </c>
      <c r="B246" s="29" t="s">
        <v>986</v>
      </c>
      <c r="C246" s="30" t="s">
        <v>72</v>
      </c>
      <c r="D246" s="69" t="s">
        <v>73</v>
      </c>
      <c r="E246" s="30" t="s">
        <v>74</v>
      </c>
      <c r="F246" s="69" t="s">
        <v>75</v>
      </c>
      <c r="G246" s="69" t="s">
        <v>165</v>
      </c>
      <c r="H246" s="68" t="s">
        <v>166</v>
      </c>
      <c r="I246" s="69"/>
      <c r="J246" s="69"/>
      <c r="K246" s="69" t="s">
        <v>980</v>
      </c>
      <c r="L246" s="40">
        <v>1200000</v>
      </c>
      <c r="M246" s="31" t="s">
        <v>79</v>
      </c>
      <c r="N246" s="31"/>
      <c r="O246" s="69" t="s">
        <v>89</v>
      </c>
      <c r="P246" s="74"/>
      <c r="Q246" s="74">
        <v>0.25</v>
      </c>
      <c r="R246" s="47">
        <f t="shared" si="46"/>
        <v>175000</v>
      </c>
      <c r="S246" s="31"/>
      <c r="T246" s="48">
        <f t="shared" si="47"/>
        <v>700000</v>
      </c>
      <c r="U246" s="40">
        <v>100000</v>
      </c>
      <c r="V246" s="40">
        <v>100000</v>
      </c>
      <c r="W246" s="40">
        <v>100000</v>
      </c>
      <c r="X246" s="40">
        <v>100000</v>
      </c>
      <c r="Y246" s="40">
        <v>100000</v>
      </c>
      <c r="Z246" s="40">
        <v>100000</v>
      </c>
      <c r="AA246" s="40">
        <v>100000</v>
      </c>
      <c r="AB246" s="40">
        <v>100000</v>
      </c>
      <c r="AC246" s="40">
        <v>100000</v>
      </c>
      <c r="AD246" s="40">
        <v>100000</v>
      </c>
      <c r="AE246" s="40">
        <v>100000</v>
      </c>
      <c r="AF246" s="40">
        <v>100000</v>
      </c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0" t="s">
        <v>74</v>
      </c>
      <c r="AT246" s="30" t="s">
        <v>80</v>
      </c>
      <c r="AU246" s="30" t="s">
        <v>81</v>
      </c>
      <c r="AV246" s="30" t="s">
        <v>82</v>
      </c>
      <c r="AW246" s="30"/>
      <c r="AX246" s="30"/>
      <c r="AY246" s="30"/>
      <c r="AZ246" s="31"/>
      <c r="BA246" s="31"/>
      <c r="BB246" s="31"/>
      <c r="BC246" s="31"/>
      <c r="BD246" s="79"/>
      <c r="BE246" s="79"/>
      <c r="BF246" s="79"/>
      <c r="BG246" s="79"/>
      <c r="BH246" s="79"/>
      <c r="BI246" s="79"/>
      <c r="BJ246" s="31"/>
      <c r="BK246" s="31"/>
      <c r="BL246" s="63">
        <f t="shared" si="55"/>
        <v>25000</v>
      </c>
      <c r="BM246" s="63">
        <f t="shared" si="48"/>
        <v>25000</v>
      </c>
      <c r="BN246" s="63">
        <f t="shared" si="49"/>
        <v>25000</v>
      </c>
      <c r="BO246" s="63">
        <f t="shared" si="50"/>
        <v>25000</v>
      </c>
      <c r="BP246" s="63">
        <f t="shared" si="51"/>
        <v>25000</v>
      </c>
      <c r="BQ246" s="63">
        <f t="shared" si="52"/>
        <v>25000</v>
      </c>
      <c r="BR246" s="63">
        <f t="shared" si="53"/>
        <v>25000</v>
      </c>
      <c r="BS246" s="63">
        <f t="shared" si="54"/>
        <v>25000</v>
      </c>
    </row>
    <row r="247" spans="1:71">
      <c r="A247" s="28">
        <f t="shared" si="45"/>
        <v>246</v>
      </c>
      <c r="B247" s="29" t="s">
        <v>987</v>
      </c>
      <c r="C247" s="30" t="s">
        <v>72</v>
      </c>
      <c r="D247" s="29" t="s">
        <v>73</v>
      </c>
      <c r="E247" s="30" t="s">
        <v>74</v>
      </c>
      <c r="F247" s="29" t="s">
        <v>75</v>
      </c>
      <c r="G247" s="29" t="s">
        <v>236</v>
      </c>
      <c r="H247" s="37" t="s">
        <v>237</v>
      </c>
      <c r="I247" s="29"/>
      <c r="J247" s="29"/>
      <c r="K247" s="29" t="s">
        <v>980</v>
      </c>
      <c r="L247" s="40">
        <v>2500000</v>
      </c>
      <c r="M247" s="31" t="s">
        <v>79</v>
      </c>
      <c r="N247" s="31"/>
      <c r="O247" s="69" t="s">
        <v>89</v>
      </c>
      <c r="P247" s="43"/>
      <c r="Q247" s="74">
        <v>0.25</v>
      </c>
      <c r="R247" s="47">
        <f t="shared" si="46"/>
        <v>175000</v>
      </c>
      <c r="S247" s="31"/>
      <c r="T247" s="48">
        <f t="shared" si="47"/>
        <v>700000</v>
      </c>
      <c r="U247" s="40">
        <v>100000</v>
      </c>
      <c r="V247" s="40">
        <v>100000</v>
      </c>
      <c r="W247" s="40">
        <v>100000</v>
      </c>
      <c r="X247" s="40">
        <v>100000</v>
      </c>
      <c r="Y247" s="40">
        <v>100000</v>
      </c>
      <c r="Z247" s="40">
        <v>100000</v>
      </c>
      <c r="AA247" s="40">
        <v>100000</v>
      </c>
      <c r="AB247" s="40">
        <v>100000</v>
      </c>
      <c r="AC247" s="40">
        <v>100000</v>
      </c>
      <c r="AD247" s="40">
        <v>100000</v>
      </c>
      <c r="AE247" s="40">
        <v>100000</v>
      </c>
      <c r="AF247" s="40">
        <v>100000</v>
      </c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0" t="s">
        <v>74</v>
      </c>
      <c r="AT247" s="30" t="s">
        <v>80</v>
      </c>
      <c r="AU247" s="30" t="s">
        <v>81</v>
      </c>
      <c r="AV247" s="30" t="s">
        <v>82</v>
      </c>
      <c r="AW247" s="30"/>
      <c r="AX247" s="30"/>
      <c r="AY247" s="30"/>
      <c r="AZ247" s="31"/>
      <c r="BA247" s="31"/>
      <c r="BB247" s="31"/>
      <c r="BC247" s="31"/>
      <c r="BD247" s="79"/>
      <c r="BE247" s="79"/>
      <c r="BF247" s="79"/>
      <c r="BG247" s="79"/>
      <c r="BH247" s="79"/>
      <c r="BI247" s="79"/>
      <c r="BJ247" s="31"/>
      <c r="BK247" s="31"/>
      <c r="BL247" s="63">
        <f t="shared" si="55"/>
        <v>25000</v>
      </c>
      <c r="BM247" s="63">
        <f t="shared" si="48"/>
        <v>25000</v>
      </c>
      <c r="BN247" s="63">
        <f t="shared" si="49"/>
        <v>25000</v>
      </c>
      <c r="BO247" s="63">
        <f t="shared" si="50"/>
        <v>25000</v>
      </c>
      <c r="BP247" s="63">
        <f t="shared" si="51"/>
        <v>25000</v>
      </c>
      <c r="BQ247" s="63">
        <f t="shared" si="52"/>
        <v>25000</v>
      </c>
      <c r="BR247" s="63">
        <f t="shared" si="53"/>
        <v>25000</v>
      </c>
      <c r="BS247" s="63">
        <f t="shared" si="54"/>
        <v>25000</v>
      </c>
    </row>
    <row r="248" spans="1:71">
      <c r="A248" s="28">
        <f t="shared" si="45"/>
        <v>247</v>
      </c>
      <c r="B248" s="31" t="s">
        <v>957</v>
      </c>
      <c r="C248" s="31" t="s">
        <v>92</v>
      </c>
      <c r="D248" s="30" t="s">
        <v>610</v>
      </c>
      <c r="E248" s="30" t="s">
        <v>74</v>
      </c>
      <c r="F248" s="30" t="s">
        <v>958</v>
      </c>
      <c r="G248" s="31" t="s">
        <v>301</v>
      </c>
      <c r="H248" s="36" t="s">
        <v>302</v>
      </c>
      <c r="I248" s="31"/>
      <c r="J248" s="31"/>
      <c r="K248" s="30" t="s">
        <v>555</v>
      </c>
      <c r="L248" s="40"/>
      <c r="M248" s="39" t="s">
        <v>79</v>
      </c>
      <c r="N248" s="31" t="s">
        <v>103</v>
      </c>
      <c r="O248" s="30"/>
      <c r="P248" s="30"/>
      <c r="Q248" s="42">
        <v>0.62</v>
      </c>
      <c r="R248" s="47">
        <f t="shared" si="46"/>
        <v>173600</v>
      </c>
      <c r="S248" s="75"/>
      <c r="T248" s="48">
        <f t="shared" si="47"/>
        <v>280000</v>
      </c>
      <c r="U248" s="40">
        <v>40000</v>
      </c>
      <c r="V248" s="40">
        <v>40000</v>
      </c>
      <c r="W248" s="40">
        <v>40000</v>
      </c>
      <c r="X248" s="40">
        <v>40000</v>
      </c>
      <c r="Y248" s="40">
        <v>40000</v>
      </c>
      <c r="Z248" s="40">
        <v>40000</v>
      </c>
      <c r="AA248" s="40">
        <v>40000</v>
      </c>
      <c r="AB248" s="40">
        <v>40000</v>
      </c>
      <c r="AC248" s="40">
        <v>40000</v>
      </c>
      <c r="AD248" s="40">
        <v>40000</v>
      </c>
      <c r="AE248" s="40">
        <v>40000</v>
      </c>
      <c r="AF248" s="40">
        <v>40000</v>
      </c>
      <c r="AG248" s="40"/>
      <c r="AH248" s="39"/>
      <c r="AI248" s="39"/>
      <c r="AJ248" s="39"/>
      <c r="AK248" s="39"/>
      <c r="AL248" s="39"/>
      <c r="AM248" s="39"/>
      <c r="AN248" s="39"/>
      <c r="AO248" s="39"/>
      <c r="AP248" s="39"/>
      <c r="AQ248" s="39"/>
      <c r="AR248" s="39"/>
      <c r="AS248" s="30" t="s">
        <v>74</v>
      </c>
      <c r="AT248" s="30" t="s">
        <v>80</v>
      </c>
      <c r="AU248" s="30" t="s">
        <v>81</v>
      </c>
      <c r="AV248" s="30" t="s">
        <v>117</v>
      </c>
      <c r="AW248" s="30" t="s">
        <v>553</v>
      </c>
      <c r="AX248" s="30" t="s">
        <v>554</v>
      </c>
      <c r="AY248" s="30" t="s">
        <v>555</v>
      </c>
      <c r="AZ248" s="30"/>
      <c r="BA248" s="30"/>
      <c r="BB248" s="30"/>
      <c r="BC248" s="58"/>
      <c r="BD248" s="30"/>
      <c r="BE248" s="55"/>
      <c r="BF248" s="55"/>
      <c r="BG248" s="55"/>
      <c r="BH248" s="55"/>
      <c r="BI248" s="55"/>
      <c r="BJ248" s="64"/>
      <c r="BK248" s="39"/>
      <c r="BL248" s="63">
        <f t="shared" si="55"/>
        <v>24800</v>
      </c>
      <c r="BM248" s="63">
        <f t="shared" si="48"/>
        <v>24800</v>
      </c>
      <c r="BN248" s="63">
        <f t="shared" si="49"/>
        <v>24800</v>
      </c>
      <c r="BO248" s="63">
        <f t="shared" si="50"/>
        <v>24800</v>
      </c>
      <c r="BP248" s="63">
        <f t="shared" si="51"/>
        <v>24800</v>
      </c>
      <c r="BQ248" s="63">
        <f t="shared" si="52"/>
        <v>24800</v>
      </c>
      <c r="BR248" s="63">
        <f t="shared" si="53"/>
        <v>24800</v>
      </c>
      <c r="BS248" s="63">
        <f t="shared" si="54"/>
        <v>24800</v>
      </c>
    </row>
    <row r="249" spans="1:71">
      <c r="A249" s="28">
        <f t="shared" si="45"/>
        <v>248</v>
      </c>
      <c r="B249" s="30" t="s">
        <v>988</v>
      </c>
      <c r="C249" s="30" t="s">
        <v>72</v>
      </c>
      <c r="D249" s="69" t="s">
        <v>73</v>
      </c>
      <c r="E249" s="30" t="s">
        <v>74</v>
      </c>
      <c r="F249" s="69" t="s">
        <v>971</v>
      </c>
      <c r="G249" s="69" t="s">
        <v>210</v>
      </c>
      <c r="H249" s="68" t="s">
        <v>215</v>
      </c>
      <c r="I249" s="69"/>
      <c r="J249" s="69"/>
      <c r="K249" s="69" t="s">
        <v>989</v>
      </c>
      <c r="L249" s="73">
        <v>2000000</v>
      </c>
      <c r="M249" s="31" t="s">
        <v>79</v>
      </c>
      <c r="N249" s="31"/>
      <c r="O249" s="30"/>
      <c r="P249" s="31"/>
      <c r="Q249" s="74">
        <v>0.12</v>
      </c>
      <c r="R249" s="47">
        <f t="shared" si="46"/>
        <v>168000</v>
      </c>
      <c r="S249" s="75"/>
      <c r="T249" s="48">
        <f t="shared" si="47"/>
        <v>1400000</v>
      </c>
      <c r="U249" s="40">
        <v>200000</v>
      </c>
      <c r="V249" s="40">
        <v>200000</v>
      </c>
      <c r="W249" s="40">
        <v>200000</v>
      </c>
      <c r="X249" s="40">
        <v>200000</v>
      </c>
      <c r="Y249" s="40">
        <v>200000</v>
      </c>
      <c r="Z249" s="40">
        <v>200000</v>
      </c>
      <c r="AA249" s="40">
        <v>200000</v>
      </c>
      <c r="AB249" s="40">
        <v>200000</v>
      </c>
      <c r="AC249" s="40">
        <v>200000</v>
      </c>
      <c r="AD249" s="40">
        <v>200000</v>
      </c>
      <c r="AE249" s="40">
        <v>200000</v>
      </c>
      <c r="AF249" s="40">
        <v>200000</v>
      </c>
      <c r="AG249" s="40"/>
      <c r="AH249" s="39"/>
      <c r="AI249" s="39"/>
      <c r="AJ249" s="39"/>
      <c r="AK249" s="39"/>
      <c r="AL249" s="39"/>
      <c r="AM249" s="39"/>
      <c r="AN249" s="39"/>
      <c r="AO249" s="39"/>
      <c r="AP249" s="39"/>
      <c r="AQ249" s="39"/>
      <c r="AR249" s="39"/>
      <c r="AS249" s="30" t="s">
        <v>74</v>
      </c>
      <c r="AT249" s="30" t="s">
        <v>80</v>
      </c>
      <c r="AU249" s="30" t="s">
        <v>81</v>
      </c>
      <c r="AV249" s="30" t="s">
        <v>82</v>
      </c>
      <c r="AW249" s="30"/>
      <c r="AX249" s="30"/>
      <c r="AY249" s="30"/>
      <c r="AZ249" s="30"/>
      <c r="BA249" s="30"/>
      <c r="BB249" s="30"/>
      <c r="BC249" s="58"/>
      <c r="BD249" s="30"/>
      <c r="BE249" s="55"/>
      <c r="BF249" s="55"/>
      <c r="BG249" s="55"/>
      <c r="BH249" s="55"/>
      <c r="BI249" s="55"/>
      <c r="BJ249" s="64"/>
      <c r="BK249" s="39"/>
      <c r="BL249" s="63">
        <f t="shared" si="55"/>
        <v>24000</v>
      </c>
      <c r="BM249" s="63">
        <f t="shared" si="48"/>
        <v>24000</v>
      </c>
      <c r="BN249" s="63">
        <f t="shared" si="49"/>
        <v>24000</v>
      </c>
      <c r="BO249" s="63">
        <f t="shared" si="50"/>
        <v>24000</v>
      </c>
      <c r="BP249" s="63">
        <f t="shared" si="51"/>
        <v>24000</v>
      </c>
      <c r="BQ249" s="63">
        <f t="shared" si="52"/>
        <v>24000</v>
      </c>
      <c r="BR249" s="63">
        <f t="shared" si="53"/>
        <v>24000</v>
      </c>
      <c r="BS249" s="63">
        <f t="shared" si="54"/>
        <v>24000</v>
      </c>
    </row>
    <row r="250" spans="1:71">
      <c r="A250" s="28">
        <f t="shared" si="45"/>
        <v>249</v>
      </c>
      <c r="B250" s="31" t="s">
        <v>990</v>
      </c>
      <c r="C250" s="31" t="s">
        <v>92</v>
      </c>
      <c r="D250" s="30" t="s">
        <v>73</v>
      </c>
      <c r="E250" s="30" t="s">
        <v>74</v>
      </c>
      <c r="F250" s="69" t="s">
        <v>75</v>
      </c>
      <c r="G250" s="69" t="s">
        <v>349</v>
      </c>
      <c r="H250" s="68" t="s">
        <v>350</v>
      </c>
      <c r="I250" s="69"/>
      <c r="J250" s="69"/>
      <c r="K250" s="69" t="s">
        <v>991</v>
      </c>
      <c r="L250" s="73"/>
      <c r="M250" s="31" t="s">
        <v>114</v>
      </c>
      <c r="N250" s="31"/>
      <c r="O250" s="69" t="s">
        <v>992</v>
      </c>
      <c r="P250" s="30"/>
      <c r="Q250" s="74">
        <v>0.23</v>
      </c>
      <c r="R250" s="47">
        <f t="shared" si="46"/>
        <v>24150</v>
      </c>
      <c r="S250" s="75"/>
      <c r="T250" s="48">
        <f t="shared" si="47"/>
        <v>105000</v>
      </c>
      <c r="U250" s="40">
        <v>100000</v>
      </c>
      <c r="V250" s="40">
        <v>100000</v>
      </c>
      <c r="W250" s="40">
        <v>15000</v>
      </c>
      <c r="X250" s="40">
        <v>15000</v>
      </c>
      <c r="Y250" s="40">
        <v>15000</v>
      </c>
      <c r="Z250" s="40">
        <v>15000</v>
      </c>
      <c r="AA250" s="40">
        <v>15000</v>
      </c>
      <c r="AB250" s="40">
        <v>15000</v>
      </c>
      <c r="AC250" s="40">
        <v>15000</v>
      </c>
      <c r="AD250" s="40">
        <v>15000</v>
      </c>
      <c r="AE250" s="40">
        <v>15000</v>
      </c>
      <c r="AF250" s="40">
        <v>15000</v>
      </c>
      <c r="AG250" s="40"/>
      <c r="AH250" s="39"/>
      <c r="AI250" s="39"/>
      <c r="AJ250" s="39"/>
      <c r="AK250" s="39"/>
      <c r="AL250" s="39"/>
      <c r="AM250" s="39"/>
      <c r="AN250" s="39"/>
      <c r="AO250" s="39"/>
      <c r="AP250" s="39"/>
      <c r="AQ250" s="39"/>
      <c r="AR250" s="39"/>
      <c r="AS250" s="30" t="s">
        <v>74</v>
      </c>
      <c r="AT250" s="30" t="s">
        <v>80</v>
      </c>
      <c r="AU250" s="30" t="s">
        <v>81</v>
      </c>
      <c r="AV250" s="30" t="s">
        <v>82</v>
      </c>
      <c r="AW250" s="30" t="s">
        <v>945</v>
      </c>
      <c r="AX250" s="30" t="s">
        <v>946</v>
      </c>
      <c r="AY250" s="30"/>
      <c r="AZ250" s="30"/>
      <c r="BA250" s="30"/>
      <c r="BB250" s="30"/>
      <c r="BC250" s="58"/>
      <c r="BD250" s="30"/>
      <c r="BE250" s="30"/>
      <c r="BF250" s="30"/>
      <c r="BG250" s="30"/>
      <c r="BH250" s="30"/>
      <c r="BI250" s="30"/>
      <c r="BJ250" s="31"/>
      <c r="BK250" s="31"/>
      <c r="BL250" s="63">
        <f t="shared" si="55"/>
        <v>3450</v>
      </c>
      <c r="BM250" s="63">
        <f t="shared" si="48"/>
        <v>3450</v>
      </c>
      <c r="BN250" s="63">
        <f t="shared" si="49"/>
        <v>3450</v>
      </c>
      <c r="BO250" s="63">
        <f t="shared" si="50"/>
        <v>3450</v>
      </c>
      <c r="BP250" s="63">
        <f t="shared" si="51"/>
        <v>3450</v>
      </c>
      <c r="BQ250" s="63">
        <f t="shared" si="52"/>
        <v>3450</v>
      </c>
      <c r="BR250" s="63">
        <f t="shared" si="53"/>
        <v>3450</v>
      </c>
      <c r="BS250" s="63">
        <f t="shared" si="54"/>
        <v>3450</v>
      </c>
    </row>
    <row r="251" spans="1:71">
      <c r="A251" s="28">
        <f t="shared" si="45"/>
        <v>250</v>
      </c>
      <c r="B251" s="30" t="s">
        <v>993</v>
      </c>
      <c r="C251" s="30" t="s">
        <v>72</v>
      </c>
      <c r="D251" s="30" t="s">
        <v>129</v>
      </c>
      <c r="E251" s="30" t="s">
        <v>74</v>
      </c>
      <c r="F251" s="30" t="s">
        <v>977</v>
      </c>
      <c r="G251" s="30" t="s">
        <v>76</v>
      </c>
      <c r="H251" s="35" t="s">
        <v>170</v>
      </c>
      <c r="I251" s="30"/>
      <c r="J251" s="30"/>
      <c r="K251" s="30" t="s">
        <v>655</v>
      </c>
      <c r="L251" s="40">
        <v>1200000</v>
      </c>
      <c r="M251" s="30" t="s">
        <v>79</v>
      </c>
      <c r="N251" s="30" t="s">
        <v>134</v>
      </c>
      <c r="O251" s="30"/>
      <c r="P251" s="30"/>
      <c r="Q251" s="74">
        <v>0.23</v>
      </c>
      <c r="R251" s="47">
        <f t="shared" si="46"/>
        <v>32200</v>
      </c>
      <c r="S251" s="30"/>
      <c r="T251" s="48">
        <f t="shared" si="47"/>
        <v>140000</v>
      </c>
      <c r="U251" s="40">
        <v>100000</v>
      </c>
      <c r="V251" s="40">
        <v>100000</v>
      </c>
      <c r="W251" s="40">
        <v>100000</v>
      </c>
      <c r="X251" s="40">
        <v>20000</v>
      </c>
      <c r="Y251" s="40">
        <v>20000</v>
      </c>
      <c r="Z251" s="40">
        <v>20000</v>
      </c>
      <c r="AA251" s="40">
        <v>20000</v>
      </c>
      <c r="AB251" s="40">
        <v>20000</v>
      </c>
      <c r="AC251" s="40">
        <v>20000</v>
      </c>
      <c r="AD251" s="40">
        <v>20000</v>
      </c>
      <c r="AE251" s="40">
        <v>20000</v>
      </c>
      <c r="AF251" s="40">
        <v>20000</v>
      </c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0" t="s">
        <v>74</v>
      </c>
      <c r="AT251" s="30" t="s">
        <v>80</v>
      </c>
      <c r="AU251" s="30" t="s">
        <v>81</v>
      </c>
      <c r="AV251" s="30" t="s">
        <v>82</v>
      </c>
      <c r="AW251" s="30"/>
      <c r="AX251" s="30"/>
      <c r="AY251" s="30"/>
      <c r="AZ251" s="31"/>
      <c r="BA251" s="31"/>
      <c r="BB251" s="31"/>
      <c r="BC251" s="31"/>
      <c r="BD251" s="79"/>
      <c r="BE251" s="79"/>
      <c r="BF251" s="79"/>
      <c r="BG251" s="79"/>
      <c r="BH251" s="79"/>
      <c r="BI251" s="79"/>
      <c r="BJ251" s="31"/>
      <c r="BK251" s="31"/>
      <c r="BL251" s="63">
        <f t="shared" si="55"/>
        <v>4600</v>
      </c>
      <c r="BM251" s="63">
        <f t="shared" si="48"/>
        <v>4600</v>
      </c>
      <c r="BN251" s="63">
        <f t="shared" si="49"/>
        <v>4600</v>
      </c>
      <c r="BO251" s="63">
        <f t="shared" si="50"/>
        <v>4600</v>
      </c>
      <c r="BP251" s="63">
        <f t="shared" si="51"/>
        <v>4600</v>
      </c>
      <c r="BQ251" s="63">
        <f t="shared" si="52"/>
        <v>4600</v>
      </c>
      <c r="BR251" s="63">
        <f t="shared" si="53"/>
        <v>4600</v>
      </c>
      <c r="BS251" s="63">
        <f t="shared" si="54"/>
        <v>4600</v>
      </c>
    </row>
    <row r="252" spans="1:71">
      <c r="A252" s="28">
        <f t="shared" si="45"/>
        <v>251</v>
      </c>
      <c r="B252" s="30" t="s">
        <v>988</v>
      </c>
      <c r="C252" s="30" t="s">
        <v>72</v>
      </c>
      <c r="D252" s="69" t="s">
        <v>73</v>
      </c>
      <c r="E252" s="30" t="s">
        <v>74</v>
      </c>
      <c r="F252" s="69" t="s">
        <v>971</v>
      </c>
      <c r="G252" s="69" t="s">
        <v>165</v>
      </c>
      <c r="H252" s="68" t="s">
        <v>166</v>
      </c>
      <c r="I252" s="69"/>
      <c r="J252" s="69"/>
      <c r="K252" s="69" t="s">
        <v>989</v>
      </c>
      <c r="L252" s="73">
        <v>1000000</v>
      </c>
      <c r="M252" s="31" t="s">
        <v>79</v>
      </c>
      <c r="N252" s="31"/>
      <c r="O252" s="30"/>
      <c r="P252" s="31"/>
      <c r="Q252" s="74">
        <v>0.205</v>
      </c>
      <c r="R252" s="47">
        <f t="shared" si="46"/>
        <v>143500</v>
      </c>
      <c r="S252" s="75"/>
      <c r="T252" s="48">
        <f t="shared" si="47"/>
        <v>700000</v>
      </c>
      <c r="U252" s="40">
        <v>100000</v>
      </c>
      <c r="V252" s="40">
        <v>100000</v>
      </c>
      <c r="W252" s="40">
        <v>100000</v>
      </c>
      <c r="X252" s="40">
        <v>100000</v>
      </c>
      <c r="Y252" s="40">
        <v>100000</v>
      </c>
      <c r="Z252" s="40">
        <v>100000</v>
      </c>
      <c r="AA252" s="40">
        <v>100000</v>
      </c>
      <c r="AB252" s="40">
        <v>100000</v>
      </c>
      <c r="AC252" s="40">
        <v>100000</v>
      </c>
      <c r="AD252" s="40">
        <v>100000</v>
      </c>
      <c r="AE252" s="40">
        <v>100000</v>
      </c>
      <c r="AF252" s="40">
        <v>100000</v>
      </c>
      <c r="AG252" s="40"/>
      <c r="AH252" s="39"/>
      <c r="AI252" s="39"/>
      <c r="AJ252" s="39"/>
      <c r="AK252" s="39"/>
      <c r="AL252" s="39"/>
      <c r="AM252" s="39"/>
      <c r="AN252" s="39"/>
      <c r="AO252" s="39"/>
      <c r="AP252" s="39"/>
      <c r="AQ252" s="39"/>
      <c r="AR252" s="39"/>
      <c r="AS252" s="30" t="s">
        <v>74</v>
      </c>
      <c r="AT252" s="30" t="s">
        <v>80</v>
      </c>
      <c r="AU252" s="30" t="s">
        <v>81</v>
      </c>
      <c r="AV252" s="30" t="s">
        <v>82</v>
      </c>
      <c r="AW252" s="30"/>
      <c r="AX252" s="30"/>
      <c r="AY252" s="30"/>
      <c r="AZ252" s="30"/>
      <c r="BA252" s="30"/>
      <c r="BB252" s="30"/>
      <c r="BC252" s="58"/>
      <c r="BD252" s="30"/>
      <c r="BE252" s="55"/>
      <c r="BF252" s="55"/>
      <c r="BG252" s="55"/>
      <c r="BH252" s="55"/>
      <c r="BI252" s="55"/>
      <c r="BJ252" s="64"/>
      <c r="BK252" s="39"/>
      <c r="BL252" s="63">
        <f t="shared" si="55"/>
        <v>20500</v>
      </c>
      <c r="BM252" s="63">
        <f t="shared" si="48"/>
        <v>20500</v>
      </c>
      <c r="BN252" s="63">
        <f t="shared" si="49"/>
        <v>20500</v>
      </c>
      <c r="BO252" s="63">
        <f t="shared" si="50"/>
        <v>20500</v>
      </c>
      <c r="BP252" s="63">
        <f t="shared" si="51"/>
        <v>20500</v>
      </c>
      <c r="BQ252" s="63">
        <f t="shared" si="52"/>
        <v>20500</v>
      </c>
      <c r="BR252" s="63">
        <f t="shared" si="53"/>
        <v>20500</v>
      </c>
      <c r="BS252" s="63">
        <f t="shared" si="54"/>
        <v>20500</v>
      </c>
    </row>
    <row r="253" spans="1:71">
      <c r="A253" s="28">
        <f t="shared" si="45"/>
        <v>252</v>
      </c>
      <c r="B253" s="30" t="s">
        <v>994</v>
      </c>
      <c r="C253" s="30" t="s">
        <v>72</v>
      </c>
      <c r="D253" s="69" t="s">
        <v>73</v>
      </c>
      <c r="E253" s="30" t="s">
        <v>74</v>
      </c>
      <c r="F253" s="69" t="s">
        <v>75</v>
      </c>
      <c r="G253" s="30" t="s">
        <v>236</v>
      </c>
      <c r="H253" s="35" t="s">
        <v>237</v>
      </c>
      <c r="I253" s="30"/>
      <c r="J253" s="30"/>
      <c r="K253" s="69" t="s">
        <v>980</v>
      </c>
      <c r="L253" s="73">
        <v>1000000</v>
      </c>
      <c r="M253" s="31" t="s">
        <v>79</v>
      </c>
      <c r="N253" s="31"/>
      <c r="O253" s="30"/>
      <c r="P253" s="31"/>
      <c r="Q253" s="42">
        <v>0.205</v>
      </c>
      <c r="R253" s="47">
        <f t="shared" si="46"/>
        <v>143500</v>
      </c>
      <c r="S253" s="75"/>
      <c r="T253" s="48">
        <f t="shared" si="47"/>
        <v>700000</v>
      </c>
      <c r="U253" s="40">
        <v>100000</v>
      </c>
      <c r="V253" s="40">
        <v>100000</v>
      </c>
      <c r="W253" s="40">
        <v>100000</v>
      </c>
      <c r="X253" s="40">
        <v>100000</v>
      </c>
      <c r="Y253" s="40">
        <v>100000</v>
      </c>
      <c r="Z253" s="40">
        <v>100000</v>
      </c>
      <c r="AA253" s="40">
        <v>100000</v>
      </c>
      <c r="AB253" s="40">
        <v>100000</v>
      </c>
      <c r="AC253" s="40">
        <v>100000</v>
      </c>
      <c r="AD253" s="40">
        <v>100000</v>
      </c>
      <c r="AE253" s="40">
        <v>100000</v>
      </c>
      <c r="AF253" s="40">
        <v>100000</v>
      </c>
      <c r="AG253" s="40"/>
      <c r="AH253" s="39"/>
      <c r="AI253" s="39"/>
      <c r="AJ253" s="39"/>
      <c r="AK253" s="39"/>
      <c r="AL253" s="39"/>
      <c r="AM253" s="39"/>
      <c r="AN253" s="39"/>
      <c r="AO253" s="39"/>
      <c r="AP253" s="39"/>
      <c r="AQ253" s="39"/>
      <c r="AR253" s="39"/>
      <c r="AS253" s="30" t="s">
        <v>74</v>
      </c>
      <c r="AT253" s="30" t="s">
        <v>80</v>
      </c>
      <c r="AU253" s="30" t="s">
        <v>81</v>
      </c>
      <c r="AV253" s="30" t="s">
        <v>82</v>
      </c>
      <c r="AW253" s="30"/>
      <c r="AX253" s="30"/>
      <c r="AY253" s="30"/>
      <c r="AZ253" s="30"/>
      <c r="BA253" s="30"/>
      <c r="BB253" s="30"/>
      <c r="BC253" s="58"/>
      <c r="BD253" s="30"/>
      <c r="BE253" s="55"/>
      <c r="BF253" s="55"/>
      <c r="BG253" s="55"/>
      <c r="BH253" s="55"/>
      <c r="BI253" s="55"/>
      <c r="BJ253" s="64"/>
      <c r="BK253" s="39"/>
      <c r="BL253" s="63">
        <f t="shared" si="55"/>
        <v>20500</v>
      </c>
      <c r="BM253" s="63">
        <f t="shared" si="48"/>
        <v>20500</v>
      </c>
      <c r="BN253" s="63">
        <f t="shared" si="49"/>
        <v>20500</v>
      </c>
      <c r="BO253" s="63">
        <f t="shared" si="50"/>
        <v>20500</v>
      </c>
      <c r="BP253" s="63">
        <f t="shared" si="51"/>
        <v>20500</v>
      </c>
      <c r="BQ253" s="63">
        <f t="shared" si="52"/>
        <v>20500</v>
      </c>
      <c r="BR253" s="63">
        <f t="shared" si="53"/>
        <v>20500</v>
      </c>
      <c r="BS253" s="63">
        <f t="shared" si="54"/>
        <v>20500</v>
      </c>
    </row>
    <row r="254" spans="1:71">
      <c r="A254" s="28">
        <f t="shared" si="45"/>
        <v>253</v>
      </c>
      <c r="B254" s="31" t="s">
        <v>995</v>
      </c>
      <c r="C254" s="30" t="s">
        <v>72</v>
      </c>
      <c r="D254" s="30" t="s">
        <v>73</v>
      </c>
      <c r="E254" s="30" t="s">
        <v>74</v>
      </c>
      <c r="F254" s="69" t="s">
        <v>971</v>
      </c>
      <c r="G254" s="69" t="s">
        <v>210</v>
      </c>
      <c r="H254" s="68" t="s">
        <v>215</v>
      </c>
      <c r="I254" s="69"/>
      <c r="J254" s="69"/>
      <c r="K254" s="69" t="s">
        <v>996</v>
      </c>
      <c r="L254" s="73">
        <v>3000000</v>
      </c>
      <c r="M254" s="31" t="s">
        <v>57</v>
      </c>
      <c r="N254" s="31"/>
      <c r="O254" s="69" t="s">
        <v>997</v>
      </c>
      <c r="P254" s="30"/>
      <c r="Q254" s="74">
        <v>0.12</v>
      </c>
      <c r="R254" s="47">
        <f t="shared" si="46"/>
        <v>168000</v>
      </c>
      <c r="S254" s="75"/>
      <c r="T254" s="48">
        <f t="shared" si="47"/>
        <v>1400000</v>
      </c>
      <c r="U254" s="40"/>
      <c r="V254" s="40"/>
      <c r="W254" s="40"/>
      <c r="X254" s="40">
        <v>200000</v>
      </c>
      <c r="Y254" s="40">
        <v>200000</v>
      </c>
      <c r="Z254" s="40">
        <v>200000</v>
      </c>
      <c r="AA254" s="40">
        <v>200000</v>
      </c>
      <c r="AB254" s="40">
        <v>200000</v>
      </c>
      <c r="AC254" s="40">
        <v>200000</v>
      </c>
      <c r="AD254" s="40">
        <v>200000</v>
      </c>
      <c r="AE254" s="40">
        <v>200000</v>
      </c>
      <c r="AF254" s="40">
        <v>200000</v>
      </c>
      <c r="AG254" s="40"/>
      <c r="AH254" s="39"/>
      <c r="AI254" s="39"/>
      <c r="AJ254" s="39"/>
      <c r="AK254" s="39"/>
      <c r="AL254" s="39"/>
      <c r="AM254" s="39"/>
      <c r="AN254" s="39"/>
      <c r="AO254" s="39"/>
      <c r="AP254" s="39"/>
      <c r="AQ254" s="39"/>
      <c r="AR254" s="39"/>
      <c r="AS254" s="30" t="s">
        <v>74</v>
      </c>
      <c r="AT254" s="30" t="s">
        <v>80</v>
      </c>
      <c r="AU254" s="30" t="s">
        <v>81</v>
      </c>
      <c r="AV254" s="30" t="s">
        <v>82</v>
      </c>
      <c r="AW254" s="30"/>
      <c r="AX254" s="30"/>
      <c r="AY254" s="30"/>
      <c r="AZ254" s="30"/>
      <c r="BA254" s="30"/>
      <c r="BB254" s="30"/>
      <c r="BC254" s="58"/>
      <c r="BD254" s="30"/>
      <c r="BE254" s="55"/>
      <c r="BF254" s="55"/>
      <c r="BG254" s="55"/>
      <c r="BH254" s="55"/>
      <c r="BI254" s="55"/>
      <c r="BJ254" s="64"/>
      <c r="BK254" s="39"/>
      <c r="BL254" s="63">
        <f t="shared" si="55"/>
        <v>24000</v>
      </c>
      <c r="BM254" s="63">
        <f t="shared" si="48"/>
        <v>24000</v>
      </c>
      <c r="BN254" s="63">
        <f t="shared" si="49"/>
        <v>24000</v>
      </c>
      <c r="BO254" s="63">
        <f t="shared" si="50"/>
        <v>24000</v>
      </c>
      <c r="BP254" s="63">
        <f t="shared" si="51"/>
        <v>24000</v>
      </c>
      <c r="BQ254" s="63">
        <f t="shared" si="52"/>
        <v>24000</v>
      </c>
      <c r="BR254" s="63">
        <f t="shared" si="53"/>
        <v>24000</v>
      </c>
      <c r="BS254" s="63">
        <f t="shared" si="54"/>
        <v>24000</v>
      </c>
    </row>
    <row r="255" spans="1:71">
      <c r="A255" s="28">
        <f t="shared" si="45"/>
        <v>254</v>
      </c>
      <c r="B255" s="31" t="s">
        <v>998</v>
      </c>
      <c r="C255" s="30" t="s">
        <v>72</v>
      </c>
      <c r="D255" s="30" t="s">
        <v>73</v>
      </c>
      <c r="E255" s="30" t="s">
        <v>74</v>
      </c>
      <c r="F255" s="69" t="s">
        <v>971</v>
      </c>
      <c r="G255" s="69" t="s">
        <v>210</v>
      </c>
      <c r="H255" s="68" t="s">
        <v>215</v>
      </c>
      <c r="I255" s="69"/>
      <c r="J255" s="69"/>
      <c r="K255" s="69" t="s">
        <v>643</v>
      </c>
      <c r="L255" s="73">
        <v>3000000</v>
      </c>
      <c r="M255" s="31" t="s">
        <v>57</v>
      </c>
      <c r="N255" s="31"/>
      <c r="O255" s="69" t="s">
        <v>997</v>
      </c>
      <c r="P255" s="30"/>
      <c r="Q255" s="74">
        <v>0.12</v>
      </c>
      <c r="R255" s="47">
        <f t="shared" si="46"/>
        <v>168000</v>
      </c>
      <c r="S255" s="75"/>
      <c r="T255" s="48">
        <f t="shared" si="47"/>
        <v>1400000</v>
      </c>
      <c r="U255" s="40"/>
      <c r="V255" s="40"/>
      <c r="W255" s="40"/>
      <c r="X255" s="40">
        <v>200000</v>
      </c>
      <c r="Y255" s="40">
        <v>200000</v>
      </c>
      <c r="Z255" s="40">
        <v>200000</v>
      </c>
      <c r="AA255" s="40">
        <v>200000</v>
      </c>
      <c r="AB255" s="40">
        <v>200000</v>
      </c>
      <c r="AC255" s="40">
        <v>200000</v>
      </c>
      <c r="AD255" s="40">
        <v>200000</v>
      </c>
      <c r="AE255" s="40">
        <v>200000</v>
      </c>
      <c r="AF255" s="40">
        <v>200000</v>
      </c>
      <c r="AG255" s="40"/>
      <c r="AH255" s="39"/>
      <c r="AI255" s="39"/>
      <c r="AJ255" s="39"/>
      <c r="AK255" s="39"/>
      <c r="AL255" s="39"/>
      <c r="AM255" s="39"/>
      <c r="AN255" s="39"/>
      <c r="AO255" s="39"/>
      <c r="AP255" s="39"/>
      <c r="AQ255" s="39"/>
      <c r="AR255" s="39"/>
      <c r="AS255" s="30" t="s">
        <v>74</v>
      </c>
      <c r="AT255" s="30" t="s">
        <v>80</v>
      </c>
      <c r="AU255" s="30" t="s">
        <v>81</v>
      </c>
      <c r="AV255" s="30" t="s">
        <v>82</v>
      </c>
      <c r="AW255" s="30"/>
      <c r="AX255" s="30"/>
      <c r="AY255" s="30"/>
      <c r="AZ255" s="30"/>
      <c r="BA255" s="30"/>
      <c r="BB255" s="30"/>
      <c r="BC255" s="58"/>
      <c r="BD255" s="30"/>
      <c r="BE255" s="55"/>
      <c r="BF255" s="55"/>
      <c r="BG255" s="55"/>
      <c r="BH255" s="55"/>
      <c r="BI255" s="55"/>
      <c r="BJ255" s="64"/>
      <c r="BK255" s="39"/>
      <c r="BL255" s="63">
        <f t="shared" si="55"/>
        <v>24000</v>
      </c>
      <c r="BM255" s="63">
        <f t="shared" si="48"/>
        <v>24000</v>
      </c>
      <c r="BN255" s="63">
        <f t="shared" si="49"/>
        <v>24000</v>
      </c>
      <c r="BO255" s="63">
        <f t="shared" si="50"/>
        <v>24000</v>
      </c>
      <c r="BP255" s="63">
        <f t="shared" si="51"/>
        <v>24000</v>
      </c>
      <c r="BQ255" s="63">
        <f t="shared" si="52"/>
        <v>24000</v>
      </c>
      <c r="BR255" s="63">
        <f t="shared" si="53"/>
        <v>24000</v>
      </c>
      <c r="BS255" s="63">
        <f t="shared" si="54"/>
        <v>24000</v>
      </c>
    </row>
    <row r="256" spans="1:71">
      <c r="A256" s="28">
        <f t="shared" si="45"/>
        <v>255</v>
      </c>
      <c r="B256" s="29" t="s">
        <v>999</v>
      </c>
      <c r="C256" s="30" t="s">
        <v>72</v>
      </c>
      <c r="D256" s="69" t="s">
        <v>73</v>
      </c>
      <c r="E256" s="30" t="s">
        <v>74</v>
      </c>
      <c r="F256" s="69" t="s">
        <v>75</v>
      </c>
      <c r="G256" s="69" t="s">
        <v>163</v>
      </c>
      <c r="H256" s="68" t="s">
        <v>164</v>
      </c>
      <c r="I256" s="69"/>
      <c r="J256" s="69"/>
      <c r="K256" s="69" t="s">
        <v>78</v>
      </c>
      <c r="L256" s="40">
        <v>750000</v>
      </c>
      <c r="M256" s="31" t="s">
        <v>79</v>
      </c>
      <c r="N256" s="31"/>
      <c r="O256" s="69" t="s">
        <v>89</v>
      </c>
      <c r="P256" s="74"/>
      <c r="Q256" s="74">
        <v>0.37</v>
      </c>
      <c r="R256" s="47">
        <f t="shared" si="46"/>
        <v>129500</v>
      </c>
      <c r="S256" s="31"/>
      <c r="T256" s="48">
        <f t="shared" si="47"/>
        <v>350000</v>
      </c>
      <c r="U256" s="40">
        <v>50000</v>
      </c>
      <c r="V256" s="40">
        <v>50000</v>
      </c>
      <c r="W256" s="40">
        <v>50000</v>
      </c>
      <c r="X256" s="40">
        <v>50000</v>
      </c>
      <c r="Y256" s="40">
        <v>50000</v>
      </c>
      <c r="Z256" s="40">
        <v>50000</v>
      </c>
      <c r="AA256" s="40">
        <v>50000</v>
      </c>
      <c r="AB256" s="40">
        <v>50000</v>
      </c>
      <c r="AC256" s="40">
        <v>50000</v>
      </c>
      <c r="AD256" s="40">
        <v>50000</v>
      </c>
      <c r="AE256" s="40">
        <v>50000</v>
      </c>
      <c r="AF256" s="40">
        <v>50000</v>
      </c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0" t="s">
        <v>74</v>
      </c>
      <c r="AT256" s="30" t="s">
        <v>80</v>
      </c>
      <c r="AU256" s="30" t="s">
        <v>81</v>
      </c>
      <c r="AV256" s="30" t="s">
        <v>82</v>
      </c>
      <c r="AW256" s="30"/>
      <c r="AX256" s="30"/>
      <c r="AY256" s="30"/>
      <c r="AZ256" s="31"/>
      <c r="BA256" s="31"/>
      <c r="BB256" s="31"/>
      <c r="BC256" s="31"/>
      <c r="BD256" s="79"/>
      <c r="BE256" s="79"/>
      <c r="BF256" s="79"/>
      <c r="BG256" s="79"/>
      <c r="BH256" s="79"/>
      <c r="BI256" s="79"/>
      <c r="BJ256" s="31"/>
      <c r="BK256" s="31"/>
      <c r="BL256" s="63">
        <f t="shared" si="55"/>
        <v>18500</v>
      </c>
      <c r="BM256" s="63">
        <f t="shared" si="48"/>
        <v>18500</v>
      </c>
      <c r="BN256" s="63">
        <f t="shared" si="49"/>
        <v>18500</v>
      </c>
      <c r="BO256" s="63">
        <f t="shared" si="50"/>
        <v>18500</v>
      </c>
      <c r="BP256" s="63">
        <f t="shared" si="51"/>
        <v>18500</v>
      </c>
      <c r="BQ256" s="63">
        <f t="shared" si="52"/>
        <v>18500</v>
      </c>
      <c r="BR256" s="63">
        <f t="shared" si="53"/>
        <v>18500</v>
      </c>
      <c r="BS256" s="63">
        <f t="shared" si="54"/>
        <v>18500</v>
      </c>
    </row>
    <row r="257" spans="1:71">
      <c r="A257" s="28">
        <f t="shared" si="45"/>
        <v>256</v>
      </c>
      <c r="B257" s="29" t="s">
        <v>973</v>
      </c>
      <c r="C257" s="31" t="s">
        <v>92</v>
      </c>
      <c r="D257" s="29" t="s">
        <v>73</v>
      </c>
      <c r="E257" s="30" t="s">
        <v>74</v>
      </c>
      <c r="F257" s="29" t="s">
        <v>75</v>
      </c>
      <c r="G257" s="29" t="s">
        <v>285</v>
      </c>
      <c r="H257" s="37" t="s">
        <v>286</v>
      </c>
      <c r="I257" s="29"/>
      <c r="J257" s="29"/>
      <c r="K257" s="29" t="s">
        <v>974</v>
      </c>
      <c r="L257" s="73">
        <v>500000</v>
      </c>
      <c r="M257" s="31" t="s">
        <v>79</v>
      </c>
      <c r="N257" s="31"/>
      <c r="O257" s="30"/>
      <c r="P257" s="31"/>
      <c r="Q257" s="74">
        <v>0.35</v>
      </c>
      <c r="R257" s="47">
        <f t="shared" si="46"/>
        <v>122500</v>
      </c>
      <c r="S257" s="75"/>
      <c r="T257" s="48">
        <f t="shared" si="47"/>
        <v>350000</v>
      </c>
      <c r="U257" s="40">
        <v>50000</v>
      </c>
      <c r="V257" s="40">
        <v>50000</v>
      </c>
      <c r="W257" s="40">
        <v>50000</v>
      </c>
      <c r="X257" s="40">
        <v>50000</v>
      </c>
      <c r="Y257" s="40">
        <v>50000</v>
      </c>
      <c r="Z257" s="40">
        <v>50000</v>
      </c>
      <c r="AA257" s="40">
        <v>50000</v>
      </c>
      <c r="AB257" s="40">
        <v>50000</v>
      </c>
      <c r="AC257" s="40">
        <v>50000</v>
      </c>
      <c r="AD257" s="40">
        <v>50000</v>
      </c>
      <c r="AE257" s="40">
        <v>50000</v>
      </c>
      <c r="AF257" s="40">
        <v>50000</v>
      </c>
      <c r="AG257" s="40"/>
      <c r="AH257" s="39"/>
      <c r="AI257" s="39"/>
      <c r="AJ257" s="39"/>
      <c r="AK257" s="39"/>
      <c r="AL257" s="39"/>
      <c r="AM257" s="39"/>
      <c r="AN257" s="39"/>
      <c r="AO257" s="39"/>
      <c r="AP257" s="39"/>
      <c r="AQ257" s="39"/>
      <c r="AR257" s="39"/>
      <c r="AS257" s="30" t="s">
        <v>74</v>
      </c>
      <c r="AT257" s="30" t="s">
        <v>80</v>
      </c>
      <c r="AU257" s="30" t="s">
        <v>81</v>
      </c>
      <c r="AV257" s="30" t="s">
        <v>117</v>
      </c>
      <c r="AW257" s="30" t="s">
        <v>143</v>
      </c>
      <c r="AX257" s="30" t="s">
        <v>960</v>
      </c>
      <c r="AY257" s="30" t="s">
        <v>961</v>
      </c>
      <c r="AZ257" s="30"/>
      <c r="BA257" s="30"/>
      <c r="BB257" s="30"/>
      <c r="BC257" s="58"/>
      <c r="BD257" s="30"/>
      <c r="BE257" s="55"/>
      <c r="BF257" s="55"/>
      <c r="BG257" s="55"/>
      <c r="BH257" s="55"/>
      <c r="BI257" s="55"/>
      <c r="BJ257" s="64"/>
      <c r="BK257" s="39"/>
      <c r="BL257" s="63">
        <f t="shared" si="55"/>
        <v>17500</v>
      </c>
      <c r="BM257" s="63">
        <f t="shared" si="48"/>
        <v>17500</v>
      </c>
      <c r="BN257" s="63">
        <f t="shared" si="49"/>
        <v>17500</v>
      </c>
      <c r="BO257" s="63">
        <f t="shared" si="50"/>
        <v>17500</v>
      </c>
      <c r="BP257" s="63">
        <f t="shared" si="51"/>
        <v>17500</v>
      </c>
      <c r="BQ257" s="63">
        <f t="shared" si="52"/>
        <v>17500</v>
      </c>
      <c r="BR257" s="63">
        <f t="shared" si="53"/>
        <v>17500</v>
      </c>
      <c r="BS257" s="63">
        <f t="shared" si="54"/>
        <v>17500</v>
      </c>
    </row>
    <row r="258" spans="1:71">
      <c r="A258" s="28">
        <f t="shared" si="45"/>
        <v>257</v>
      </c>
      <c r="B258" s="29" t="s">
        <v>1000</v>
      </c>
      <c r="C258" s="30" t="s">
        <v>72</v>
      </c>
      <c r="D258" s="69" t="s">
        <v>73</v>
      </c>
      <c r="E258" s="30" t="s">
        <v>74</v>
      </c>
      <c r="F258" s="69" t="s">
        <v>75</v>
      </c>
      <c r="G258" s="69" t="s">
        <v>263</v>
      </c>
      <c r="H258" s="68" t="s">
        <v>264</v>
      </c>
      <c r="I258" s="69"/>
      <c r="J258" s="69"/>
      <c r="K258" s="69" t="s">
        <v>974</v>
      </c>
      <c r="L258" s="40">
        <v>750000</v>
      </c>
      <c r="M258" s="31" t="s">
        <v>79</v>
      </c>
      <c r="N258" s="31"/>
      <c r="O258" s="69" t="s">
        <v>89</v>
      </c>
      <c r="P258" s="74"/>
      <c r="Q258" s="74">
        <v>0.35</v>
      </c>
      <c r="R258" s="47">
        <f t="shared" si="46"/>
        <v>122500</v>
      </c>
      <c r="S258" s="31"/>
      <c r="T258" s="48">
        <f t="shared" si="47"/>
        <v>350000</v>
      </c>
      <c r="U258" s="40">
        <v>50000</v>
      </c>
      <c r="V258" s="40">
        <v>50000</v>
      </c>
      <c r="W258" s="40">
        <v>50000</v>
      </c>
      <c r="X258" s="40">
        <v>50000</v>
      </c>
      <c r="Y258" s="40">
        <v>50000</v>
      </c>
      <c r="Z258" s="40">
        <v>50000</v>
      </c>
      <c r="AA258" s="40">
        <v>50000</v>
      </c>
      <c r="AB258" s="40">
        <v>50000</v>
      </c>
      <c r="AC258" s="40">
        <v>50000</v>
      </c>
      <c r="AD258" s="40">
        <v>50000</v>
      </c>
      <c r="AE258" s="40">
        <v>50000</v>
      </c>
      <c r="AF258" s="40">
        <v>50000</v>
      </c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0" t="s">
        <v>74</v>
      </c>
      <c r="AT258" s="30" t="s">
        <v>80</v>
      </c>
      <c r="AU258" s="30" t="s">
        <v>81</v>
      </c>
      <c r="AV258" s="30" t="s">
        <v>117</v>
      </c>
      <c r="AW258" s="30" t="s">
        <v>143</v>
      </c>
      <c r="AX258" s="30" t="s">
        <v>960</v>
      </c>
      <c r="AY258" s="30" t="s">
        <v>961</v>
      </c>
      <c r="AZ258" s="31"/>
      <c r="BA258" s="31"/>
      <c r="BB258" s="31"/>
      <c r="BC258" s="31"/>
      <c r="BD258" s="79"/>
      <c r="BE258" s="79"/>
      <c r="BF258" s="79"/>
      <c r="BG258" s="79"/>
      <c r="BH258" s="79"/>
      <c r="BI258" s="79"/>
      <c r="BJ258" s="31"/>
      <c r="BK258" s="31"/>
      <c r="BL258" s="63">
        <f t="shared" si="55"/>
        <v>17500</v>
      </c>
      <c r="BM258" s="63">
        <f t="shared" si="48"/>
        <v>17500</v>
      </c>
      <c r="BN258" s="63">
        <f t="shared" si="49"/>
        <v>17500</v>
      </c>
      <c r="BO258" s="63">
        <f t="shared" si="50"/>
        <v>17500</v>
      </c>
      <c r="BP258" s="63">
        <f t="shared" si="51"/>
        <v>17500</v>
      </c>
      <c r="BQ258" s="63">
        <f t="shared" si="52"/>
        <v>17500</v>
      </c>
      <c r="BR258" s="63">
        <f t="shared" si="53"/>
        <v>17500</v>
      </c>
      <c r="BS258" s="63">
        <f t="shared" si="54"/>
        <v>17500</v>
      </c>
    </row>
    <row r="259" spans="1:71">
      <c r="A259" s="28">
        <f t="shared" ref="A259:A323" si="56">ROW()-1</f>
        <v>258</v>
      </c>
      <c r="B259" s="29" t="s">
        <v>1001</v>
      </c>
      <c r="C259" s="30" t="s">
        <v>72</v>
      </c>
      <c r="D259" s="29" t="s">
        <v>73</v>
      </c>
      <c r="E259" s="30" t="s">
        <v>74</v>
      </c>
      <c r="F259" s="29" t="s">
        <v>971</v>
      </c>
      <c r="G259" s="69" t="s">
        <v>195</v>
      </c>
      <c r="H259" s="68" t="s">
        <v>196</v>
      </c>
      <c r="I259" s="69"/>
      <c r="J259" s="69"/>
      <c r="K259" s="29" t="s">
        <v>1002</v>
      </c>
      <c r="L259" s="40">
        <v>2000000</v>
      </c>
      <c r="M259" s="31" t="s">
        <v>79</v>
      </c>
      <c r="N259" s="31"/>
      <c r="O259" s="29" t="s">
        <v>89</v>
      </c>
      <c r="P259" s="43"/>
      <c r="Q259" s="74">
        <v>0.115</v>
      </c>
      <c r="R259" s="47">
        <f t="shared" ref="R259:R323" si="57">Q259*T259</f>
        <v>120750</v>
      </c>
      <c r="S259" s="31"/>
      <c r="T259" s="48">
        <f t="shared" ref="T259:T323" si="58">SUM(Z259:AF259)</f>
        <v>1050000</v>
      </c>
      <c r="U259" s="40">
        <v>150000</v>
      </c>
      <c r="V259" s="40">
        <v>150000</v>
      </c>
      <c r="W259" s="40">
        <v>150000</v>
      </c>
      <c r="X259" s="40">
        <v>150000</v>
      </c>
      <c r="Y259" s="40">
        <v>150000</v>
      </c>
      <c r="Z259" s="40">
        <v>150000</v>
      </c>
      <c r="AA259" s="40">
        <v>150000</v>
      </c>
      <c r="AB259" s="40">
        <v>150000</v>
      </c>
      <c r="AC259" s="40">
        <v>150000</v>
      </c>
      <c r="AD259" s="40">
        <v>150000</v>
      </c>
      <c r="AE259" s="40">
        <v>150000</v>
      </c>
      <c r="AF259" s="40">
        <v>150000</v>
      </c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0" t="s">
        <v>74</v>
      </c>
      <c r="AT259" s="30" t="s">
        <v>80</v>
      </c>
      <c r="AU259" s="30" t="s">
        <v>81</v>
      </c>
      <c r="AV259" s="30" t="s">
        <v>82</v>
      </c>
      <c r="AW259" s="30"/>
      <c r="AX259" s="30"/>
      <c r="AY259" s="30"/>
      <c r="AZ259" s="31"/>
      <c r="BA259" s="31"/>
      <c r="BB259" s="31"/>
      <c r="BC259" s="31"/>
      <c r="BD259" s="79"/>
      <c r="BE259" s="79"/>
      <c r="BF259" s="79"/>
      <c r="BG259" s="79"/>
      <c r="BH259" s="79"/>
      <c r="BI259" s="79"/>
      <c r="BJ259" s="31"/>
      <c r="BK259" s="31"/>
      <c r="BL259" s="63">
        <f t="shared" si="55"/>
        <v>17250</v>
      </c>
      <c r="BM259" s="63">
        <f t="shared" ref="BM259:BM322" si="59">$Q259*Z259</f>
        <v>17250</v>
      </c>
      <c r="BN259" s="63">
        <f t="shared" ref="BN259:BN322" si="60">$Q259*AA259</f>
        <v>17250</v>
      </c>
      <c r="BO259" s="63">
        <f t="shared" ref="BO259:BO322" si="61">$Q259*AB259</f>
        <v>17250</v>
      </c>
      <c r="BP259" s="63">
        <f t="shared" ref="BP259:BP322" si="62">$Q259*AC259</f>
        <v>17250</v>
      </c>
      <c r="BQ259" s="63">
        <f t="shared" ref="BQ259:BQ322" si="63">$Q259*AD259</f>
        <v>17250</v>
      </c>
      <c r="BR259" s="63">
        <f t="shared" ref="BR259:BR322" si="64">$Q259*AE259</f>
        <v>17250</v>
      </c>
      <c r="BS259" s="63">
        <f t="shared" ref="BS259:BS322" si="65">$Q259*AF259</f>
        <v>17250</v>
      </c>
    </row>
    <row r="260" spans="1:71">
      <c r="A260" s="28">
        <f t="shared" si="56"/>
        <v>259</v>
      </c>
      <c r="B260" s="31" t="s">
        <v>1003</v>
      </c>
      <c r="C260" s="30" t="s">
        <v>92</v>
      </c>
      <c r="D260" s="30" t="s">
        <v>610</v>
      </c>
      <c r="E260" s="30" t="s">
        <v>74</v>
      </c>
      <c r="F260" s="30" t="s">
        <v>968</v>
      </c>
      <c r="G260" s="30" t="s">
        <v>236</v>
      </c>
      <c r="H260" s="35" t="s">
        <v>237</v>
      </c>
      <c r="I260" s="30"/>
      <c r="J260" s="30"/>
      <c r="K260" s="31" t="s">
        <v>1004</v>
      </c>
      <c r="L260" s="40"/>
      <c r="M260" s="39" t="s">
        <v>79</v>
      </c>
      <c r="N260" s="31" t="s">
        <v>103</v>
      </c>
      <c r="O260" s="30"/>
      <c r="P260" s="30"/>
      <c r="Q260" s="42">
        <v>0.52</v>
      </c>
      <c r="R260" s="47">
        <f t="shared" si="57"/>
        <v>36400</v>
      </c>
      <c r="S260" s="75"/>
      <c r="T260" s="48">
        <f t="shared" si="58"/>
        <v>70000</v>
      </c>
      <c r="U260" s="40">
        <v>30000</v>
      </c>
      <c r="V260" s="40">
        <v>30000</v>
      </c>
      <c r="W260" s="40">
        <v>30000</v>
      </c>
      <c r="X260" s="40">
        <v>10000</v>
      </c>
      <c r="Y260" s="40">
        <v>10000</v>
      </c>
      <c r="Z260" s="40">
        <v>10000</v>
      </c>
      <c r="AA260" s="40">
        <v>10000</v>
      </c>
      <c r="AB260" s="40">
        <v>10000</v>
      </c>
      <c r="AC260" s="40">
        <v>10000</v>
      </c>
      <c r="AD260" s="40">
        <v>10000</v>
      </c>
      <c r="AE260" s="40">
        <v>10000</v>
      </c>
      <c r="AF260" s="40">
        <v>10000</v>
      </c>
      <c r="AG260" s="40"/>
      <c r="AH260" s="39"/>
      <c r="AI260" s="39"/>
      <c r="AJ260" s="39"/>
      <c r="AK260" s="39"/>
      <c r="AL260" s="39"/>
      <c r="AM260" s="39"/>
      <c r="AN260" s="39"/>
      <c r="AO260" s="39"/>
      <c r="AP260" s="39"/>
      <c r="AQ260" s="39"/>
      <c r="AR260" s="39"/>
      <c r="AS260" s="30" t="s">
        <v>74</v>
      </c>
      <c r="AT260" s="30" t="s">
        <v>80</v>
      </c>
      <c r="AU260" s="30" t="s">
        <v>81</v>
      </c>
      <c r="AV260" s="30" t="s">
        <v>82</v>
      </c>
      <c r="AW260" s="30"/>
      <c r="AX260" s="30"/>
      <c r="AY260" s="30"/>
      <c r="AZ260" s="30"/>
      <c r="BA260" s="30"/>
      <c r="BB260" s="30"/>
      <c r="BC260" s="58"/>
      <c r="BD260" s="30"/>
      <c r="BE260" s="55"/>
      <c r="BF260" s="55"/>
      <c r="BG260" s="55"/>
      <c r="BH260" s="55"/>
      <c r="BI260" s="55"/>
      <c r="BJ260" s="64"/>
      <c r="BK260" s="39"/>
      <c r="BL260" s="63">
        <f t="shared" si="55"/>
        <v>5200</v>
      </c>
      <c r="BM260" s="63">
        <f t="shared" si="59"/>
        <v>5200</v>
      </c>
      <c r="BN260" s="63">
        <f t="shared" si="60"/>
        <v>5200</v>
      </c>
      <c r="BO260" s="63">
        <f t="shared" si="61"/>
        <v>5200</v>
      </c>
      <c r="BP260" s="63">
        <f t="shared" si="62"/>
        <v>5200</v>
      </c>
      <c r="BQ260" s="63">
        <f t="shared" si="63"/>
        <v>5200</v>
      </c>
      <c r="BR260" s="63">
        <f t="shared" si="64"/>
        <v>5200</v>
      </c>
      <c r="BS260" s="63">
        <f t="shared" si="65"/>
        <v>5200</v>
      </c>
    </row>
    <row r="261" spans="1:71">
      <c r="A261" s="28">
        <f t="shared" si="56"/>
        <v>260</v>
      </c>
      <c r="B261" s="29" t="s">
        <v>1005</v>
      </c>
      <c r="C261" s="30" t="s">
        <v>72</v>
      </c>
      <c r="D261" s="29" t="s">
        <v>73</v>
      </c>
      <c r="E261" s="30" t="s">
        <v>74</v>
      </c>
      <c r="F261" s="29" t="s">
        <v>75</v>
      </c>
      <c r="G261" s="29" t="s">
        <v>324</v>
      </c>
      <c r="H261" s="37" t="s">
        <v>325</v>
      </c>
      <c r="I261" s="29"/>
      <c r="J261" s="29"/>
      <c r="K261" s="29" t="s">
        <v>1006</v>
      </c>
      <c r="L261" s="73">
        <v>800000</v>
      </c>
      <c r="M261" s="31" t="s">
        <v>79</v>
      </c>
      <c r="N261" s="31"/>
      <c r="O261" s="29" t="s">
        <v>89</v>
      </c>
      <c r="P261" s="43"/>
      <c r="Q261" s="74">
        <v>0.21</v>
      </c>
      <c r="R261" s="47">
        <f t="shared" si="57"/>
        <v>102900</v>
      </c>
      <c r="S261" s="75"/>
      <c r="T261" s="48">
        <f t="shared" si="58"/>
        <v>490000</v>
      </c>
      <c r="U261" s="40">
        <v>70000</v>
      </c>
      <c r="V261" s="40">
        <v>70000</v>
      </c>
      <c r="W261" s="40">
        <v>70000</v>
      </c>
      <c r="X261" s="40">
        <v>70000</v>
      </c>
      <c r="Y261" s="40">
        <v>70000</v>
      </c>
      <c r="Z261" s="40">
        <v>70000</v>
      </c>
      <c r="AA261" s="40">
        <v>70000</v>
      </c>
      <c r="AB261" s="40">
        <v>70000</v>
      </c>
      <c r="AC261" s="40">
        <v>70000</v>
      </c>
      <c r="AD261" s="40">
        <v>70000</v>
      </c>
      <c r="AE261" s="40">
        <v>70000</v>
      </c>
      <c r="AF261" s="40">
        <v>70000</v>
      </c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0" t="s">
        <v>74</v>
      </c>
      <c r="AT261" s="30" t="s">
        <v>80</v>
      </c>
      <c r="AU261" s="30" t="s">
        <v>81</v>
      </c>
      <c r="AV261" s="30" t="s">
        <v>82</v>
      </c>
      <c r="AW261" s="30"/>
      <c r="AX261" s="30"/>
      <c r="AY261" s="30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63">
        <f t="shared" si="55"/>
        <v>14700</v>
      </c>
      <c r="BM261" s="63">
        <f t="shared" si="59"/>
        <v>14700</v>
      </c>
      <c r="BN261" s="63">
        <f t="shared" si="60"/>
        <v>14700</v>
      </c>
      <c r="BO261" s="63">
        <f t="shared" si="61"/>
        <v>14700</v>
      </c>
      <c r="BP261" s="63">
        <f t="shared" si="62"/>
        <v>14700</v>
      </c>
      <c r="BQ261" s="63">
        <f t="shared" si="63"/>
        <v>14700</v>
      </c>
      <c r="BR261" s="63">
        <f t="shared" si="64"/>
        <v>14700</v>
      </c>
      <c r="BS261" s="63">
        <f t="shared" si="65"/>
        <v>14700</v>
      </c>
    </row>
    <row r="262" spans="1:71">
      <c r="A262" s="28">
        <f t="shared" si="56"/>
        <v>261</v>
      </c>
      <c r="B262" s="31" t="s">
        <v>1007</v>
      </c>
      <c r="C262" s="31" t="s">
        <v>92</v>
      </c>
      <c r="D262" s="30" t="s">
        <v>1008</v>
      </c>
      <c r="E262" s="30" t="s">
        <v>74</v>
      </c>
      <c r="F262" s="30" t="s">
        <v>1009</v>
      </c>
      <c r="G262" s="30" t="s">
        <v>161</v>
      </c>
      <c r="H262" s="35" t="s">
        <v>162</v>
      </c>
      <c r="I262" s="30"/>
      <c r="J262" s="30"/>
      <c r="K262" s="30" t="s">
        <v>1010</v>
      </c>
      <c r="L262" s="40">
        <v>400000</v>
      </c>
      <c r="M262" s="39" t="s">
        <v>79</v>
      </c>
      <c r="N262" s="31"/>
      <c r="O262" s="30"/>
      <c r="P262" s="30"/>
      <c r="Q262" s="42">
        <v>0.28</v>
      </c>
      <c r="R262" s="47">
        <f t="shared" si="57"/>
        <v>0</v>
      </c>
      <c r="S262" s="75"/>
      <c r="T262" s="48">
        <f t="shared" si="58"/>
        <v>0</v>
      </c>
      <c r="U262" s="40"/>
      <c r="V262" s="39"/>
      <c r="W262" s="39"/>
      <c r="X262" s="39">
        <v>30000</v>
      </c>
      <c r="Y262" s="39">
        <v>30000</v>
      </c>
      <c r="Z262" s="39">
        <v>0</v>
      </c>
      <c r="AA262" s="39">
        <v>0</v>
      </c>
      <c r="AB262" s="39">
        <v>0</v>
      </c>
      <c r="AC262" s="39">
        <v>0</v>
      </c>
      <c r="AD262" s="39">
        <v>0</v>
      </c>
      <c r="AE262" s="39">
        <v>0</v>
      </c>
      <c r="AF262" s="39">
        <v>0</v>
      </c>
      <c r="AG262" s="40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0" t="s">
        <v>74</v>
      </c>
      <c r="AT262" s="30" t="s">
        <v>80</v>
      </c>
      <c r="AU262" s="30" t="s">
        <v>81</v>
      </c>
      <c r="AV262" s="30" t="s">
        <v>581</v>
      </c>
      <c r="AW262" s="30" t="s">
        <v>588</v>
      </c>
      <c r="AX262" s="30" t="s">
        <v>1011</v>
      </c>
      <c r="AY262" s="30" t="s">
        <v>1012</v>
      </c>
      <c r="AZ262" s="30"/>
      <c r="BA262" s="30"/>
      <c r="BB262" s="30"/>
      <c r="BC262" s="58"/>
      <c r="BD262" s="30"/>
      <c r="BE262" s="55"/>
      <c r="BF262" s="55"/>
      <c r="BG262" s="55"/>
      <c r="BH262" s="55"/>
      <c r="BI262" s="55"/>
      <c r="BJ262" s="64"/>
      <c r="BK262" s="39"/>
      <c r="BL262" s="63">
        <f t="shared" si="55"/>
        <v>8400</v>
      </c>
      <c r="BM262" s="63">
        <f t="shared" si="59"/>
        <v>0</v>
      </c>
      <c r="BN262" s="63">
        <f t="shared" si="60"/>
        <v>0</v>
      </c>
      <c r="BO262" s="63">
        <f t="shared" si="61"/>
        <v>0</v>
      </c>
      <c r="BP262" s="63">
        <f t="shared" si="62"/>
        <v>0</v>
      </c>
      <c r="BQ262" s="63">
        <f t="shared" si="63"/>
        <v>0</v>
      </c>
      <c r="BR262" s="63">
        <f t="shared" si="64"/>
        <v>0</v>
      </c>
      <c r="BS262" s="63">
        <f t="shared" si="65"/>
        <v>0</v>
      </c>
    </row>
    <row r="263" spans="1:71">
      <c r="A263" s="28">
        <f t="shared" si="56"/>
        <v>262</v>
      </c>
      <c r="B263" s="29" t="s">
        <v>1013</v>
      </c>
      <c r="C263" s="30" t="s">
        <v>72</v>
      </c>
      <c r="D263" s="69" t="s">
        <v>73</v>
      </c>
      <c r="E263" s="30" t="s">
        <v>74</v>
      </c>
      <c r="F263" s="69" t="s">
        <v>971</v>
      </c>
      <c r="G263" s="69" t="s">
        <v>173</v>
      </c>
      <c r="H263" s="68" t="s">
        <v>174</v>
      </c>
      <c r="I263" s="69"/>
      <c r="J263" s="69"/>
      <c r="K263" s="69" t="s">
        <v>1014</v>
      </c>
      <c r="L263" s="40">
        <v>700000</v>
      </c>
      <c r="M263" s="31" t="s">
        <v>79</v>
      </c>
      <c r="N263" s="31"/>
      <c r="O263" s="69" t="s">
        <v>89</v>
      </c>
      <c r="P263" s="74"/>
      <c r="Q263" s="74">
        <v>0.25</v>
      </c>
      <c r="R263" s="47">
        <f t="shared" si="57"/>
        <v>87500</v>
      </c>
      <c r="S263" s="31"/>
      <c r="T263" s="48">
        <f t="shared" si="58"/>
        <v>350000</v>
      </c>
      <c r="U263" s="40">
        <v>50000</v>
      </c>
      <c r="V263" s="40">
        <v>50000</v>
      </c>
      <c r="W263" s="40">
        <v>50000</v>
      </c>
      <c r="X263" s="40">
        <v>50000</v>
      </c>
      <c r="Y263" s="40">
        <v>50000</v>
      </c>
      <c r="Z263" s="40">
        <v>50000</v>
      </c>
      <c r="AA263" s="40">
        <v>50000</v>
      </c>
      <c r="AB263" s="40">
        <v>50000</v>
      </c>
      <c r="AC263" s="40">
        <v>50000</v>
      </c>
      <c r="AD263" s="40">
        <v>50000</v>
      </c>
      <c r="AE263" s="40">
        <v>50000</v>
      </c>
      <c r="AF263" s="40">
        <v>50000</v>
      </c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0" t="s">
        <v>74</v>
      </c>
      <c r="AT263" s="30" t="s">
        <v>80</v>
      </c>
      <c r="AU263" s="30" t="s">
        <v>81</v>
      </c>
      <c r="AV263" s="30" t="s">
        <v>82</v>
      </c>
      <c r="AW263" s="30"/>
      <c r="AX263" s="30"/>
      <c r="AY263" s="30"/>
      <c r="AZ263" s="31"/>
      <c r="BA263" s="31"/>
      <c r="BB263" s="31"/>
      <c r="BC263" s="31"/>
      <c r="BD263" s="79"/>
      <c r="BE263" s="79"/>
      <c r="BF263" s="79"/>
      <c r="BG263" s="79"/>
      <c r="BH263" s="79"/>
      <c r="BI263" s="79"/>
      <c r="BJ263" s="31"/>
      <c r="BK263" s="31"/>
      <c r="BL263" s="63">
        <f t="shared" si="55"/>
        <v>12500</v>
      </c>
      <c r="BM263" s="63">
        <f t="shared" si="59"/>
        <v>12500</v>
      </c>
      <c r="BN263" s="63">
        <f t="shared" si="60"/>
        <v>12500</v>
      </c>
      <c r="BO263" s="63">
        <f t="shared" si="61"/>
        <v>12500</v>
      </c>
      <c r="BP263" s="63">
        <f t="shared" si="62"/>
        <v>12500</v>
      </c>
      <c r="BQ263" s="63">
        <f t="shared" si="63"/>
        <v>12500</v>
      </c>
      <c r="BR263" s="63">
        <f t="shared" si="64"/>
        <v>12500</v>
      </c>
      <c r="BS263" s="63">
        <f t="shared" si="65"/>
        <v>12500</v>
      </c>
    </row>
    <row r="264" spans="1:71">
      <c r="A264" s="28">
        <f t="shared" si="56"/>
        <v>263</v>
      </c>
      <c r="B264" s="30" t="s">
        <v>993</v>
      </c>
      <c r="C264" s="31" t="s">
        <v>72</v>
      </c>
      <c r="D264" s="30" t="s">
        <v>129</v>
      </c>
      <c r="E264" s="30" t="s">
        <v>74</v>
      </c>
      <c r="F264" s="30" t="s">
        <v>977</v>
      </c>
      <c r="G264" s="30" t="s">
        <v>201</v>
      </c>
      <c r="H264" s="35" t="s">
        <v>202</v>
      </c>
      <c r="I264" s="30"/>
      <c r="J264" s="30"/>
      <c r="K264" s="30" t="s">
        <v>1015</v>
      </c>
      <c r="L264" s="40">
        <v>720000</v>
      </c>
      <c r="M264" s="30" t="s">
        <v>79</v>
      </c>
      <c r="N264" s="30" t="s">
        <v>134</v>
      </c>
      <c r="O264" s="30"/>
      <c r="P264" s="30"/>
      <c r="Q264" s="74">
        <v>0.2</v>
      </c>
      <c r="R264" s="47">
        <f t="shared" si="57"/>
        <v>42000</v>
      </c>
      <c r="S264" s="30"/>
      <c r="T264" s="48">
        <f t="shared" si="58"/>
        <v>210000</v>
      </c>
      <c r="U264" s="40">
        <v>60000</v>
      </c>
      <c r="V264" s="40">
        <v>60000</v>
      </c>
      <c r="W264" s="40">
        <v>60000</v>
      </c>
      <c r="X264" s="40">
        <v>30000</v>
      </c>
      <c r="Y264" s="40">
        <v>30000</v>
      </c>
      <c r="Z264" s="40">
        <v>30000</v>
      </c>
      <c r="AA264" s="40">
        <v>30000</v>
      </c>
      <c r="AB264" s="40">
        <v>30000</v>
      </c>
      <c r="AC264" s="40">
        <v>30000</v>
      </c>
      <c r="AD264" s="40">
        <v>30000</v>
      </c>
      <c r="AE264" s="40">
        <v>30000</v>
      </c>
      <c r="AF264" s="40">
        <v>30000</v>
      </c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0" t="s">
        <v>74</v>
      </c>
      <c r="AT264" s="30" t="s">
        <v>80</v>
      </c>
      <c r="AU264" s="30" t="s">
        <v>81</v>
      </c>
      <c r="AV264" s="30" t="s">
        <v>82</v>
      </c>
      <c r="AW264" s="30"/>
      <c r="AX264" s="30"/>
      <c r="AY264" s="30"/>
      <c r="AZ264" s="31"/>
      <c r="BA264" s="31"/>
      <c r="BB264" s="31"/>
      <c r="BC264" s="31"/>
      <c r="BD264" s="79"/>
      <c r="BE264" s="79"/>
      <c r="BF264" s="79"/>
      <c r="BG264" s="79"/>
      <c r="BH264" s="79"/>
      <c r="BI264" s="79"/>
      <c r="BJ264" s="31"/>
      <c r="BK264" s="31"/>
      <c r="BL264" s="63">
        <f t="shared" si="55"/>
        <v>6000</v>
      </c>
      <c r="BM264" s="63">
        <f t="shared" si="59"/>
        <v>6000</v>
      </c>
      <c r="BN264" s="63">
        <f t="shared" si="60"/>
        <v>6000</v>
      </c>
      <c r="BO264" s="63">
        <f t="shared" si="61"/>
        <v>6000</v>
      </c>
      <c r="BP264" s="63">
        <f t="shared" si="62"/>
        <v>6000</v>
      </c>
      <c r="BQ264" s="63">
        <f t="shared" si="63"/>
        <v>6000</v>
      </c>
      <c r="BR264" s="63">
        <f t="shared" si="64"/>
        <v>6000</v>
      </c>
      <c r="BS264" s="63">
        <f t="shared" si="65"/>
        <v>6000</v>
      </c>
    </row>
    <row r="265" spans="1:71">
      <c r="A265" s="28">
        <f t="shared" si="56"/>
        <v>264</v>
      </c>
      <c r="B265" s="30" t="s">
        <v>1016</v>
      </c>
      <c r="C265" s="31" t="s">
        <v>72</v>
      </c>
      <c r="D265" s="30" t="s">
        <v>129</v>
      </c>
      <c r="E265" s="30" t="s">
        <v>74</v>
      </c>
      <c r="F265" s="30" t="s">
        <v>1017</v>
      </c>
      <c r="G265" s="30" t="s">
        <v>328</v>
      </c>
      <c r="H265" s="35"/>
      <c r="I265" s="30"/>
      <c r="J265" s="30"/>
      <c r="K265" s="30" t="s">
        <v>1018</v>
      </c>
      <c r="L265" s="40">
        <v>600000</v>
      </c>
      <c r="M265" s="30" t="s">
        <v>57</v>
      </c>
      <c r="N265" s="30" t="s">
        <v>1019</v>
      </c>
      <c r="O265" s="30" t="s">
        <v>1020</v>
      </c>
      <c r="P265" s="30"/>
      <c r="Q265" s="74">
        <v>0.23</v>
      </c>
      <c r="R265" s="47">
        <f t="shared" si="57"/>
        <v>0</v>
      </c>
      <c r="S265" s="30"/>
      <c r="T265" s="48">
        <f t="shared" si="58"/>
        <v>0</v>
      </c>
      <c r="U265" s="40">
        <v>0</v>
      </c>
      <c r="V265" s="40">
        <v>0</v>
      </c>
      <c r="W265" s="40">
        <v>0</v>
      </c>
      <c r="X265" s="40"/>
      <c r="Y265" s="40"/>
      <c r="Z265" s="40"/>
      <c r="AA265" s="40"/>
      <c r="AB265" s="40"/>
      <c r="AC265" s="40"/>
      <c r="AD265" s="40"/>
      <c r="AE265" s="40"/>
      <c r="AF265" s="40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 t="s">
        <v>80</v>
      </c>
      <c r="AU265" s="30" t="s">
        <v>81</v>
      </c>
      <c r="AV265" s="30"/>
      <c r="AW265" s="30"/>
      <c r="AX265" s="30"/>
      <c r="AY265" s="30"/>
      <c r="AZ265" s="31"/>
      <c r="BA265" s="31"/>
      <c r="BB265" s="31"/>
      <c r="BC265" s="31"/>
      <c r="BD265" s="79"/>
      <c r="BE265" s="79"/>
      <c r="BF265" s="79"/>
      <c r="BG265" s="79"/>
      <c r="BH265" s="79"/>
      <c r="BI265" s="79"/>
      <c r="BJ265" s="31"/>
      <c r="BK265" s="31"/>
      <c r="BL265" s="63">
        <f t="shared" si="55"/>
        <v>0</v>
      </c>
      <c r="BM265" s="63">
        <f t="shared" si="59"/>
        <v>0</v>
      </c>
      <c r="BN265" s="63">
        <f t="shared" si="60"/>
        <v>0</v>
      </c>
      <c r="BO265" s="63">
        <f t="shared" si="61"/>
        <v>0</v>
      </c>
      <c r="BP265" s="63">
        <f t="shared" si="62"/>
        <v>0</v>
      </c>
      <c r="BQ265" s="63">
        <f t="shared" si="63"/>
        <v>0</v>
      </c>
      <c r="BR265" s="63">
        <f t="shared" si="64"/>
        <v>0</v>
      </c>
      <c r="BS265" s="63">
        <f t="shared" si="65"/>
        <v>0</v>
      </c>
    </row>
    <row r="266" spans="1:71">
      <c r="A266" s="28">
        <f t="shared" si="56"/>
        <v>265</v>
      </c>
      <c r="B266" s="30" t="s">
        <v>1021</v>
      </c>
      <c r="C266" s="31" t="s">
        <v>72</v>
      </c>
      <c r="D266" s="30" t="s">
        <v>129</v>
      </c>
      <c r="E266" s="30" t="s">
        <v>74</v>
      </c>
      <c r="F266" s="30" t="s">
        <v>977</v>
      </c>
      <c r="G266" s="29" t="s">
        <v>210</v>
      </c>
      <c r="H266" s="68" t="s">
        <v>215</v>
      </c>
      <c r="I266" s="30"/>
      <c r="J266" s="30"/>
      <c r="K266" s="30" t="s">
        <v>1014</v>
      </c>
      <c r="L266" s="40">
        <v>360000</v>
      </c>
      <c r="M266" s="30" t="s">
        <v>79</v>
      </c>
      <c r="N266" s="30" t="s">
        <v>134</v>
      </c>
      <c r="O266" s="30"/>
      <c r="P266" s="30"/>
      <c r="Q266" s="74">
        <v>0.18</v>
      </c>
      <c r="R266" s="47">
        <f t="shared" si="57"/>
        <v>37800</v>
      </c>
      <c r="S266" s="30"/>
      <c r="T266" s="48">
        <f t="shared" si="58"/>
        <v>210000</v>
      </c>
      <c r="U266" s="40">
        <v>60000</v>
      </c>
      <c r="V266" s="40">
        <v>60000</v>
      </c>
      <c r="W266" s="40">
        <v>60000</v>
      </c>
      <c r="X266" s="40">
        <v>30000</v>
      </c>
      <c r="Y266" s="40">
        <v>30000</v>
      </c>
      <c r="Z266" s="40">
        <v>30000</v>
      </c>
      <c r="AA266" s="40">
        <v>30000</v>
      </c>
      <c r="AB266" s="40">
        <v>30000</v>
      </c>
      <c r="AC266" s="40">
        <v>30000</v>
      </c>
      <c r="AD266" s="40">
        <v>30000</v>
      </c>
      <c r="AE266" s="40">
        <v>30000</v>
      </c>
      <c r="AF266" s="40">
        <v>30000</v>
      </c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0" t="s">
        <v>74</v>
      </c>
      <c r="AT266" s="30" t="s">
        <v>80</v>
      </c>
      <c r="AU266" s="30" t="s">
        <v>81</v>
      </c>
      <c r="AV266" s="30" t="s">
        <v>82</v>
      </c>
      <c r="AW266" s="30"/>
      <c r="AX266" s="30"/>
      <c r="AY266" s="30"/>
      <c r="AZ266" s="31"/>
      <c r="BA266" s="31"/>
      <c r="BB266" s="31"/>
      <c r="BC266" s="31"/>
      <c r="BD266" s="79"/>
      <c r="BE266" s="79"/>
      <c r="BF266" s="79"/>
      <c r="BG266" s="79"/>
      <c r="BH266" s="79"/>
      <c r="BI266" s="79"/>
      <c r="BJ266" s="31"/>
      <c r="BK266" s="31"/>
      <c r="BL266" s="63">
        <f t="shared" si="55"/>
        <v>5400</v>
      </c>
      <c r="BM266" s="63">
        <f t="shared" si="59"/>
        <v>5400</v>
      </c>
      <c r="BN266" s="63">
        <f t="shared" si="60"/>
        <v>5400</v>
      </c>
      <c r="BO266" s="63">
        <f t="shared" si="61"/>
        <v>5400</v>
      </c>
      <c r="BP266" s="63">
        <f t="shared" si="62"/>
        <v>5400</v>
      </c>
      <c r="BQ266" s="63">
        <f t="shared" si="63"/>
        <v>5400</v>
      </c>
      <c r="BR266" s="63">
        <f t="shared" si="64"/>
        <v>5400</v>
      </c>
      <c r="BS266" s="63">
        <f t="shared" si="65"/>
        <v>5400</v>
      </c>
    </row>
    <row r="267" spans="1:71">
      <c r="A267" s="28">
        <f t="shared" si="56"/>
        <v>266</v>
      </c>
      <c r="B267" s="29" t="s">
        <v>1022</v>
      </c>
      <c r="C267" s="30" t="s">
        <v>72</v>
      </c>
      <c r="D267" s="29" t="s">
        <v>73</v>
      </c>
      <c r="E267" s="30" t="s">
        <v>74</v>
      </c>
      <c r="F267" s="29" t="s">
        <v>75</v>
      </c>
      <c r="G267" s="29" t="s">
        <v>210</v>
      </c>
      <c r="H267" s="68" t="s">
        <v>215</v>
      </c>
      <c r="I267" s="29"/>
      <c r="J267" s="29"/>
      <c r="K267" s="69" t="s">
        <v>1023</v>
      </c>
      <c r="L267" s="40">
        <v>1000000</v>
      </c>
      <c r="M267" s="31" t="s">
        <v>79</v>
      </c>
      <c r="N267" s="31"/>
      <c r="O267" s="69" t="s">
        <v>89</v>
      </c>
      <c r="P267" s="74"/>
      <c r="Q267" s="74">
        <v>0.13</v>
      </c>
      <c r="R267" s="47">
        <f t="shared" si="57"/>
        <v>72800</v>
      </c>
      <c r="S267" s="31"/>
      <c r="T267" s="48">
        <f t="shared" si="58"/>
        <v>560000</v>
      </c>
      <c r="U267" s="40">
        <v>80000</v>
      </c>
      <c r="V267" s="40">
        <v>80000</v>
      </c>
      <c r="W267" s="40">
        <v>80000</v>
      </c>
      <c r="X267" s="40">
        <v>80000</v>
      </c>
      <c r="Y267" s="40">
        <v>80000</v>
      </c>
      <c r="Z267" s="40">
        <v>80000</v>
      </c>
      <c r="AA267" s="40">
        <v>80000</v>
      </c>
      <c r="AB267" s="40">
        <v>80000</v>
      </c>
      <c r="AC267" s="40">
        <v>80000</v>
      </c>
      <c r="AD267" s="40">
        <v>80000</v>
      </c>
      <c r="AE267" s="40">
        <v>80000</v>
      </c>
      <c r="AF267" s="40">
        <v>80000</v>
      </c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0" t="s">
        <v>74</v>
      </c>
      <c r="AT267" s="30" t="s">
        <v>80</v>
      </c>
      <c r="AU267" s="30" t="s">
        <v>81</v>
      </c>
      <c r="AV267" s="30" t="s">
        <v>82</v>
      </c>
      <c r="AW267" s="30"/>
      <c r="AX267" s="30"/>
      <c r="AY267" s="30"/>
      <c r="AZ267" s="31"/>
      <c r="BA267" s="31"/>
      <c r="BB267" s="31"/>
      <c r="BC267" s="31"/>
      <c r="BD267" s="79"/>
      <c r="BE267" s="79"/>
      <c r="BF267" s="79"/>
      <c r="BG267" s="79"/>
      <c r="BH267" s="79"/>
      <c r="BI267" s="79"/>
      <c r="BJ267" s="31"/>
      <c r="BK267" s="31"/>
      <c r="BL267" s="63">
        <f t="shared" si="55"/>
        <v>10400</v>
      </c>
      <c r="BM267" s="63">
        <f t="shared" si="59"/>
        <v>10400</v>
      </c>
      <c r="BN267" s="63">
        <f t="shared" si="60"/>
        <v>10400</v>
      </c>
      <c r="BO267" s="63">
        <f t="shared" si="61"/>
        <v>10400</v>
      </c>
      <c r="BP267" s="63">
        <f t="shared" si="62"/>
        <v>10400</v>
      </c>
      <c r="BQ267" s="63">
        <f t="shared" si="63"/>
        <v>10400</v>
      </c>
      <c r="BR267" s="63">
        <f t="shared" si="64"/>
        <v>10400</v>
      </c>
      <c r="BS267" s="63">
        <f t="shared" si="65"/>
        <v>10400</v>
      </c>
    </row>
    <row r="268" spans="1:71">
      <c r="A268" s="28">
        <f t="shared" si="56"/>
        <v>267</v>
      </c>
      <c r="B268" s="30" t="s">
        <v>1021</v>
      </c>
      <c r="C268" s="31" t="s">
        <v>72</v>
      </c>
      <c r="D268" s="30" t="s">
        <v>129</v>
      </c>
      <c r="E268" s="30" t="s">
        <v>74</v>
      </c>
      <c r="F268" s="30" t="s">
        <v>977</v>
      </c>
      <c r="G268" s="30" t="s">
        <v>225</v>
      </c>
      <c r="H268" s="35" t="s">
        <v>226</v>
      </c>
      <c r="I268" s="30"/>
      <c r="J268" s="30"/>
      <c r="K268" s="30" t="s">
        <v>655</v>
      </c>
      <c r="L268" s="40">
        <v>240000</v>
      </c>
      <c r="M268" s="30" t="s">
        <v>79</v>
      </c>
      <c r="N268" s="30" t="s">
        <v>134</v>
      </c>
      <c r="O268" s="30"/>
      <c r="P268" s="30"/>
      <c r="Q268" s="74">
        <v>0.52</v>
      </c>
      <c r="R268" s="47">
        <f t="shared" si="57"/>
        <v>36400</v>
      </c>
      <c r="S268" s="30"/>
      <c r="T268" s="48">
        <f t="shared" si="58"/>
        <v>70000</v>
      </c>
      <c r="U268" s="40">
        <v>20000</v>
      </c>
      <c r="V268" s="40">
        <v>20000</v>
      </c>
      <c r="W268" s="40">
        <v>20000</v>
      </c>
      <c r="X268" s="40">
        <v>10000</v>
      </c>
      <c r="Y268" s="40">
        <v>10000</v>
      </c>
      <c r="Z268" s="40">
        <v>10000</v>
      </c>
      <c r="AA268" s="40">
        <v>10000</v>
      </c>
      <c r="AB268" s="40">
        <v>10000</v>
      </c>
      <c r="AC268" s="40">
        <v>10000</v>
      </c>
      <c r="AD268" s="40">
        <v>10000</v>
      </c>
      <c r="AE268" s="40">
        <v>10000</v>
      </c>
      <c r="AF268" s="40">
        <v>10000</v>
      </c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0" t="s">
        <v>74</v>
      </c>
      <c r="AT268" s="30" t="s">
        <v>80</v>
      </c>
      <c r="AU268" s="30" t="s">
        <v>81</v>
      </c>
      <c r="AV268" s="30" t="s">
        <v>82</v>
      </c>
      <c r="AW268" s="30"/>
      <c r="AX268" s="30"/>
      <c r="AY268" s="30"/>
      <c r="AZ268" s="31"/>
      <c r="BA268" s="31"/>
      <c r="BB268" s="31"/>
      <c r="BC268" s="31"/>
      <c r="BD268" s="79"/>
      <c r="BE268" s="79"/>
      <c r="BF268" s="79"/>
      <c r="BG268" s="79"/>
      <c r="BH268" s="79"/>
      <c r="BI268" s="79"/>
      <c r="BJ268" s="31"/>
      <c r="BK268" s="31"/>
      <c r="BL268" s="63">
        <f t="shared" si="55"/>
        <v>5200</v>
      </c>
      <c r="BM268" s="63">
        <f t="shared" si="59"/>
        <v>5200</v>
      </c>
      <c r="BN268" s="63">
        <f t="shared" si="60"/>
        <v>5200</v>
      </c>
      <c r="BO268" s="63">
        <f t="shared" si="61"/>
        <v>5200</v>
      </c>
      <c r="BP268" s="63">
        <f t="shared" si="62"/>
        <v>5200</v>
      </c>
      <c r="BQ268" s="63">
        <f t="shared" si="63"/>
        <v>5200</v>
      </c>
      <c r="BR268" s="63">
        <f t="shared" si="64"/>
        <v>5200</v>
      </c>
      <c r="BS268" s="63">
        <f t="shared" si="65"/>
        <v>5200</v>
      </c>
    </row>
    <row r="269" spans="1:71">
      <c r="A269" s="28">
        <f t="shared" si="56"/>
        <v>268</v>
      </c>
      <c r="B269" s="30" t="s">
        <v>1024</v>
      </c>
      <c r="C269" s="31" t="s">
        <v>72</v>
      </c>
      <c r="D269" s="30" t="s">
        <v>129</v>
      </c>
      <c r="E269" s="30" t="s">
        <v>74</v>
      </c>
      <c r="F269" s="30" t="s">
        <v>1025</v>
      </c>
      <c r="G269" s="30" t="s">
        <v>201</v>
      </c>
      <c r="H269" s="35" t="s">
        <v>202</v>
      </c>
      <c r="I269" s="30"/>
      <c r="J269" s="30"/>
      <c r="K269" s="30" t="s">
        <v>1026</v>
      </c>
      <c r="L269" s="40">
        <v>600000</v>
      </c>
      <c r="M269" s="30" t="s">
        <v>114</v>
      </c>
      <c r="N269" s="30" t="s">
        <v>955</v>
      </c>
      <c r="O269" s="30"/>
      <c r="P269" s="30"/>
      <c r="Q269" s="74">
        <v>0.2</v>
      </c>
      <c r="R269" s="47">
        <f t="shared" si="57"/>
        <v>70000</v>
      </c>
      <c r="S269" s="30"/>
      <c r="T269" s="48">
        <f t="shared" si="58"/>
        <v>350000</v>
      </c>
      <c r="U269" s="40">
        <v>50000</v>
      </c>
      <c r="V269" s="40">
        <v>50000</v>
      </c>
      <c r="W269" s="40">
        <v>50000</v>
      </c>
      <c r="X269" s="40">
        <v>50000</v>
      </c>
      <c r="Y269" s="40">
        <v>50000</v>
      </c>
      <c r="Z269" s="40">
        <v>50000</v>
      </c>
      <c r="AA269" s="40">
        <v>50000</v>
      </c>
      <c r="AB269" s="40">
        <v>50000</v>
      </c>
      <c r="AC269" s="40">
        <v>50000</v>
      </c>
      <c r="AD269" s="40">
        <v>50000</v>
      </c>
      <c r="AE269" s="40">
        <v>50000</v>
      </c>
      <c r="AF269" s="40">
        <v>50000</v>
      </c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0" t="s">
        <v>74</v>
      </c>
      <c r="AT269" s="30" t="s">
        <v>80</v>
      </c>
      <c r="AU269" s="30" t="s">
        <v>81</v>
      </c>
      <c r="AV269" s="30" t="s">
        <v>581</v>
      </c>
      <c r="AW269" s="30"/>
      <c r="AX269" s="30"/>
      <c r="AY269" s="30"/>
      <c r="AZ269" s="31"/>
      <c r="BA269" s="31"/>
      <c r="BB269" s="31"/>
      <c r="BC269" s="31"/>
      <c r="BD269" s="79"/>
      <c r="BE269" s="79"/>
      <c r="BF269" s="79"/>
      <c r="BG269" s="79"/>
      <c r="BH269" s="79"/>
      <c r="BI269" s="79"/>
      <c r="BJ269" s="31"/>
      <c r="BK269" s="31"/>
      <c r="BL269" s="63">
        <f t="shared" si="55"/>
        <v>10000</v>
      </c>
      <c r="BM269" s="63">
        <f t="shared" si="59"/>
        <v>10000</v>
      </c>
      <c r="BN269" s="63">
        <f t="shared" si="60"/>
        <v>10000</v>
      </c>
      <c r="BO269" s="63">
        <f t="shared" si="61"/>
        <v>10000</v>
      </c>
      <c r="BP269" s="63">
        <f t="shared" si="62"/>
        <v>10000</v>
      </c>
      <c r="BQ269" s="63">
        <f t="shared" si="63"/>
        <v>10000</v>
      </c>
      <c r="BR269" s="63">
        <f t="shared" si="64"/>
        <v>10000</v>
      </c>
      <c r="BS269" s="63">
        <f t="shared" si="65"/>
        <v>10000</v>
      </c>
    </row>
    <row r="270" spans="1:71">
      <c r="A270" s="28">
        <f t="shared" si="56"/>
        <v>269</v>
      </c>
      <c r="B270" s="31" t="s">
        <v>90</v>
      </c>
      <c r="C270" s="30" t="s">
        <v>72</v>
      </c>
      <c r="D270" s="30" t="s">
        <v>84</v>
      </c>
      <c r="E270" s="30" t="s">
        <v>74</v>
      </c>
      <c r="F270" s="69" t="s">
        <v>85</v>
      </c>
      <c r="G270" s="30" t="s">
        <v>403</v>
      </c>
      <c r="H270" s="35" t="s">
        <v>403</v>
      </c>
      <c r="I270" s="30"/>
      <c r="J270" s="30"/>
      <c r="K270" s="30" t="s">
        <v>87</v>
      </c>
      <c r="L270" s="40">
        <v>30000</v>
      </c>
      <c r="M270" s="39" t="s">
        <v>79</v>
      </c>
      <c r="N270" s="31" t="s">
        <v>88</v>
      </c>
      <c r="O270" s="30" t="s">
        <v>89</v>
      </c>
      <c r="P270" s="30" t="s">
        <v>89</v>
      </c>
      <c r="Q270" s="42">
        <v>3</v>
      </c>
      <c r="R270" s="47">
        <f t="shared" si="57"/>
        <v>63000</v>
      </c>
      <c r="S270" s="75"/>
      <c r="T270" s="48">
        <f t="shared" si="58"/>
        <v>21000</v>
      </c>
      <c r="U270" s="40">
        <v>3000</v>
      </c>
      <c r="V270" s="40">
        <v>3000</v>
      </c>
      <c r="W270" s="40">
        <v>3000</v>
      </c>
      <c r="X270" s="40">
        <v>3000</v>
      </c>
      <c r="Y270" s="40">
        <v>3000</v>
      </c>
      <c r="Z270" s="40">
        <v>3000</v>
      </c>
      <c r="AA270" s="40">
        <v>3000</v>
      </c>
      <c r="AB270" s="40">
        <v>3000</v>
      </c>
      <c r="AC270" s="40">
        <v>3000</v>
      </c>
      <c r="AD270" s="40">
        <v>3000</v>
      </c>
      <c r="AE270" s="40">
        <v>3000</v>
      </c>
      <c r="AF270" s="40">
        <v>3000</v>
      </c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0" t="s">
        <v>74</v>
      </c>
      <c r="AT270" s="30" t="s">
        <v>80</v>
      </c>
      <c r="AU270" s="30" t="s">
        <v>956</v>
      </c>
      <c r="AV270" s="30" t="s">
        <v>82</v>
      </c>
      <c r="AW270" s="30"/>
      <c r="AX270" s="30"/>
      <c r="AY270" s="30"/>
      <c r="AZ270" s="31"/>
      <c r="BA270" s="31"/>
      <c r="BB270" s="31"/>
      <c r="BC270" s="31"/>
      <c r="BD270" s="79"/>
      <c r="BE270" s="79"/>
      <c r="BF270" s="79"/>
      <c r="BG270" s="79"/>
      <c r="BH270" s="79"/>
      <c r="BI270" s="79"/>
      <c r="BJ270" s="31"/>
      <c r="BK270" s="31"/>
      <c r="BL270" s="63">
        <f t="shared" si="55"/>
        <v>9000</v>
      </c>
      <c r="BM270" s="63">
        <f t="shared" si="59"/>
        <v>9000</v>
      </c>
      <c r="BN270" s="63">
        <f t="shared" si="60"/>
        <v>9000</v>
      </c>
      <c r="BO270" s="63">
        <f t="shared" si="61"/>
        <v>9000</v>
      </c>
      <c r="BP270" s="63">
        <f t="shared" si="62"/>
        <v>9000</v>
      </c>
      <c r="BQ270" s="63">
        <f t="shared" si="63"/>
        <v>9000</v>
      </c>
      <c r="BR270" s="63">
        <f t="shared" si="64"/>
        <v>9000</v>
      </c>
      <c r="BS270" s="63">
        <f t="shared" si="65"/>
        <v>9000</v>
      </c>
    </row>
    <row r="271" spans="1:71">
      <c r="A271" s="28">
        <f t="shared" si="56"/>
        <v>270</v>
      </c>
      <c r="B271" s="31" t="s">
        <v>1027</v>
      </c>
      <c r="C271" s="30" t="s">
        <v>72</v>
      </c>
      <c r="D271" s="30" t="s">
        <v>610</v>
      </c>
      <c r="E271" s="30" t="s">
        <v>74</v>
      </c>
      <c r="F271" s="30" t="s">
        <v>968</v>
      </c>
      <c r="G271" s="30" t="s">
        <v>261</v>
      </c>
      <c r="H271" s="35" t="s">
        <v>262</v>
      </c>
      <c r="I271" s="30"/>
      <c r="J271" s="30"/>
      <c r="K271" s="31" t="s">
        <v>1028</v>
      </c>
      <c r="L271" s="40"/>
      <c r="M271" s="39" t="s">
        <v>57</v>
      </c>
      <c r="N271" s="31" t="s">
        <v>1029</v>
      </c>
      <c r="O271" s="30"/>
      <c r="P271" s="30"/>
      <c r="Q271" s="42">
        <v>0.52</v>
      </c>
      <c r="R271" s="47">
        <f t="shared" si="57"/>
        <v>72800</v>
      </c>
      <c r="S271" s="75"/>
      <c r="T271" s="48">
        <f t="shared" si="58"/>
        <v>140000</v>
      </c>
      <c r="U271" s="40"/>
      <c r="V271" s="40"/>
      <c r="W271" s="40"/>
      <c r="X271" s="40">
        <v>20000</v>
      </c>
      <c r="Y271" s="40">
        <v>20000</v>
      </c>
      <c r="Z271" s="40">
        <v>20000</v>
      </c>
      <c r="AA271" s="40">
        <v>20000</v>
      </c>
      <c r="AB271" s="40">
        <v>20000</v>
      </c>
      <c r="AC271" s="40">
        <v>20000</v>
      </c>
      <c r="AD271" s="40">
        <v>20000</v>
      </c>
      <c r="AE271" s="40">
        <v>20000</v>
      </c>
      <c r="AF271" s="40">
        <v>20000</v>
      </c>
      <c r="AG271" s="40"/>
      <c r="AH271" s="39"/>
      <c r="AI271" s="39"/>
      <c r="AJ271" s="39"/>
      <c r="AK271" s="39"/>
      <c r="AL271" s="39"/>
      <c r="AM271" s="39"/>
      <c r="AN271" s="39"/>
      <c r="AO271" s="39"/>
      <c r="AP271" s="39"/>
      <c r="AQ271" s="39"/>
      <c r="AR271" s="39"/>
      <c r="AS271" s="30" t="s">
        <v>74</v>
      </c>
      <c r="AT271" s="30" t="s">
        <v>80</v>
      </c>
      <c r="AU271" s="30" t="s">
        <v>81</v>
      </c>
      <c r="AV271" s="30" t="s">
        <v>117</v>
      </c>
      <c r="AW271" s="30" t="s">
        <v>143</v>
      </c>
      <c r="AX271" s="30" t="s">
        <v>1030</v>
      </c>
      <c r="AY271" s="30" t="s">
        <v>1028</v>
      </c>
      <c r="AZ271" s="30" t="s">
        <v>1031</v>
      </c>
      <c r="BA271" s="30"/>
      <c r="BB271" s="30" t="s">
        <v>1032</v>
      </c>
      <c r="BC271" s="58"/>
      <c r="BD271" s="30"/>
      <c r="BE271" s="55"/>
      <c r="BF271" s="55"/>
      <c r="BG271" s="55"/>
      <c r="BH271" s="55"/>
      <c r="BI271" s="55"/>
      <c r="BJ271" s="64"/>
      <c r="BK271" s="39"/>
      <c r="BL271" s="63">
        <f t="shared" ref="BL271:BL335" si="66">$Q271*Y271</f>
        <v>10400</v>
      </c>
      <c r="BM271" s="63">
        <f t="shared" si="59"/>
        <v>10400</v>
      </c>
      <c r="BN271" s="63">
        <f t="shared" si="60"/>
        <v>10400</v>
      </c>
      <c r="BO271" s="63">
        <f t="shared" si="61"/>
        <v>10400</v>
      </c>
      <c r="BP271" s="63">
        <f t="shared" si="62"/>
        <v>10400</v>
      </c>
      <c r="BQ271" s="63">
        <f t="shared" si="63"/>
        <v>10400</v>
      </c>
      <c r="BR271" s="63">
        <f t="shared" si="64"/>
        <v>10400</v>
      </c>
      <c r="BS271" s="63">
        <f t="shared" si="65"/>
        <v>10400</v>
      </c>
    </row>
    <row r="272" spans="1:71">
      <c r="A272" s="28">
        <f t="shared" si="56"/>
        <v>271</v>
      </c>
      <c r="B272" s="31" t="s">
        <v>1007</v>
      </c>
      <c r="C272" s="31" t="s">
        <v>92</v>
      </c>
      <c r="D272" s="30" t="s">
        <v>1008</v>
      </c>
      <c r="E272" s="30" t="s">
        <v>74</v>
      </c>
      <c r="F272" s="30" t="s">
        <v>1009</v>
      </c>
      <c r="G272" s="30" t="s">
        <v>210</v>
      </c>
      <c r="H272" s="68" t="s">
        <v>215</v>
      </c>
      <c r="I272" s="30"/>
      <c r="J272" s="30"/>
      <c r="K272" s="30" t="s">
        <v>1033</v>
      </c>
      <c r="L272" s="40">
        <v>510000</v>
      </c>
      <c r="M272" s="39" t="s">
        <v>79</v>
      </c>
      <c r="N272" s="31"/>
      <c r="O272" s="30" t="s">
        <v>1034</v>
      </c>
      <c r="P272" s="30"/>
      <c r="Q272" s="42">
        <v>0.17</v>
      </c>
      <c r="R272" s="47">
        <f t="shared" si="57"/>
        <v>23800</v>
      </c>
      <c r="S272" s="75"/>
      <c r="T272" s="48">
        <f t="shared" si="58"/>
        <v>140000</v>
      </c>
      <c r="U272" s="40"/>
      <c r="V272" s="39"/>
      <c r="W272" s="39"/>
      <c r="X272" s="39">
        <v>40000</v>
      </c>
      <c r="Y272" s="39">
        <v>20000</v>
      </c>
      <c r="Z272" s="39">
        <v>20000</v>
      </c>
      <c r="AA272" s="39">
        <v>20000</v>
      </c>
      <c r="AB272" s="39">
        <v>20000</v>
      </c>
      <c r="AC272" s="39">
        <v>20000</v>
      </c>
      <c r="AD272" s="39">
        <v>20000</v>
      </c>
      <c r="AE272" s="39">
        <v>20000</v>
      </c>
      <c r="AF272" s="39">
        <v>20000</v>
      </c>
      <c r="AG272" s="40"/>
      <c r="AH272" s="39"/>
      <c r="AI272" s="39"/>
      <c r="AJ272" s="39"/>
      <c r="AK272" s="39"/>
      <c r="AL272" s="39"/>
      <c r="AM272" s="39"/>
      <c r="AN272" s="39"/>
      <c r="AO272" s="39"/>
      <c r="AP272" s="39"/>
      <c r="AQ272" s="39"/>
      <c r="AR272" s="39"/>
      <c r="AS272" s="30" t="s">
        <v>74</v>
      </c>
      <c r="AT272" s="30" t="s">
        <v>80</v>
      </c>
      <c r="AU272" s="30" t="s">
        <v>81</v>
      </c>
      <c r="AV272" s="30" t="s">
        <v>581</v>
      </c>
      <c r="AW272" s="30" t="s">
        <v>588</v>
      </c>
      <c r="AX272" s="30" t="s">
        <v>1011</v>
      </c>
      <c r="AY272" s="30" t="s">
        <v>1035</v>
      </c>
      <c r="AZ272" s="30"/>
      <c r="BA272" s="30"/>
      <c r="BB272" s="30"/>
      <c r="BC272" s="58"/>
      <c r="BD272" s="30"/>
      <c r="BE272" s="55"/>
      <c r="BF272" s="55"/>
      <c r="BG272" s="55"/>
      <c r="BH272" s="55"/>
      <c r="BI272" s="55"/>
      <c r="BJ272" s="64"/>
      <c r="BK272" s="39"/>
      <c r="BL272" s="63">
        <f t="shared" si="66"/>
        <v>3400</v>
      </c>
      <c r="BM272" s="63">
        <f t="shared" si="59"/>
        <v>3400</v>
      </c>
      <c r="BN272" s="63">
        <f t="shared" si="60"/>
        <v>3400</v>
      </c>
      <c r="BO272" s="63">
        <f t="shared" si="61"/>
        <v>3400</v>
      </c>
      <c r="BP272" s="63">
        <f t="shared" si="62"/>
        <v>3400</v>
      </c>
      <c r="BQ272" s="63">
        <f t="shared" si="63"/>
        <v>3400</v>
      </c>
      <c r="BR272" s="63">
        <f t="shared" si="64"/>
        <v>3400</v>
      </c>
      <c r="BS272" s="63">
        <f t="shared" si="65"/>
        <v>3400</v>
      </c>
    </row>
    <row r="273" spans="1:71">
      <c r="A273" s="28">
        <f t="shared" si="56"/>
        <v>272</v>
      </c>
      <c r="B273" s="31" t="s">
        <v>83</v>
      </c>
      <c r="C273" s="30" t="s">
        <v>72</v>
      </c>
      <c r="D273" s="30" t="s">
        <v>84</v>
      </c>
      <c r="E273" s="30" t="s">
        <v>74</v>
      </c>
      <c r="F273" s="69" t="s">
        <v>85</v>
      </c>
      <c r="G273" s="30" t="s">
        <v>76</v>
      </c>
      <c r="H273" s="35" t="s">
        <v>77</v>
      </c>
      <c r="I273" s="30" t="s">
        <v>86</v>
      </c>
      <c r="J273" s="30"/>
      <c r="K273" s="30" t="s">
        <v>87</v>
      </c>
      <c r="L273" s="40">
        <v>200000</v>
      </c>
      <c r="M273" s="39" t="s">
        <v>79</v>
      </c>
      <c r="N273" s="31" t="s">
        <v>88</v>
      </c>
      <c r="O273" s="30" t="s">
        <v>89</v>
      </c>
      <c r="P273" s="30" t="s">
        <v>89</v>
      </c>
      <c r="Q273" s="42">
        <v>0.32</v>
      </c>
      <c r="R273" s="47">
        <f t="shared" si="57"/>
        <v>51520</v>
      </c>
      <c r="S273" s="75"/>
      <c r="T273" s="48">
        <f t="shared" si="58"/>
        <v>161000</v>
      </c>
      <c r="U273" s="40">
        <v>23000</v>
      </c>
      <c r="V273" s="40">
        <v>23000</v>
      </c>
      <c r="W273" s="40">
        <v>23000</v>
      </c>
      <c r="X273" s="40">
        <v>23000</v>
      </c>
      <c r="Y273" s="40">
        <v>23000</v>
      </c>
      <c r="Z273" s="40">
        <v>23000</v>
      </c>
      <c r="AA273" s="40">
        <v>23000</v>
      </c>
      <c r="AB273" s="40">
        <v>23000</v>
      </c>
      <c r="AC273" s="40">
        <v>23000</v>
      </c>
      <c r="AD273" s="40">
        <v>23000</v>
      </c>
      <c r="AE273" s="40">
        <v>23000</v>
      </c>
      <c r="AF273" s="40">
        <v>23000</v>
      </c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0" t="s">
        <v>74</v>
      </c>
      <c r="AT273" s="30" t="s">
        <v>80</v>
      </c>
      <c r="AU273" s="30" t="s">
        <v>81</v>
      </c>
      <c r="AV273" s="30" t="s">
        <v>82</v>
      </c>
      <c r="AW273" s="30"/>
      <c r="AX273" s="30"/>
      <c r="AY273" s="30"/>
      <c r="AZ273" s="31"/>
      <c r="BA273" s="31"/>
      <c r="BB273" s="31"/>
      <c r="BC273" s="31"/>
      <c r="BD273" s="79"/>
      <c r="BE273" s="79"/>
      <c r="BF273" s="79"/>
      <c r="BG273" s="79"/>
      <c r="BH273" s="79"/>
      <c r="BI273" s="79"/>
      <c r="BJ273" s="31"/>
      <c r="BK273" s="31"/>
      <c r="BL273" s="63">
        <f t="shared" si="66"/>
        <v>7360</v>
      </c>
      <c r="BM273" s="63">
        <f t="shared" si="59"/>
        <v>7360</v>
      </c>
      <c r="BN273" s="63">
        <f t="shared" si="60"/>
        <v>7360</v>
      </c>
      <c r="BO273" s="63">
        <f t="shared" si="61"/>
        <v>7360</v>
      </c>
      <c r="BP273" s="63">
        <f t="shared" si="62"/>
        <v>7360</v>
      </c>
      <c r="BQ273" s="63">
        <f t="shared" si="63"/>
        <v>7360</v>
      </c>
      <c r="BR273" s="63">
        <f t="shared" si="64"/>
        <v>7360</v>
      </c>
      <c r="BS273" s="63">
        <f t="shared" si="65"/>
        <v>7360</v>
      </c>
    </row>
    <row r="274" spans="1:71">
      <c r="A274" s="28">
        <f t="shared" si="56"/>
        <v>273</v>
      </c>
      <c r="B274" s="30" t="s">
        <v>1036</v>
      </c>
      <c r="C274" s="30" t="s">
        <v>72</v>
      </c>
      <c r="D274" s="69" t="s">
        <v>73</v>
      </c>
      <c r="E274" s="30" t="s">
        <v>74</v>
      </c>
      <c r="F274" s="69" t="s">
        <v>75</v>
      </c>
      <c r="G274" s="69" t="s">
        <v>259</v>
      </c>
      <c r="H274" s="68" t="s">
        <v>260</v>
      </c>
      <c r="I274" s="69"/>
      <c r="J274" s="69"/>
      <c r="K274" s="69" t="s">
        <v>1037</v>
      </c>
      <c r="L274" s="40">
        <v>900000</v>
      </c>
      <c r="M274" s="31" t="s">
        <v>56</v>
      </c>
      <c r="N274" s="31"/>
      <c r="O274" s="69" t="s">
        <v>89</v>
      </c>
      <c r="P274" s="74"/>
      <c r="Q274" s="74">
        <v>0.3</v>
      </c>
      <c r="R274" s="47">
        <f t="shared" si="57"/>
        <v>46200</v>
      </c>
      <c r="S274" s="31"/>
      <c r="T274" s="48">
        <f t="shared" si="58"/>
        <v>154000</v>
      </c>
      <c r="U274" s="40">
        <v>22000</v>
      </c>
      <c r="V274" s="40">
        <v>22000</v>
      </c>
      <c r="W274" s="40"/>
      <c r="X274" s="40">
        <v>22000</v>
      </c>
      <c r="Y274" s="40">
        <v>22000</v>
      </c>
      <c r="Z274" s="40">
        <v>22000</v>
      </c>
      <c r="AA274" s="40">
        <v>22000</v>
      </c>
      <c r="AB274" s="40">
        <v>22000</v>
      </c>
      <c r="AC274" s="40">
        <v>22000</v>
      </c>
      <c r="AD274" s="40">
        <v>22000</v>
      </c>
      <c r="AE274" s="40">
        <v>22000</v>
      </c>
      <c r="AF274" s="40">
        <v>22000</v>
      </c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0" t="s">
        <v>74</v>
      </c>
      <c r="AT274" s="30" t="s">
        <v>80</v>
      </c>
      <c r="AU274" s="30" t="s">
        <v>81</v>
      </c>
      <c r="AV274" s="30" t="s">
        <v>106</v>
      </c>
      <c r="AW274" s="30"/>
      <c r="AX274" s="30"/>
      <c r="AY274" s="30"/>
      <c r="AZ274" s="31"/>
      <c r="BA274" s="31"/>
      <c r="BB274" s="31"/>
      <c r="BC274" s="31"/>
      <c r="BD274" s="79"/>
      <c r="BE274" s="79"/>
      <c r="BF274" s="79"/>
      <c r="BG274" s="79"/>
      <c r="BH274" s="79"/>
      <c r="BI274" s="79"/>
      <c r="BJ274" s="31"/>
      <c r="BK274" s="31"/>
      <c r="BL274" s="63">
        <f t="shared" si="66"/>
        <v>6600</v>
      </c>
      <c r="BM274" s="63">
        <f t="shared" si="59"/>
        <v>6600</v>
      </c>
      <c r="BN274" s="63">
        <f t="shared" si="60"/>
        <v>6600</v>
      </c>
      <c r="BO274" s="63">
        <f t="shared" si="61"/>
        <v>6600</v>
      </c>
      <c r="BP274" s="63">
        <f t="shared" si="62"/>
        <v>6600</v>
      </c>
      <c r="BQ274" s="63">
        <f t="shared" si="63"/>
        <v>6600</v>
      </c>
      <c r="BR274" s="63">
        <f t="shared" si="64"/>
        <v>6600</v>
      </c>
      <c r="BS274" s="63">
        <f t="shared" si="65"/>
        <v>6600</v>
      </c>
    </row>
    <row r="275" spans="1:71">
      <c r="A275" s="28">
        <f t="shared" si="56"/>
        <v>274</v>
      </c>
      <c r="B275" s="30" t="s">
        <v>1038</v>
      </c>
      <c r="C275" s="31" t="s">
        <v>72</v>
      </c>
      <c r="D275" s="30" t="s">
        <v>129</v>
      </c>
      <c r="E275" s="30" t="s">
        <v>74</v>
      </c>
      <c r="F275" s="30" t="s">
        <v>1017</v>
      </c>
      <c r="G275" s="30" t="s">
        <v>335</v>
      </c>
      <c r="H275" s="35"/>
      <c r="I275" s="30"/>
      <c r="J275" s="30"/>
      <c r="K275" s="30" t="s">
        <v>1018</v>
      </c>
      <c r="L275" s="40">
        <v>600000</v>
      </c>
      <c r="M275" s="30" t="s">
        <v>57</v>
      </c>
      <c r="N275" s="30" t="s">
        <v>1019</v>
      </c>
      <c r="O275" s="30" t="s">
        <v>1039</v>
      </c>
      <c r="P275" s="30"/>
      <c r="Q275" s="74">
        <v>0.13</v>
      </c>
      <c r="R275" s="47">
        <f t="shared" si="57"/>
        <v>0</v>
      </c>
      <c r="S275" s="30"/>
      <c r="T275" s="48">
        <f t="shared" si="58"/>
        <v>0</v>
      </c>
      <c r="U275" s="40">
        <v>0</v>
      </c>
      <c r="V275" s="40">
        <v>0</v>
      </c>
      <c r="W275" s="40">
        <v>0</v>
      </c>
      <c r="X275" s="40"/>
      <c r="Y275" s="40"/>
      <c r="Z275" s="40"/>
      <c r="AA275" s="40"/>
      <c r="AB275" s="40"/>
      <c r="AC275" s="40"/>
      <c r="AD275" s="40"/>
      <c r="AE275" s="40"/>
      <c r="AF275" s="40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 t="s">
        <v>80</v>
      </c>
      <c r="AU275" s="30" t="s">
        <v>81</v>
      </c>
      <c r="AV275" s="30"/>
      <c r="AW275" s="30"/>
      <c r="AX275" s="30"/>
      <c r="AY275" s="30"/>
      <c r="AZ275" s="31"/>
      <c r="BA275" s="31"/>
      <c r="BB275" s="31"/>
      <c r="BC275" s="31"/>
      <c r="BD275" s="79"/>
      <c r="BE275" s="79"/>
      <c r="BF275" s="79"/>
      <c r="BG275" s="79"/>
      <c r="BH275" s="79"/>
      <c r="BI275" s="79"/>
      <c r="BJ275" s="31"/>
      <c r="BK275" s="31"/>
      <c r="BL275" s="63">
        <f t="shared" si="66"/>
        <v>0</v>
      </c>
      <c r="BM275" s="63">
        <f t="shared" si="59"/>
        <v>0</v>
      </c>
      <c r="BN275" s="63">
        <f t="shared" si="60"/>
        <v>0</v>
      </c>
      <c r="BO275" s="63">
        <f t="shared" si="61"/>
        <v>0</v>
      </c>
      <c r="BP275" s="63">
        <f t="shared" si="62"/>
        <v>0</v>
      </c>
      <c r="BQ275" s="63">
        <f t="shared" si="63"/>
        <v>0</v>
      </c>
      <c r="BR275" s="63">
        <f t="shared" si="64"/>
        <v>0</v>
      </c>
      <c r="BS275" s="63">
        <f t="shared" si="65"/>
        <v>0</v>
      </c>
    </row>
    <row r="276" spans="1:71">
      <c r="A276" s="28">
        <f t="shared" si="56"/>
        <v>275</v>
      </c>
      <c r="B276" s="30" t="s">
        <v>1040</v>
      </c>
      <c r="C276" s="31" t="s">
        <v>72</v>
      </c>
      <c r="D276" s="30" t="s">
        <v>129</v>
      </c>
      <c r="E276" s="30" t="s">
        <v>74</v>
      </c>
      <c r="F276" s="30" t="s">
        <v>1017</v>
      </c>
      <c r="G276" s="30" t="s">
        <v>335</v>
      </c>
      <c r="H276" s="35"/>
      <c r="I276" s="30"/>
      <c r="J276" s="30"/>
      <c r="K276" s="30" t="s">
        <v>1018</v>
      </c>
      <c r="L276" s="40">
        <v>500000</v>
      </c>
      <c r="M276" s="30" t="s">
        <v>57</v>
      </c>
      <c r="N276" s="30" t="s">
        <v>1041</v>
      </c>
      <c r="O276" s="30" t="s">
        <v>1039</v>
      </c>
      <c r="P276" s="30"/>
      <c r="Q276" s="74">
        <v>0.13</v>
      </c>
      <c r="R276" s="47">
        <f t="shared" si="57"/>
        <v>0</v>
      </c>
      <c r="S276" s="30"/>
      <c r="T276" s="48">
        <f t="shared" si="58"/>
        <v>0</v>
      </c>
      <c r="U276" s="40">
        <v>0</v>
      </c>
      <c r="V276" s="40">
        <v>0</v>
      </c>
      <c r="W276" s="40">
        <v>0</v>
      </c>
      <c r="X276" s="40"/>
      <c r="Y276" s="40"/>
      <c r="Z276" s="40"/>
      <c r="AA276" s="40"/>
      <c r="AB276" s="40"/>
      <c r="AC276" s="40"/>
      <c r="AD276" s="40"/>
      <c r="AE276" s="40"/>
      <c r="AF276" s="40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 t="s">
        <v>80</v>
      </c>
      <c r="AU276" s="30" t="s">
        <v>81</v>
      </c>
      <c r="AV276" s="30"/>
      <c r="AW276" s="30"/>
      <c r="AX276" s="30"/>
      <c r="AY276" s="30"/>
      <c r="AZ276" s="31"/>
      <c r="BA276" s="31"/>
      <c r="BB276" s="31"/>
      <c r="BC276" s="31"/>
      <c r="BD276" s="79"/>
      <c r="BE276" s="79"/>
      <c r="BF276" s="79"/>
      <c r="BG276" s="79"/>
      <c r="BH276" s="79"/>
      <c r="BI276" s="79"/>
      <c r="BJ276" s="31"/>
      <c r="BK276" s="31"/>
      <c r="BL276" s="63">
        <f t="shared" si="66"/>
        <v>0</v>
      </c>
      <c r="BM276" s="63">
        <f t="shared" si="59"/>
        <v>0</v>
      </c>
      <c r="BN276" s="63">
        <f t="shared" si="60"/>
        <v>0</v>
      </c>
      <c r="BO276" s="63">
        <f t="shared" si="61"/>
        <v>0</v>
      </c>
      <c r="BP276" s="63">
        <f t="shared" si="62"/>
        <v>0</v>
      </c>
      <c r="BQ276" s="63">
        <f t="shared" si="63"/>
        <v>0</v>
      </c>
      <c r="BR276" s="63">
        <f t="shared" si="64"/>
        <v>0</v>
      </c>
      <c r="BS276" s="63">
        <f t="shared" si="65"/>
        <v>0</v>
      </c>
    </row>
    <row r="277" spans="1:71">
      <c r="A277" s="28">
        <f t="shared" si="56"/>
        <v>276</v>
      </c>
      <c r="B277" s="29" t="s">
        <v>1042</v>
      </c>
      <c r="C277" s="30" t="s">
        <v>72</v>
      </c>
      <c r="D277" s="29" t="s">
        <v>73</v>
      </c>
      <c r="E277" s="30" t="s">
        <v>74</v>
      </c>
      <c r="F277" s="29" t="s">
        <v>75</v>
      </c>
      <c r="G277" s="29" t="s">
        <v>254</v>
      </c>
      <c r="H277" s="37" t="s">
        <v>255</v>
      </c>
      <c r="I277" s="29"/>
      <c r="J277" s="29"/>
      <c r="K277" s="29" t="s">
        <v>974</v>
      </c>
      <c r="L277" s="40">
        <v>300000</v>
      </c>
      <c r="M277" s="31" t="s">
        <v>79</v>
      </c>
      <c r="N277" s="31"/>
      <c r="O277" s="29"/>
      <c r="P277" s="43"/>
      <c r="Q277" s="74">
        <v>0.45</v>
      </c>
      <c r="R277" s="47">
        <f t="shared" si="57"/>
        <v>37800</v>
      </c>
      <c r="S277" s="31"/>
      <c r="T277" s="48">
        <f t="shared" si="58"/>
        <v>84000</v>
      </c>
      <c r="U277" s="40">
        <v>12000</v>
      </c>
      <c r="V277" s="40">
        <v>12000</v>
      </c>
      <c r="W277" s="40">
        <v>12000</v>
      </c>
      <c r="X277" s="40">
        <v>12000</v>
      </c>
      <c r="Y277" s="40">
        <v>12000</v>
      </c>
      <c r="Z277" s="40">
        <v>12000</v>
      </c>
      <c r="AA277" s="40">
        <v>12000</v>
      </c>
      <c r="AB277" s="40">
        <v>12000</v>
      </c>
      <c r="AC277" s="40">
        <v>12000</v>
      </c>
      <c r="AD277" s="40">
        <v>12000</v>
      </c>
      <c r="AE277" s="40">
        <v>12000</v>
      </c>
      <c r="AF277" s="40">
        <v>12000</v>
      </c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0" t="s">
        <v>74</v>
      </c>
      <c r="AT277" s="30" t="s">
        <v>80</v>
      </c>
      <c r="AU277" s="30" t="s">
        <v>81</v>
      </c>
      <c r="AV277" s="30" t="s">
        <v>117</v>
      </c>
      <c r="AW277" s="30" t="s">
        <v>143</v>
      </c>
      <c r="AX277" s="30" t="s">
        <v>960</v>
      </c>
      <c r="AY277" s="30" t="s">
        <v>961</v>
      </c>
      <c r="AZ277" s="31"/>
      <c r="BA277" s="31"/>
      <c r="BB277" s="31"/>
      <c r="BC277" s="31"/>
      <c r="BD277" s="79"/>
      <c r="BE277" s="79"/>
      <c r="BF277" s="79"/>
      <c r="BG277" s="79"/>
      <c r="BH277" s="79"/>
      <c r="BI277" s="79"/>
      <c r="BJ277" s="31"/>
      <c r="BK277" s="31"/>
      <c r="BL277" s="63">
        <f t="shared" si="66"/>
        <v>5400</v>
      </c>
      <c r="BM277" s="63">
        <f t="shared" si="59"/>
        <v>5400</v>
      </c>
      <c r="BN277" s="63">
        <f t="shared" si="60"/>
        <v>5400</v>
      </c>
      <c r="BO277" s="63">
        <f t="shared" si="61"/>
        <v>5400</v>
      </c>
      <c r="BP277" s="63">
        <f t="shared" si="62"/>
        <v>5400</v>
      </c>
      <c r="BQ277" s="63">
        <f t="shared" si="63"/>
        <v>5400</v>
      </c>
      <c r="BR277" s="63">
        <f t="shared" si="64"/>
        <v>5400</v>
      </c>
      <c r="BS277" s="63">
        <f t="shared" si="65"/>
        <v>5400</v>
      </c>
    </row>
    <row r="278" spans="1:71">
      <c r="A278" s="28">
        <f t="shared" si="56"/>
        <v>277</v>
      </c>
      <c r="B278" s="30" t="s">
        <v>1043</v>
      </c>
      <c r="C278" s="31" t="s">
        <v>72</v>
      </c>
      <c r="D278" s="30" t="s">
        <v>129</v>
      </c>
      <c r="E278" s="30" t="s">
        <v>74</v>
      </c>
      <c r="F278" s="30" t="s">
        <v>977</v>
      </c>
      <c r="G278" s="30" t="s">
        <v>165</v>
      </c>
      <c r="H278" s="35" t="s">
        <v>166</v>
      </c>
      <c r="I278" s="30"/>
      <c r="J278" s="30"/>
      <c r="K278" s="30" t="s">
        <v>655</v>
      </c>
      <c r="L278" s="40">
        <v>240000</v>
      </c>
      <c r="M278" s="30" t="s">
        <v>79</v>
      </c>
      <c r="N278" s="30" t="s">
        <v>134</v>
      </c>
      <c r="O278" s="30"/>
      <c r="P278" s="30"/>
      <c r="Q278" s="74">
        <v>0.23</v>
      </c>
      <c r="R278" s="47">
        <f t="shared" si="57"/>
        <v>32200</v>
      </c>
      <c r="S278" s="30"/>
      <c r="T278" s="48">
        <f t="shared" si="58"/>
        <v>140000</v>
      </c>
      <c r="U278" s="40">
        <v>20000</v>
      </c>
      <c r="V278" s="40">
        <v>20000</v>
      </c>
      <c r="W278" s="40">
        <v>20000</v>
      </c>
      <c r="X278" s="40">
        <v>20000</v>
      </c>
      <c r="Y278" s="40">
        <v>20000</v>
      </c>
      <c r="Z278" s="40">
        <v>20000</v>
      </c>
      <c r="AA278" s="40">
        <v>20000</v>
      </c>
      <c r="AB278" s="40">
        <v>20000</v>
      </c>
      <c r="AC278" s="40">
        <v>20000</v>
      </c>
      <c r="AD278" s="40">
        <v>20000</v>
      </c>
      <c r="AE278" s="40">
        <v>20000</v>
      </c>
      <c r="AF278" s="40">
        <v>20000</v>
      </c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0" t="s">
        <v>74</v>
      </c>
      <c r="AT278" s="30" t="s">
        <v>80</v>
      </c>
      <c r="AU278" s="30" t="s">
        <v>81</v>
      </c>
      <c r="AV278" s="30" t="s">
        <v>82</v>
      </c>
      <c r="AW278" s="30"/>
      <c r="AX278" s="30"/>
      <c r="AY278" s="30"/>
      <c r="AZ278" s="31"/>
      <c r="BA278" s="31"/>
      <c r="BB278" s="31"/>
      <c r="BC278" s="31"/>
      <c r="BD278" s="79"/>
      <c r="BE278" s="79"/>
      <c r="BF278" s="79"/>
      <c r="BG278" s="79"/>
      <c r="BH278" s="79"/>
      <c r="BI278" s="79"/>
      <c r="BJ278" s="31"/>
      <c r="BK278" s="31"/>
      <c r="BL278" s="63">
        <f t="shared" si="66"/>
        <v>4600</v>
      </c>
      <c r="BM278" s="63">
        <f t="shared" si="59"/>
        <v>4600</v>
      </c>
      <c r="BN278" s="63">
        <f t="shared" si="60"/>
        <v>4600</v>
      </c>
      <c r="BO278" s="63">
        <f t="shared" si="61"/>
        <v>4600</v>
      </c>
      <c r="BP278" s="63">
        <f t="shared" si="62"/>
        <v>4600</v>
      </c>
      <c r="BQ278" s="63">
        <f t="shared" si="63"/>
        <v>4600</v>
      </c>
      <c r="BR278" s="63">
        <f t="shared" si="64"/>
        <v>4600</v>
      </c>
      <c r="BS278" s="63">
        <f t="shared" si="65"/>
        <v>4600</v>
      </c>
    </row>
    <row r="279" spans="1:71">
      <c r="A279" s="28">
        <f t="shared" si="56"/>
        <v>278</v>
      </c>
      <c r="B279" s="30" t="s">
        <v>1044</v>
      </c>
      <c r="C279" s="31" t="s">
        <v>72</v>
      </c>
      <c r="D279" s="30" t="s">
        <v>129</v>
      </c>
      <c r="E279" s="30" t="s">
        <v>74</v>
      </c>
      <c r="F279" s="30" t="s">
        <v>1025</v>
      </c>
      <c r="G279" s="30" t="s">
        <v>270</v>
      </c>
      <c r="H279" s="35" t="s">
        <v>271</v>
      </c>
      <c r="I279" s="30"/>
      <c r="J279" s="30"/>
      <c r="K279" s="30" t="s">
        <v>1045</v>
      </c>
      <c r="L279" s="40">
        <v>110000</v>
      </c>
      <c r="M279" s="30" t="s">
        <v>79</v>
      </c>
      <c r="N279" s="30" t="s">
        <v>955</v>
      </c>
      <c r="O279" s="30"/>
      <c r="P279" s="30"/>
      <c r="Q279" s="74">
        <v>0.4</v>
      </c>
      <c r="R279" s="47">
        <f t="shared" si="57"/>
        <v>0</v>
      </c>
      <c r="S279" s="30"/>
      <c r="T279" s="48">
        <f t="shared" si="58"/>
        <v>0</v>
      </c>
      <c r="U279" s="40"/>
      <c r="V279" s="40">
        <v>10000</v>
      </c>
      <c r="W279" s="40">
        <v>10000</v>
      </c>
      <c r="X279" s="40"/>
      <c r="Y279" s="40"/>
      <c r="Z279" s="40"/>
      <c r="AA279" s="40"/>
      <c r="AB279" s="40"/>
      <c r="AC279" s="40"/>
      <c r="AD279" s="40"/>
      <c r="AE279" s="40"/>
      <c r="AF279" s="40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0" t="s">
        <v>74</v>
      </c>
      <c r="AT279" s="30" t="s">
        <v>80</v>
      </c>
      <c r="AU279" s="30" t="s">
        <v>81</v>
      </c>
      <c r="AV279" s="30" t="s">
        <v>117</v>
      </c>
      <c r="AW279" s="30"/>
      <c r="AX279" s="30"/>
      <c r="AY279" s="30"/>
      <c r="AZ279" s="31"/>
      <c r="BA279" s="31"/>
      <c r="BB279" s="31"/>
      <c r="BC279" s="31"/>
      <c r="BD279" s="79"/>
      <c r="BE279" s="79"/>
      <c r="BF279" s="79"/>
      <c r="BG279" s="79"/>
      <c r="BH279" s="79"/>
      <c r="BI279" s="79"/>
      <c r="BJ279" s="31"/>
      <c r="BK279" s="31"/>
      <c r="BL279" s="63">
        <f t="shared" si="66"/>
        <v>0</v>
      </c>
      <c r="BM279" s="63">
        <f t="shared" si="59"/>
        <v>0</v>
      </c>
      <c r="BN279" s="63">
        <f t="shared" si="60"/>
        <v>0</v>
      </c>
      <c r="BO279" s="63">
        <f t="shared" si="61"/>
        <v>0</v>
      </c>
      <c r="BP279" s="63">
        <f t="shared" si="62"/>
        <v>0</v>
      </c>
      <c r="BQ279" s="63">
        <f t="shared" si="63"/>
        <v>0</v>
      </c>
      <c r="BR279" s="63">
        <f t="shared" si="64"/>
        <v>0</v>
      </c>
      <c r="BS279" s="63">
        <f t="shared" si="65"/>
        <v>0</v>
      </c>
    </row>
    <row r="280" spans="1:71">
      <c r="A280" s="28">
        <f t="shared" si="56"/>
        <v>279</v>
      </c>
      <c r="B280" s="30" t="s">
        <v>128</v>
      </c>
      <c r="C280" s="31" t="s">
        <v>72</v>
      </c>
      <c r="D280" s="30" t="s">
        <v>129</v>
      </c>
      <c r="E280" s="30" t="s">
        <v>74</v>
      </c>
      <c r="F280" s="30" t="s">
        <v>130</v>
      </c>
      <c r="G280" s="30" t="s">
        <v>131</v>
      </c>
      <c r="H280" s="35" t="s">
        <v>132</v>
      </c>
      <c r="I280" s="30"/>
      <c r="J280" s="30"/>
      <c r="K280" s="30" t="s">
        <v>133</v>
      </c>
      <c r="L280" s="40">
        <v>72000</v>
      </c>
      <c r="M280" s="30" t="s">
        <v>79</v>
      </c>
      <c r="N280" s="30" t="s">
        <v>134</v>
      </c>
      <c r="O280" s="30"/>
      <c r="P280" s="30"/>
      <c r="Q280" s="74">
        <v>0.45</v>
      </c>
      <c r="R280" s="47">
        <f t="shared" si="57"/>
        <v>18900</v>
      </c>
      <c r="S280" s="30"/>
      <c r="T280" s="48">
        <f t="shared" si="58"/>
        <v>42000</v>
      </c>
      <c r="U280" s="40">
        <v>6000</v>
      </c>
      <c r="V280" s="40">
        <v>6000</v>
      </c>
      <c r="W280" s="40">
        <v>6000</v>
      </c>
      <c r="X280" s="40">
        <v>6000</v>
      </c>
      <c r="Y280" s="40">
        <v>6000</v>
      </c>
      <c r="Z280" s="40">
        <v>6000</v>
      </c>
      <c r="AA280" s="40">
        <v>6000</v>
      </c>
      <c r="AB280" s="40">
        <v>6000</v>
      </c>
      <c r="AC280" s="40">
        <v>6000</v>
      </c>
      <c r="AD280" s="40">
        <v>6000</v>
      </c>
      <c r="AE280" s="40">
        <v>6000</v>
      </c>
      <c r="AF280" s="40">
        <v>6000</v>
      </c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0" t="s">
        <v>74</v>
      </c>
      <c r="AT280" s="30" t="s">
        <v>80</v>
      </c>
      <c r="AU280" s="30" t="s">
        <v>81</v>
      </c>
      <c r="AV280" s="30" t="s">
        <v>135</v>
      </c>
      <c r="AW280" s="30"/>
      <c r="AX280" s="30"/>
      <c r="AY280" s="30"/>
      <c r="AZ280" s="31"/>
      <c r="BA280" s="31"/>
      <c r="BB280" s="31"/>
      <c r="BC280" s="31"/>
      <c r="BD280" s="79"/>
      <c r="BE280" s="79"/>
      <c r="BF280" s="79"/>
      <c r="BG280" s="79"/>
      <c r="BH280" s="79"/>
      <c r="BI280" s="79"/>
      <c r="BJ280" s="31"/>
      <c r="BK280" s="31"/>
      <c r="BL280" s="63">
        <f t="shared" si="66"/>
        <v>2700</v>
      </c>
      <c r="BM280" s="63">
        <f t="shared" si="59"/>
        <v>2700</v>
      </c>
      <c r="BN280" s="63">
        <f t="shared" si="60"/>
        <v>2700</v>
      </c>
      <c r="BO280" s="63">
        <f t="shared" si="61"/>
        <v>2700</v>
      </c>
      <c r="BP280" s="63">
        <f t="shared" si="62"/>
        <v>2700</v>
      </c>
      <c r="BQ280" s="63">
        <f t="shared" si="63"/>
        <v>2700</v>
      </c>
      <c r="BR280" s="63">
        <f t="shared" si="64"/>
        <v>2700</v>
      </c>
      <c r="BS280" s="63">
        <f t="shared" si="65"/>
        <v>2700</v>
      </c>
    </row>
    <row r="281" spans="1:71">
      <c r="A281" s="28">
        <f t="shared" si="56"/>
        <v>280</v>
      </c>
      <c r="B281" s="31" t="s">
        <v>1046</v>
      </c>
      <c r="C281" s="31" t="s">
        <v>72</v>
      </c>
      <c r="D281" s="30" t="s">
        <v>84</v>
      </c>
      <c r="E281" s="30" t="s">
        <v>74</v>
      </c>
      <c r="F281" s="69" t="s">
        <v>85</v>
      </c>
      <c r="G281" s="30" t="s">
        <v>210</v>
      </c>
      <c r="H281" s="68" t="s">
        <v>215</v>
      </c>
      <c r="I281" s="30"/>
      <c r="J281" s="30"/>
      <c r="K281" s="30" t="s">
        <v>87</v>
      </c>
      <c r="L281" s="40">
        <v>100000</v>
      </c>
      <c r="M281" s="39" t="s">
        <v>79</v>
      </c>
      <c r="N281" s="31" t="s">
        <v>88</v>
      </c>
      <c r="O281" s="30" t="s">
        <v>89</v>
      </c>
      <c r="P281" s="30" t="s">
        <v>89</v>
      </c>
      <c r="Q281" s="42">
        <v>0.19</v>
      </c>
      <c r="R281" s="47">
        <f t="shared" si="57"/>
        <v>15960</v>
      </c>
      <c r="S281" s="75"/>
      <c r="T281" s="48">
        <f t="shared" si="58"/>
        <v>84000</v>
      </c>
      <c r="U281" s="40">
        <v>12000</v>
      </c>
      <c r="V281" s="40">
        <v>12000</v>
      </c>
      <c r="W281" s="40">
        <v>12000</v>
      </c>
      <c r="X281" s="40">
        <v>12000</v>
      </c>
      <c r="Y281" s="40">
        <v>12000</v>
      </c>
      <c r="Z281" s="40">
        <v>12000</v>
      </c>
      <c r="AA281" s="40">
        <v>12000</v>
      </c>
      <c r="AB281" s="40">
        <v>12000</v>
      </c>
      <c r="AC281" s="40">
        <v>12000</v>
      </c>
      <c r="AD281" s="40">
        <v>12000</v>
      </c>
      <c r="AE281" s="40">
        <v>12000</v>
      </c>
      <c r="AF281" s="40">
        <v>12000</v>
      </c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0" t="s">
        <v>74</v>
      </c>
      <c r="AT281" s="30" t="s">
        <v>80</v>
      </c>
      <c r="AU281" s="30" t="s">
        <v>81</v>
      </c>
      <c r="AV281" s="30" t="s">
        <v>82</v>
      </c>
      <c r="AW281" s="30"/>
      <c r="AX281" s="30"/>
      <c r="AY281" s="30"/>
      <c r="AZ281" s="31"/>
      <c r="BA281" s="31"/>
      <c r="BB281" s="31"/>
      <c r="BC281" s="31"/>
      <c r="BD281" s="79"/>
      <c r="BE281" s="79"/>
      <c r="BF281" s="79"/>
      <c r="BG281" s="79"/>
      <c r="BH281" s="79"/>
      <c r="BI281" s="79"/>
      <c r="BJ281" s="31"/>
      <c r="BK281" s="31"/>
      <c r="BL281" s="63">
        <f t="shared" si="66"/>
        <v>2280</v>
      </c>
      <c r="BM281" s="63">
        <f t="shared" si="59"/>
        <v>2280</v>
      </c>
      <c r="BN281" s="63">
        <f t="shared" si="60"/>
        <v>2280</v>
      </c>
      <c r="BO281" s="63">
        <f t="shared" si="61"/>
        <v>2280</v>
      </c>
      <c r="BP281" s="63">
        <f t="shared" si="62"/>
        <v>2280</v>
      </c>
      <c r="BQ281" s="63">
        <f t="shared" si="63"/>
        <v>2280</v>
      </c>
      <c r="BR281" s="63">
        <f t="shared" si="64"/>
        <v>2280</v>
      </c>
      <c r="BS281" s="63">
        <f t="shared" si="65"/>
        <v>2280</v>
      </c>
    </row>
    <row r="282" spans="1:71">
      <c r="A282" s="28">
        <f t="shared" si="56"/>
        <v>281</v>
      </c>
      <c r="B282" s="30" t="s">
        <v>1047</v>
      </c>
      <c r="C282" s="31" t="s">
        <v>72</v>
      </c>
      <c r="D282" s="30" t="s">
        <v>129</v>
      </c>
      <c r="E282" s="30" t="s">
        <v>74</v>
      </c>
      <c r="F282" s="30" t="s">
        <v>1025</v>
      </c>
      <c r="G282" s="30" t="s">
        <v>301</v>
      </c>
      <c r="H282" s="35" t="s">
        <v>302</v>
      </c>
      <c r="I282" s="30"/>
      <c r="J282" s="30"/>
      <c r="K282" s="30" t="s">
        <v>1048</v>
      </c>
      <c r="L282" s="40">
        <v>400000</v>
      </c>
      <c r="M282" s="30" t="s">
        <v>57</v>
      </c>
      <c r="N282" s="30" t="s">
        <v>955</v>
      </c>
      <c r="O282" s="30"/>
      <c r="P282" s="30"/>
      <c r="Q282" s="74">
        <v>0.62</v>
      </c>
      <c r="R282" s="47">
        <f t="shared" si="57"/>
        <v>21700</v>
      </c>
      <c r="S282" s="30"/>
      <c r="T282" s="48">
        <f t="shared" si="58"/>
        <v>35000</v>
      </c>
      <c r="U282" s="40"/>
      <c r="V282" s="40"/>
      <c r="W282" s="40"/>
      <c r="X282" s="40"/>
      <c r="Y282" s="40"/>
      <c r="Z282" s="40">
        <v>5000</v>
      </c>
      <c r="AA282" s="40">
        <v>5000</v>
      </c>
      <c r="AB282" s="40">
        <v>5000</v>
      </c>
      <c r="AC282" s="40">
        <v>5000</v>
      </c>
      <c r="AD282" s="40">
        <v>5000</v>
      </c>
      <c r="AE282" s="40">
        <v>5000</v>
      </c>
      <c r="AF282" s="40">
        <v>5000</v>
      </c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0" t="s">
        <v>74</v>
      </c>
      <c r="AT282" s="30" t="s">
        <v>80</v>
      </c>
      <c r="AU282" s="30" t="s">
        <v>81</v>
      </c>
      <c r="AV282" s="30" t="s">
        <v>117</v>
      </c>
      <c r="AW282" s="30" t="s">
        <v>117</v>
      </c>
      <c r="AX282" s="30" t="s">
        <v>553</v>
      </c>
      <c r="AY282" s="30" t="s">
        <v>554</v>
      </c>
      <c r="AZ282" s="69" t="s">
        <v>1049</v>
      </c>
      <c r="BA282" s="31"/>
      <c r="BB282" s="31"/>
      <c r="BC282" s="31"/>
      <c r="BD282" s="79"/>
      <c r="BE282" s="79"/>
      <c r="BF282" s="79"/>
      <c r="BG282" s="79"/>
      <c r="BH282" s="79"/>
      <c r="BI282" s="79"/>
      <c r="BJ282" s="31"/>
      <c r="BK282" s="31"/>
      <c r="BL282" s="63">
        <f t="shared" si="66"/>
        <v>0</v>
      </c>
      <c r="BM282" s="63">
        <f t="shared" si="59"/>
        <v>3100</v>
      </c>
      <c r="BN282" s="63">
        <f t="shared" si="60"/>
        <v>3100</v>
      </c>
      <c r="BO282" s="63">
        <f t="shared" si="61"/>
        <v>3100</v>
      </c>
      <c r="BP282" s="63">
        <f t="shared" si="62"/>
        <v>3100</v>
      </c>
      <c r="BQ282" s="63">
        <f t="shared" si="63"/>
        <v>3100</v>
      </c>
      <c r="BR282" s="63">
        <f t="shared" si="64"/>
        <v>3100</v>
      </c>
      <c r="BS282" s="63">
        <f t="shared" si="65"/>
        <v>3100</v>
      </c>
    </row>
    <row r="283" spans="1:71">
      <c r="A283" s="28">
        <f t="shared" si="56"/>
        <v>282</v>
      </c>
      <c r="B283" s="30" t="s">
        <v>1007</v>
      </c>
      <c r="C283" s="31" t="s">
        <v>92</v>
      </c>
      <c r="D283" s="30" t="s">
        <v>1008</v>
      </c>
      <c r="E283" s="30" t="s">
        <v>74</v>
      </c>
      <c r="F283" s="30" t="s">
        <v>1009</v>
      </c>
      <c r="G283" s="30" t="s">
        <v>249</v>
      </c>
      <c r="H283" s="35" t="s">
        <v>250</v>
      </c>
      <c r="I283" s="30"/>
      <c r="J283" s="30"/>
      <c r="K283" s="30" t="s">
        <v>1010</v>
      </c>
      <c r="L283" s="40">
        <v>270000</v>
      </c>
      <c r="M283" s="30" t="s">
        <v>79</v>
      </c>
      <c r="N283" s="31"/>
      <c r="O283" s="30"/>
      <c r="P283" s="30"/>
      <c r="Q283" s="74">
        <v>0.32</v>
      </c>
      <c r="R283" s="47">
        <f t="shared" si="57"/>
        <v>20160</v>
      </c>
      <c r="S283" s="30"/>
      <c r="T283" s="48">
        <f t="shared" si="58"/>
        <v>63000</v>
      </c>
      <c r="U283" s="40"/>
      <c r="V283" s="39"/>
      <c r="W283" s="39"/>
      <c r="X283" s="39">
        <v>9000</v>
      </c>
      <c r="Y283" s="39">
        <v>9000</v>
      </c>
      <c r="Z283" s="39">
        <v>9000</v>
      </c>
      <c r="AA283" s="39">
        <v>9000</v>
      </c>
      <c r="AB283" s="39">
        <v>9000</v>
      </c>
      <c r="AC283" s="39">
        <v>9000</v>
      </c>
      <c r="AD283" s="39">
        <v>9000</v>
      </c>
      <c r="AE283" s="39">
        <v>9000</v>
      </c>
      <c r="AF283" s="39">
        <v>9000</v>
      </c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0" t="s">
        <v>74</v>
      </c>
      <c r="AT283" s="30" t="s">
        <v>80</v>
      </c>
      <c r="AU283" s="30" t="s">
        <v>81</v>
      </c>
      <c r="AV283" s="30" t="s">
        <v>581</v>
      </c>
      <c r="AW283" s="30" t="s">
        <v>588</v>
      </c>
      <c r="AX283" s="30" t="s">
        <v>1011</v>
      </c>
      <c r="AY283" s="30" t="s">
        <v>1012</v>
      </c>
      <c r="AZ283" s="69"/>
      <c r="BA283" s="31"/>
      <c r="BB283" s="31"/>
      <c r="BC283" s="31"/>
      <c r="BD283" s="79"/>
      <c r="BE283" s="79"/>
      <c r="BF283" s="79"/>
      <c r="BG283" s="79"/>
      <c r="BH283" s="79"/>
      <c r="BI283" s="79"/>
      <c r="BJ283" s="31"/>
      <c r="BK283" s="31"/>
      <c r="BL283" s="63">
        <f t="shared" si="66"/>
        <v>2880</v>
      </c>
      <c r="BM283" s="63">
        <f t="shared" si="59"/>
        <v>2880</v>
      </c>
      <c r="BN283" s="63">
        <f t="shared" si="60"/>
        <v>2880</v>
      </c>
      <c r="BO283" s="63">
        <f t="shared" si="61"/>
        <v>2880</v>
      </c>
      <c r="BP283" s="63">
        <f t="shared" si="62"/>
        <v>2880</v>
      </c>
      <c r="BQ283" s="63">
        <f t="shared" si="63"/>
        <v>2880</v>
      </c>
      <c r="BR283" s="63">
        <f t="shared" si="64"/>
        <v>2880</v>
      </c>
      <c r="BS283" s="63">
        <f t="shared" si="65"/>
        <v>2880</v>
      </c>
    </row>
    <row r="284" spans="1:71">
      <c r="A284" s="28">
        <f t="shared" si="56"/>
        <v>283</v>
      </c>
      <c r="B284" s="31" t="s">
        <v>1050</v>
      </c>
      <c r="C284" s="31" t="s">
        <v>72</v>
      </c>
      <c r="D284" s="30" t="s">
        <v>1008</v>
      </c>
      <c r="E284" s="30" t="s">
        <v>74</v>
      </c>
      <c r="F284" s="30" t="s">
        <v>1009</v>
      </c>
      <c r="G284" s="30" t="s">
        <v>290</v>
      </c>
      <c r="H284" s="35" t="s">
        <v>291</v>
      </c>
      <c r="I284" s="30"/>
      <c r="J284" s="30"/>
      <c r="K284" s="30" t="s">
        <v>1051</v>
      </c>
      <c r="L284" s="40">
        <v>40000</v>
      </c>
      <c r="M284" s="39" t="s">
        <v>79</v>
      </c>
      <c r="N284" s="31"/>
      <c r="O284" s="31"/>
      <c r="P284" s="31"/>
      <c r="Q284" s="42">
        <v>0.54</v>
      </c>
      <c r="R284" s="47">
        <f t="shared" si="57"/>
        <v>11340</v>
      </c>
      <c r="S284" s="31"/>
      <c r="T284" s="48">
        <f t="shared" si="58"/>
        <v>21000</v>
      </c>
      <c r="U284" s="40"/>
      <c r="V284" s="40"/>
      <c r="W284" s="40"/>
      <c r="X284" s="40">
        <v>0</v>
      </c>
      <c r="Y284" s="40">
        <v>3000</v>
      </c>
      <c r="Z284" s="40">
        <v>3000</v>
      </c>
      <c r="AA284" s="40">
        <v>3000</v>
      </c>
      <c r="AB284" s="40">
        <v>3000</v>
      </c>
      <c r="AC284" s="40">
        <v>3000</v>
      </c>
      <c r="AD284" s="40">
        <v>3000</v>
      </c>
      <c r="AE284" s="40">
        <v>3000</v>
      </c>
      <c r="AF284" s="40">
        <v>3000</v>
      </c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0" t="s">
        <v>74</v>
      </c>
      <c r="AT284" s="30" t="s">
        <v>80</v>
      </c>
      <c r="AU284" s="30" t="s">
        <v>81</v>
      </c>
      <c r="AV284" s="30" t="s">
        <v>106</v>
      </c>
      <c r="AW284" s="30" t="s">
        <v>107</v>
      </c>
      <c r="AX284" s="30" t="s">
        <v>1052</v>
      </c>
      <c r="AY284" s="30" t="s">
        <v>655</v>
      </c>
      <c r="AZ284" s="31"/>
      <c r="BA284" s="31"/>
      <c r="BB284" s="31"/>
      <c r="BC284" s="31"/>
      <c r="BD284" s="79"/>
      <c r="BE284" s="79"/>
      <c r="BF284" s="79"/>
      <c r="BG284" s="79"/>
      <c r="BH284" s="79"/>
      <c r="BI284" s="79"/>
      <c r="BJ284" s="31"/>
      <c r="BK284" s="31"/>
      <c r="BL284" s="63">
        <f t="shared" si="66"/>
        <v>1620</v>
      </c>
      <c r="BM284" s="63">
        <f t="shared" si="59"/>
        <v>1620</v>
      </c>
      <c r="BN284" s="63">
        <f t="shared" si="60"/>
        <v>1620</v>
      </c>
      <c r="BO284" s="63">
        <f t="shared" si="61"/>
        <v>1620</v>
      </c>
      <c r="BP284" s="63">
        <f t="shared" si="62"/>
        <v>1620</v>
      </c>
      <c r="BQ284" s="63">
        <f t="shared" si="63"/>
        <v>1620</v>
      </c>
      <c r="BR284" s="63">
        <f t="shared" si="64"/>
        <v>1620</v>
      </c>
      <c r="BS284" s="63">
        <f t="shared" si="65"/>
        <v>1620</v>
      </c>
    </row>
    <row r="285" spans="1:71">
      <c r="A285" s="28">
        <f t="shared" si="56"/>
        <v>284</v>
      </c>
      <c r="B285" s="30" t="s">
        <v>993</v>
      </c>
      <c r="C285" s="31" t="s">
        <v>72</v>
      </c>
      <c r="D285" s="30" t="s">
        <v>129</v>
      </c>
      <c r="E285" s="30" t="s">
        <v>74</v>
      </c>
      <c r="F285" s="30" t="s">
        <v>977</v>
      </c>
      <c r="G285" s="30" t="s">
        <v>245</v>
      </c>
      <c r="H285" s="35" t="s">
        <v>246</v>
      </c>
      <c r="I285" s="30"/>
      <c r="J285" s="30"/>
      <c r="K285" s="30" t="s">
        <v>655</v>
      </c>
      <c r="L285" s="40">
        <v>36000</v>
      </c>
      <c r="M285" s="30" t="s">
        <v>79</v>
      </c>
      <c r="N285" s="30" t="s">
        <v>134</v>
      </c>
      <c r="O285" s="30"/>
      <c r="P285" s="30"/>
      <c r="Q285" s="74">
        <v>0.5</v>
      </c>
      <c r="R285" s="47">
        <f t="shared" si="57"/>
        <v>10500</v>
      </c>
      <c r="S285" s="30"/>
      <c r="T285" s="48">
        <f t="shared" si="58"/>
        <v>21000</v>
      </c>
      <c r="U285" s="40">
        <v>3000</v>
      </c>
      <c r="V285" s="40">
        <v>3000</v>
      </c>
      <c r="W285" s="40">
        <v>3000</v>
      </c>
      <c r="X285" s="40">
        <v>3000</v>
      </c>
      <c r="Y285" s="40">
        <v>3000</v>
      </c>
      <c r="Z285" s="40">
        <v>3000</v>
      </c>
      <c r="AA285" s="40">
        <v>3000</v>
      </c>
      <c r="AB285" s="40">
        <v>3000</v>
      </c>
      <c r="AC285" s="40">
        <v>3000</v>
      </c>
      <c r="AD285" s="40">
        <v>3000</v>
      </c>
      <c r="AE285" s="40">
        <v>3000</v>
      </c>
      <c r="AF285" s="40">
        <v>3000</v>
      </c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0" t="s">
        <v>74</v>
      </c>
      <c r="AT285" s="30" t="s">
        <v>80</v>
      </c>
      <c r="AU285" s="30" t="s">
        <v>81</v>
      </c>
      <c r="AV285" s="30" t="s">
        <v>82</v>
      </c>
      <c r="AW285" s="30"/>
      <c r="AX285" s="30"/>
      <c r="AY285" s="30"/>
      <c r="AZ285" s="31"/>
      <c r="BA285" s="31"/>
      <c r="BB285" s="31"/>
      <c r="BC285" s="31"/>
      <c r="BD285" s="79"/>
      <c r="BE285" s="79"/>
      <c r="BF285" s="79"/>
      <c r="BG285" s="79"/>
      <c r="BH285" s="79"/>
      <c r="BI285" s="79"/>
      <c r="BJ285" s="31"/>
      <c r="BK285" s="31"/>
      <c r="BL285" s="63">
        <f t="shared" si="66"/>
        <v>1500</v>
      </c>
      <c r="BM285" s="63">
        <f t="shared" si="59"/>
        <v>1500</v>
      </c>
      <c r="BN285" s="63">
        <f t="shared" si="60"/>
        <v>1500</v>
      </c>
      <c r="BO285" s="63">
        <f t="shared" si="61"/>
        <v>1500</v>
      </c>
      <c r="BP285" s="63">
        <f t="shared" si="62"/>
        <v>1500</v>
      </c>
      <c r="BQ285" s="63">
        <f t="shared" si="63"/>
        <v>1500</v>
      </c>
      <c r="BR285" s="63">
        <f t="shared" si="64"/>
        <v>1500</v>
      </c>
      <c r="BS285" s="63">
        <f t="shared" si="65"/>
        <v>1500</v>
      </c>
    </row>
    <row r="286" spans="1:71">
      <c r="A286" s="28">
        <f t="shared" si="56"/>
        <v>285</v>
      </c>
      <c r="B286" s="31" t="s">
        <v>90</v>
      </c>
      <c r="C286" s="31" t="s">
        <v>72</v>
      </c>
      <c r="D286" s="30" t="s">
        <v>84</v>
      </c>
      <c r="E286" s="30" t="s">
        <v>74</v>
      </c>
      <c r="F286" s="69" t="s">
        <v>85</v>
      </c>
      <c r="G286" s="30" t="s">
        <v>76</v>
      </c>
      <c r="H286" s="35" t="s">
        <v>77</v>
      </c>
      <c r="I286" s="30"/>
      <c r="J286" s="30"/>
      <c r="K286" s="30" t="s">
        <v>87</v>
      </c>
      <c r="L286" s="40">
        <v>70000</v>
      </c>
      <c r="M286" s="39" t="s">
        <v>79</v>
      </c>
      <c r="N286" s="31" t="s">
        <v>88</v>
      </c>
      <c r="O286" s="30" t="s">
        <v>89</v>
      </c>
      <c r="P286" s="30" t="s">
        <v>89</v>
      </c>
      <c r="Q286" s="42">
        <v>0.19</v>
      </c>
      <c r="R286" s="47">
        <f t="shared" si="57"/>
        <v>9310</v>
      </c>
      <c r="S286" s="75"/>
      <c r="T286" s="48">
        <f t="shared" si="58"/>
        <v>49000</v>
      </c>
      <c r="U286" s="40">
        <v>7000</v>
      </c>
      <c r="V286" s="40">
        <v>7000</v>
      </c>
      <c r="W286" s="40">
        <v>7000</v>
      </c>
      <c r="X286" s="40">
        <v>7000</v>
      </c>
      <c r="Y286" s="40">
        <v>7000</v>
      </c>
      <c r="Z286" s="40">
        <v>7000</v>
      </c>
      <c r="AA286" s="40">
        <v>7000</v>
      </c>
      <c r="AB286" s="40">
        <v>7000</v>
      </c>
      <c r="AC286" s="40">
        <v>7000</v>
      </c>
      <c r="AD286" s="40">
        <v>7000</v>
      </c>
      <c r="AE286" s="40">
        <v>7000</v>
      </c>
      <c r="AF286" s="40">
        <v>7000</v>
      </c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0" t="s">
        <v>74</v>
      </c>
      <c r="AT286" s="30" t="s">
        <v>80</v>
      </c>
      <c r="AU286" s="30" t="s">
        <v>81</v>
      </c>
      <c r="AV286" s="30" t="s">
        <v>82</v>
      </c>
      <c r="AW286" s="30"/>
      <c r="AX286" s="30"/>
      <c r="AY286" s="30"/>
      <c r="AZ286" s="31"/>
      <c r="BA286" s="31"/>
      <c r="BB286" s="31"/>
      <c r="BC286" s="31"/>
      <c r="BD286" s="79"/>
      <c r="BE286" s="79"/>
      <c r="BF286" s="79"/>
      <c r="BG286" s="79"/>
      <c r="BH286" s="79"/>
      <c r="BI286" s="79"/>
      <c r="BJ286" s="31"/>
      <c r="BK286" s="31"/>
      <c r="BL286" s="63">
        <f t="shared" si="66"/>
        <v>1330</v>
      </c>
      <c r="BM286" s="63">
        <f t="shared" si="59"/>
        <v>1330</v>
      </c>
      <c r="BN286" s="63">
        <f t="shared" si="60"/>
        <v>1330</v>
      </c>
      <c r="BO286" s="63">
        <f t="shared" si="61"/>
        <v>1330</v>
      </c>
      <c r="BP286" s="63">
        <f t="shared" si="62"/>
        <v>1330</v>
      </c>
      <c r="BQ286" s="63">
        <f t="shared" si="63"/>
        <v>1330</v>
      </c>
      <c r="BR286" s="63">
        <f t="shared" si="64"/>
        <v>1330</v>
      </c>
      <c r="BS286" s="63">
        <f t="shared" si="65"/>
        <v>1330</v>
      </c>
    </row>
    <row r="287" spans="1:71">
      <c r="A287" s="28">
        <f t="shared" si="56"/>
        <v>286</v>
      </c>
      <c r="B287" s="31" t="s">
        <v>83</v>
      </c>
      <c r="C287" s="31" t="s">
        <v>72</v>
      </c>
      <c r="D287" s="30" t="s">
        <v>84</v>
      </c>
      <c r="E287" s="30" t="s">
        <v>74</v>
      </c>
      <c r="F287" s="69" t="s">
        <v>85</v>
      </c>
      <c r="G287" s="30" t="s">
        <v>165</v>
      </c>
      <c r="H287" s="35" t="s">
        <v>166</v>
      </c>
      <c r="I287" s="30"/>
      <c r="J287" s="30"/>
      <c r="K287" s="30" t="s">
        <v>87</v>
      </c>
      <c r="L287" s="40">
        <v>10000</v>
      </c>
      <c r="M287" s="39" t="s">
        <v>79</v>
      </c>
      <c r="N287" s="31" t="s">
        <v>88</v>
      </c>
      <c r="O287" s="30" t="s">
        <v>89</v>
      </c>
      <c r="P287" s="30" t="s">
        <v>89</v>
      </c>
      <c r="Q287" s="42">
        <v>0.3</v>
      </c>
      <c r="R287" s="47">
        <f t="shared" si="57"/>
        <v>2415</v>
      </c>
      <c r="S287" s="75"/>
      <c r="T287" s="48">
        <f t="shared" si="58"/>
        <v>8050</v>
      </c>
      <c r="U287" s="40">
        <v>1150</v>
      </c>
      <c r="V287" s="40">
        <v>1150</v>
      </c>
      <c r="W287" s="40">
        <v>1150</v>
      </c>
      <c r="X287" s="40">
        <v>1150</v>
      </c>
      <c r="Y287" s="40">
        <v>1150</v>
      </c>
      <c r="Z287" s="40">
        <v>1150</v>
      </c>
      <c r="AA287" s="40">
        <v>1150</v>
      </c>
      <c r="AB287" s="40">
        <v>1150</v>
      </c>
      <c r="AC287" s="40">
        <v>1150</v>
      </c>
      <c r="AD287" s="40">
        <v>1150</v>
      </c>
      <c r="AE287" s="40">
        <v>1150</v>
      </c>
      <c r="AF287" s="40">
        <v>1150</v>
      </c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0" t="s">
        <v>74</v>
      </c>
      <c r="AT287" s="30" t="s">
        <v>80</v>
      </c>
      <c r="AU287" s="30" t="s">
        <v>81</v>
      </c>
      <c r="AV287" s="30" t="s">
        <v>82</v>
      </c>
      <c r="AW287" s="30"/>
      <c r="AX287" s="30"/>
      <c r="AY287" s="30"/>
      <c r="AZ287" s="31"/>
      <c r="BA287" s="31"/>
      <c r="BB287" s="31"/>
      <c r="BC287" s="31"/>
      <c r="BD287" s="79"/>
      <c r="BE287" s="79"/>
      <c r="BF287" s="79"/>
      <c r="BG287" s="79"/>
      <c r="BH287" s="79"/>
      <c r="BI287" s="79"/>
      <c r="BJ287" s="31"/>
      <c r="BK287" s="31"/>
      <c r="BL287" s="63">
        <f t="shared" si="66"/>
        <v>345</v>
      </c>
      <c r="BM287" s="63">
        <f t="shared" si="59"/>
        <v>345</v>
      </c>
      <c r="BN287" s="63">
        <f t="shared" si="60"/>
        <v>345</v>
      </c>
      <c r="BO287" s="63">
        <f t="shared" si="61"/>
        <v>345</v>
      </c>
      <c r="BP287" s="63">
        <f t="shared" si="62"/>
        <v>345</v>
      </c>
      <c r="BQ287" s="63">
        <f t="shared" si="63"/>
        <v>345</v>
      </c>
      <c r="BR287" s="63">
        <f t="shared" si="64"/>
        <v>345</v>
      </c>
      <c r="BS287" s="63">
        <f t="shared" si="65"/>
        <v>345</v>
      </c>
    </row>
    <row r="288" spans="1:71">
      <c r="A288" s="28">
        <f t="shared" si="56"/>
        <v>287</v>
      </c>
      <c r="B288" s="31" t="s">
        <v>1053</v>
      </c>
      <c r="C288" s="31" t="s">
        <v>72</v>
      </c>
      <c r="D288" s="30" t="s">
        <v>73</v>
      </c>
      <c r="E288" s="30" t="s">
        <v>74</v>
      </c>
      <c r="F288" s="69" t="s">
        <v>971</v>
      </c>
      <c r="G288" s="69" t="s">
        <v>210</v>
      </c>
      <c r="H288" s="68" t="s">
        <v>215</v>
      </c>
      <c r="I288" s="69"/>
      <c r="J288" s="69"/>
      <c r="K288" s="69" t="s">
        <v>643</v>
      </c>
      <c r="L288" s="73">
        <v>3000000</v>
      </c>
      <c r="M288" s="31" t="s">
        <v>56</v>
      </c>
      <c r="N288" s="31"/>
      <c r="O288" s="69" t="s">
        <v>997</v>
      </c>
      <c r="P288" s="30"/>
      <c r="Q288" s="74">
        <v>0.12</v>
      </c>
      <c r="R288" s="47">
        <f t="shared" si="57"/>
        <v>0</v>
      </c>
      <c r="S288" s="75"/>
      <c r="T288" s="48">
        <f t="shared" si="58"/>
        <v>0</v>
      </c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0" t="s">
        <v>74</v>
      </c>
      <c r="AT288" s="30" t="s">
        <v>80</v>
      </c>
      <c r="AU288" s="30" t="s">
        <v>81</v>
      </c>
      <c r="AV288" s="30" t="s">
        <v>82</v>
      </c>
      <c r="AW288" s="30"/>
      <c r="AX288" s="30"/>
      <c r="AY288" s="30"/>
      <c r="AZ288" s="30"/>
      <c r="BA288" s="30"/>
      <c r="BB288" s="30"/>
      <c r="BC288" s="58"/>
      <c r="BD288" s="30"/>
      <c r="BE288" s="55"/>
      <c r="BF288" s="55"/>
      <c r="BG288" s="55"/>
      <c r="BH288" s="55"/>
      <c r="BI288" s="55"/>
      <c r="BJ288" s="64"/>
      <c r="BK288" s="39"/>
      <c r="BL288" s="63">
        <f t="shared" si="66"/>
        <v>0</v>
      </c>
      <c r="BM288" s="63">
        <f t="shared" si="59"/>
        <v>0</v>
      </c>
      <c r="BN288" s="63">
        <f t="shared" si="60"/>
        <v>0</v>
      </c>
      <c r="BO288" s="63">
        <f t="shared" si="61"/>
        <v>0</v>
      </c>
      <c r="BP288" s="63">
        <f t="shared" si="62"/>
        <v>0</v>
      </c>
      <c r="BQ288" s="63">
        <f t="shared" si="63"/>
        <v>0</v>
      </c>
      <c r="BR288" s="63">
        <f t="shared" si="64"/>
        <v>0</v>
      </c>
      <c r="BS288" s="63">
        <f t="shared" si="65"/>
        <v>0</v>
      </c>
    </row>
    <row r="289" spans="1:71">
      <c r="A289" s="28">
        <f t="shared" si="56"/>
        <v>288</v>
      </c>
      <c r="B289" s="31" t="s">
        <v>1054</v>
      </c>
      <c r="C289" s="31" t="s">
        <v>72</v>
      </c>
      <c r="D289" s="30" t="s">
        <v>73</v>
      </c>
      <c r="E289" s="30" t="s">
        <v>74</v>
      </c>
      <c r="F289" s="69" t="s">
        <v>1055</v>
      </c>
      <c r="G289" s="69" t="s">
        <v>348</v>
      </c>
      <c r="H289" s="68"/>
      <c r="I289" s="69"/>
      <c r="J289" s="69"/>
      <c r="K289" s="69" t="s">
        <v>991</v>
      </c>
      <c r="L289" s="73"/>
      <c r="M289" s="31" t="s">
        <v>57</v>
      </c>
      <c r="N289" s="31"/>
      <c r="O289" s="69" t="s">
        <v>992</v>
      </c>
      <c r="P289" s="30"/>
      <c r="Q289" s="74">
        <v>0.23</v>
      </c>
      <c r="R289" s="47">
        <f t="shared" si="57"/>
        <v>0</v>
      </c>
      <c r="S289" s="75"/>
      <c r="T289" s="48">
        <f t="shared" si="58"/>
        <v>0</v>
      </c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0" t="s">
        <v>74</v>
      </c>
      <c r="AT289" s="30" t="s">
        <v>80</v>
      </c>
      <c r="AU289" s="30" t="s">
        <v>81</v>
      </c>
      <c r="AV289" s="30" t="s">
        <v>82</v>
      </c>
      <c r="AW289" s="30"/>
      <c r="AX289" s="30"/>
      <c r="AY289" s="30"/>
      <c r="AZ289" s="30"/>
      <c r="BA289" s="30"/>
      <c r="BB289" s="30"/>
      <c r="BC289" s="58"/>
      <c r="BD289" s="30"/>
      <c r="BE289" s="55"/>
      <c r="BF289" s="55"/>
      <c r="BG289" s="55"/>
      <c r="BH289" s="55"/>
      <c r="BI289" s="55"/>
      <c r="BJ289" s="64"/>
      <c r="BK289" s="39"/>
      <c r="BL289" s="63">
        <f t="shared" si="66"/>
        <v>0</v>
      </c>
      <c r="BM289" s="63">
        <f t="shared" si="59"/>
        <v>0</v>
      </c>
      <c r="BN289" s="63">
        <f t="shared" si="60"/>
        <v>0</v>
      </c>
      <c r="BO289" s="63">
        <f t="shared" si="61"/>
        <v>0</v>
      </c>
      <c r="BP289" s="63">
        <f t="shared" si="62"/>
        <v>0</v>
      </c>
      <c r="BQ289" s="63">
        <f t="shared" si="63"/>
        <v>0</v>
      </c>
      <c r="BR289" s="63">
        <f t="shared" si="64"/>
        <v>0</v>
      </c>
      <c r="BS289" s="63">
        <f t="shared" si="65"/>
        <v>0</v>
      </c>
    </row>
    <row r="290" spans="1:71">
      <c r="A290" s="28">
        <f t="shared" si="56"/>
        <v>289</v>
      </c>
      <c r="B290" s="31" t="s">
        <v>1056</v>
      </c>
      <c r="C290" s="31" t="s">
        <v>72</v>
      </c>
      <c r="D290" s="30" t="s">
        <v>73</v>
      </c>
      <c r="E290" s="30" t="s">
        <v>74</v>
      </c>
      <c r="F290" s="69" t="s">
        <v>1055</v>
      </c>
      <c r="G290" s="69" t="s">
        <v>195</v>
      </c>
      <c r="H290" s="68" t="s">
        <v>196</v>
      </c>
      <c r="I290" s="69"/>
      <c r="J290" s="69"/>
      <c r="K290" s="69" t="s">
        <v>1057</v>
      </c>
      <c r="L290" s="73">
        <v>1000000</v>
      </c>
      <c r="M290" s="31" t="s">
        <v>57</v>
      </c>
      <c r="N290" s="31"/>
      <c r="O290" s="69"/>
      <c r="P290" s="30"/>
      <c r="Q290" s="74">
        <v>0.115</v>
      </c>
      <c r="R290" s="47">
        <f t="shared" si="57"/>
        <v>0</v>
      </c>
      <c r="S290" s="75"/>
      <c r="T290" s="48">
        <f t="shared" si="58"/>
        <v>0</v>
      </c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39"/>
      <c r="AI290" s="39"/>
      <c r="AJ290" s="39"/>
      <c r="AK290" s="39"/>
      <c r="AL290" s="39"/>
      <c r="AM290" s="39"/>
      <c r="AN290" s="39"/>
      <c r="AO290" s="39"/>
      <c r="AP290" s="39"/>
      <c r="AQ290" s="39"/>
      <c r="AR290" s="39"/>
      <c r="AS290" s="30" t="s">
        <v>74</v>
      </c>
      <c r="AT290" s="30" t="s">
        <v>80</v>
      </c>
      <c r="AU290" s="30" t="s">
        <v>81</v>
      </c>
      <c r="AV290" s="30" t="s">
        <v>82</v>
      </c>
      <c r="AW290" s="30"/>
      <c r="AX290" s="30"/>
      <c r="AY290" s="30"/>
      <c r="AZ290" s="30"/>
      <c r="BA290" s="30"/>
      <c r="BB290" s="30"/>
      <c r="BC290" s="58"/>
      <c r="BD290" s="30"/>
      <c r="BE290" s="55"/>
      <c r="BF290" s="55"/>
      <c r="BG290" s="55"/>
      <c r="BH290" s="55"/>
      <c r="BI290" s="55"/>
      <c r="BJ290" s="64"/>
      <c r="BK290" s="39"/>
      <c r="BL290" s="63">
        <f t="shared" si="66"/>
        <v>0</v>
      </c>
      <c r="BM290" s="63">
        <f t="shared" si="59"/>
        <v>0</v>
      </c>
      <c r="BN290" s="63">
        <f t="shared" si="60"/>
        <v>0</v>
      </c>
      <c r="BO290" s="63">
        <f t="shared" si="61"/>
        <v>0</v>
      </c>
      <c r="BP290" s="63">
        <f t="shared" si="62"/>
        <v>0</v>
      </c>
      <c r="BQ290" s="63">
        <f t="shared" si="63"/>
        <v>0</v>
      </c>
      <c r="BR290" s="63">
        <f t="shared" si="64"/>
        <v>0</v>
      </c>
      <c r="BS290" s="63">
        <f t="shared" si="65"/>
        <v>0</v>
      </c>
    </row>
    <row r="291" spans="1:71">
      <c r="A291" s="28">
        <f t="shared" si="56"/>
        <v>290</v>
      </c>
      <c r="B291" s="31" t="s">
        <v>941</v>
      </c>
      <c r="C291" s="31" t="s">
        <v>527</v>
      </c>
      <c r="D291" s="30" t="s">
        <v>73</v>
      </c>
      <c r="E291" s="30" t="s">
        <v>74</v>
      </c>
      <c r="F291" s="69" t="s">
        <v>75</v>
      </c>
      <c r="G291" s="69" t="s">
        <v>329</v>
      </c>
      <c r="H291" s="68"/>
      <c r="I291" s="69"/>
      <c r="J291" s="69"/>
      <c r="K291" s="69" t="s">
        <v>942</v>
      </c>
      <c r="L291" s="73">
        <v>3000000</v>
      </c>
      <c r="M291" s="31" t="s">
        <v>57</v>
      </c>
      <c r="N291" s="31"/>
      <c r="O291" s="69" t="s">
        <v>1058</v>
      </c>
      <c r="P291" s="30"/>
      <c r="Q291" s="74">
        <v>0.25</v>
      </c>
      <c r="R291" s="47">
        <f t="shared" si="57"/>
        <v>0</v>
      </c>
      <c r="S291" s="75"/>
      <c r="T291" s="48">
        <f t="shared" si="58"/>
        <v>0</v>
      </c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39"/>
      <c r="AI291" s="39"/>
      <c r="AJ291" s="39"/>
      <c r="AK291" s="39"/>
      <c r="AL291" s="39"/>
      <c r="AM291" s="39"/>
      <c r="AN291" s="39"/>
      <c r="AO291" s="39"/>
      <c r="AP291" s="39"/>
      <c r="AQ291" s="39"/>
      <c r="AR291" s="39"/>
      <c r="AS291" s="30"/>
      <c r="AT291" s="30" t="s">
        <v>80</v>
      </c>
      <c r="AU291" s="30" t="s">
        <v>81</v>
      </c>
      <c r="AV291" s="30"/>
      <c r="AW291" s="30"/>
      <c r="AX291" s="30"/>
      <c r="AY291" s="30"/>
      <c r="AZ291" s="30"/>
      <c r="BA291" s="30"/>
      <c r="BB291" s="30"/>
      <c r="BC291" s="58"/>
      <c r="BD291" s="30"/>
      <c r="BE291" s="30"/>
      <c r="BF291" s="30"/>
      <c r="BG291" s="30"/>
      <c r="BH291" s="30"/>
      <c r="BI291" s="30"/>
      <c r="BJ291" s="31"/>
      <c r="BK291" s="31"/>
      <c r="BL291" s="63">
        <f t="shared" si="66"/>
        <v>0</v>
      </c>
      <c r="BM291" s="63">
        <f t="shared" si="59"/>
        <v>0</v>
      </c>
      <c r="BN291" s="63">
        <f t="shared" si="60"/>
        <v>0</v>
      </c>
      <c r="BO291" s="63">
        <f t="shared" si="61"/>
        <v>0</v>
      </c>
      <c r="BP291" s="63">
        <f t="shared" si="62"/>
        <v>0</v>
      </c>
      <c r="BQ291" s="63">
        <f t="shared" si="63"/>
        <v>0</v>
      </c>
      <c r="BR291" s="63">
        <f t="shared" si="64"/>
        <v>0</v>
      </c>
      <c r="BS291" s="63">
        <f t="shared" si="65"/>
        <v>0</v>
      </c>
    </row>
    <row r="292" spans="1:71">
      <c r="A292" s="28">
        <f t="shared" si="56"/>
        <v>291</v>
      </c>
      <c r="B292" s="31" t="s">
        <v>943</v>
      </c>
      <c r="C292" s="31" t="s">
        <v>72</v>
      </c>
      <c r="D292" s="30" t="s">
        <v>73</v>
      </c>
      <c r="E292" s="30" t="s">
        <v>74</v>
      </c>
      <c r="F292" s="69" t="s">
        <v>75</v>
      </c>
      <c r="G292" s="69" t="s">
        <v>348</v>
      </c>
      <c r="H292" s="68"/>
      <c r="I292" s="69"/>
      <c r="J292" s="69"/>
      <c r="K292" s="69" t="s">
        <v>944</v>
      </c>
      <c r="L292" s="73"/>
      <c r="M292" s="31" t="s">
        <v>57</v>
      </c>
      <c r="N292" s="31"/>
      <c r="O292" s="69" t="s">
        <v>1059</v>
      </c>
      <c r="P292" s="31"/>
      <c r="Q292" s="74">
        <v>0.23</v>
      </c>
      <c r="R292" s="47">
        <f t="shared" si="57"/>
        <v>0</v>
      </c>
      <c r="S292" s="75"/>
      <c r="T292" s="48">
        <f t="shared" si="58"/>
        <v>0</v>
      </c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39"/>
      <c r="AI292" s="39"/>
      <c r="AJ292" s="39"/>
      <c r="AK292" s="39"/>
      <c r="AL292" s="39"/>
      <c r="AM292" s="39"/>
      <c r="AN292" s="39"/>
      <c r="AO292" s="39"/>
      <c r="AP292" s="39"/>
      <c r="AQ292" s="39"/>
      <c r="AR292" s="39"/>
      <c r="AS292" s="30" t="s">
        <v>74</v>
      </c>
      <c r="AT292" s="30" t="s">
        <v>80</v>
      </c>
      <c r="AU292" s="30" t="s">
        <v>81</v>
      </c>
      <c r="AV292" s="30" t="s">
        <v>82</v>
      </c>
      <c r="AW292" s="30"/>
      <c r="AX292" s="30"/>
      <c r="AY292" s="30"/>
      <c r="AZ292" s="30"/>
      <c r="BA292" s="30"/>
      <c r="BB292" s="30"/>
      <c r="BC292" s="58"/>
      <c r="BD292" s="30"/>
      <c r="BE292" s="30"/>
      <c r="BF292" s="30"/>
      <c r="BG292" s="30"/>
      <c r="BH292" s="30"/>
      <c r="BI292" s="30"/>
      <c r="BJ292" s="31"/>
      <c r="BK292" s="31"/>
      <c r="BL292" s="63">
        <f t="shared" si="66"/>
        <v>0</v>
      </c>
      <c r="BM292" s="63">
        <f t="shared" si="59"/>
        <v>0</v>
      </c>
      <c r="BN292" s="63">
        <f t="shared" si="60"/>
        <v>0</v>
      </c>
      <c r="BO292" s="63">
        <f t="shared" si="61"/>
        <v>0</v>
      </c>
      <c r="BP292" s="63">
        <f t="shared" si="62"/>
        <v>0</v>
      </c>
      <c r="BQ292" s="63">
        <f t="shared" si="63"/>
        <v>0</v>
      </c>
      <c r="BR292" s="63">
        <f t="shared" si="64"/>
        <v>0</v>
      </c>
      <c r="BS292" s="63">
        <f t="shared" si="65"/>
        <v>0</v>
      </c>
    </row>
    <row r="293" spans="1:71">
      <c r="A293" s="28">
        <f t="shared" si="56"/>
        <v>292</v>
      </c>
      <c r="B293" s="31" t="s">
        <v>1060</v>
      </c>
      <c r="C293" s="31" t="s">
        <v>72</v>
      </c>
      <c r="D293" s="69" t="s">
        <v>73</v>
      </c>
      <c r="E293" s="30" t="s">
        <v>74</v>
      </c>
      <c r="F293" s="69" t="s">
        <v>75</v>
      </c>
      <c r="G293" s="69" t="s">
        <v>336</v>
      </c>
      <c r="H293" s="68"/>
      <c r="I293" s="69"/>
      <c r="J293" s="69"/>
      <c r="K293" s="69" t="s">
        <v>1061</v>
      </c>
      <c r="L293" s="73">
        <v>100000000</v>
      </c>
      <c r="M293" s="31" t="s">
        <v>57</v>
      </c>
      <c r="N293" s="31"/>
      <c r="O293" s="69"/>
      <c r="P293" s="30"/>
      <c r="Q293" s="80"/>
      <c r="R293" s="47">
        <f t="shared" si="57"/>
        <v>0</v>
      </c>
      <c r="S293" s="75"/>
      <c r="T293" s="48">
        <f t="shared" si="58"/>
        <v>0</v>
      </c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39"/>
      <c r="AI293" s="39"/>
      <c r="AJ293" s="39"/>
      <c r="AK293" s="39"/>
      <c r="AL293" s="39"/>
      <c r="AM293" s="39"/>
      <c r="AN293" s="39"/>
      <c r="AO293" s="39"/>
      <c r="AP293" s="39"/>
      <c r="AQ293" s="39"/>
      <c r="AR293" s="39"/>
      <c r="AS293" s="30"/>
      <c r="AT293" s="30" t="s">
        <v>80</v>
      </c>
      <c r="AU293" s="30" t="s">
        <v>81</v>
      </c>
      <c r="AV293" s="30"/>
      <c r="AW293" s="30"/>
      <c r="AX293" s="30"/>
      <c r="AY293" s="30"/>
      <c r="AZ293" s="30"/>
      <c r="BA293" s="30"/>
      <c r="BB293" s="30"/>
      <c r="BC293" s="58"/>
      <c r="BD293" s="30"/>
      <c r="BE293" s="30"/>
      <c r="BF293" s="30"/>
      <c r="BG293" s="30"/>
      <c r="BH293" s="30"/>
      <c r="BI293" s="30"/>
      <c r="BJ293" s="31"/>
      <c r="BK293" s="31"/>
      <c r="BL293" s="63">
        <f t="shared" si="66"/>
        <v>0</v>
      </c>
      <c r="BM293" s="63">
        <f t="shared" si="59"/>
        <v>0</v>
      </c>
      <c r="BN293" s="63">
        <f t="shared" si="60"/>
        <v>0</v>
      </c>
      <c r="BO293" s="63">
        <f t="shared" si="61"/>
        <v>0</v>
      </c>
      <c r="BP293" s="63">
        <f t="shared" si="62"/>
        <v>0</v>
      </c>
      <c r="BQ293" s="63">
        <f t="shared" si="63"/>
        <v>0</v>
      </c>
      <c r="BR293" s="63">
        <f t="shared" si="64"/>
        <v>0</v>
      </c>
      <c r="BS293" s="63">
        <f t="shared" si="65"/>
        <v>0</v>
      </c>
    </row>
    <row r="294" spans="1:71">
      <c r="A294" s="28">
        <f t="shared" si="56"/>
        <v>293</v>
      </c>
      <c r="B294" s="31" t="s">
        <v>1060</v>
      </c>
      <c r="C294" s="31" t="s">
        <v>72</v>
      </c>
      <c r="D294" s="69" t="s">
        <v>73</v>
      </c>
      <c r="E294" s="30" t="s">
        <v>74</v>
      </c>
      <c r="F294" s="69" t="s">
        <v>75</v>
      </c>
      <c r="G294" s="69" t="s">
        <v>329</v>
      </c>
      <c r="H294" s="68"/>
      <c r="I294" s="69"/>
      <c r="J294" s="69"/>
      <c r="K294" s="69" t="s">
        <v>1061</v>
      </c>
      <c r="L294" s="73">
        <v>50000000</v>
      </c>
      <c r="M294" s="31" t="s">
        <v>57</v>
      </c>
      <c r="N294" s="31"/>
      <c r="O294" s="69"/>
      <c r="P294" s="30"/>
      <c r="Q294" s="42"/>
      <c r="R294" s="47">
        <f t="shared" si="57"/>
        <v>0</v>
      </c>
      <c r="S294" s="75"/>
      <c r="T294" s="48">
        <f t="shared" si="58"/>
        <v>0</v>
      </c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39"/>
      <c r="AI294" s="39"/>
      <c r="AJ294" s="39"/>
      <c r="AK294" s="39"/>
      <c r="AL294" s="39"/>
      <c r="AM294" s="39"/>
      <c r="AN294" s="39"/>
      <c r="AO294" s="39"/>
      <c r="AP294" s="39"/>
      <c r="AQ294" s="39"/>
      <c r="AR294" s="39"/>
      <c r="AS294" s="30"/>
      <c r="AT294" s="30" t="s">
        <v>80</v>
      </c>
      <c r="AU294" s="30" t="s">
        <v>81</v>
      </c>
      <c r="AV294" s="30"/>
      <c r="AW294" s="30"/>
      <c r="AX294" s="30"/>
      <c r="AY294" s="30"/>
      <c r="AZ294" s="30"/>
      <c r="BA294" s="30"/>
      <c r="BB294" s="30"/>
      <c r="BC294" s="58"/>
      <c r="BD294" s="30"/>
      <c r="BE294" s="55"/>
      <c r="BF294" s="55"/>
      <c r="BG294" s="55"/>
      <c r="BH294" s="55"/>
      <c r="BI294" s="55"/>
      <c r="BJ294" s="64"/>
      <c r="BK294" s="39"/>
      <c r="BL294" s="63">
        <f t="shared" si="66"/>
        <v>0</v>
      </c>
      <c r="BM294" s="63">
        <f t="shared" si="59"/>
        <v>0</v>
      </c>
      <c r="BN294" s="63">
        <f t="shared" si="60"/>
        <v>0</v>
      </c>
      <c r="BO294" s="63">
        <f t="shared" si="61"/>
        <v>0</v>
      </c>
      <c r="BP294" s="63">
        <f t="shared" si="62"/>
        <v>0</v>
      </c>
      <c r="BQ294" s="63">
        <f t="shared" si="63"/>
        <v>0</v>
      </c>
      <c r="BR294" s="63">
        <f t="shared" si="64"/>
        <v>0</v>
      </c>
      <c r="BS294" s="63">
        <f t="shared" si="65"/>
        <v>0</v>
      </c>
    </row>
    <row r="295" spans="1:71">
      <c r="A295" s="28">
        <f t="shared" si="56"/>
        <v>294</v>
      </c>
      <c r="B295" s="31" t="s">
        <v>1062</v>
      </c>
      <c r="C295" s="31" t="s">
        <v>72</v>
      </c>
      <c r="D295" s="69" t="s">
        <v>73</v>
      </c>
      <c r="E295" s="30" t="s">
        <v>74</v>
      </c>
      <c r="F295" s="69" t="s">
        <v>75</v>
      </c>
      <c r="G295" s="69" t="s">
        <v>336</v>
      </c>
      <c r="H295" s="68"/>
      <c r="I295" s="69"/>
      <c r="J295" s="69"/>
      <c r="K295" s="69" t="s">
        <v>1061</v>
      </c>
      <c r="L295" s="73">
        <v>100000000</v>
      </c>
      <c r="M295" s="31" t="s">
        <v>57</v>
      </c>
      <c r="N295" s="31"/>
      <c r="O295" s="69" t="s">
        <v>89</v>
      </c>
      <c r="P295" s="30"/>
      <c r="Q295" s="42"/>
      <c r="R295" s="47">
        <f t="shared" si="57"/>
        <v>0</v>
      </c>
      <c r="S295" s="75"/>
      <c r="T295" s="48">
        <f t="shared" si="58"/>
        <v>0</v>
      </c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39"/>
      <c r="AI295" s="39"/>
      <c r="AJ295" s="39"/>
      <c r="AK295" s="39"/>
      <c r="AL295" s="39"/>
      <c r="AM295" s="39"/>
      <c r="AN295" s="39"/>
      <c r="AO295" s="39"/>
      <c r="AP295" s="39"/>
      <c r="AQ295" s="39"/>
      <c r="AR295" s="39"/>
      <c r="AS295" s="30"/>
      <c r="AT295" s="30" t="s">
        <v>80</v>
      </c>
      <c r="AU295" s="30" t="s">
        <v>81</v>
      </c>
      <c r="AV295" s="30"/>
      <c r="AW295" s="30"/>
      <c r="AX295" s="30"/>
      <c r="AY295" s="30"/>
      <c r="AZ295" s="30"/>
      <c r="BA295" s="30"/>
      <c r="BB295" s="30"/>
      <c r="BC295" s="58"/>
      <c r="BD295" s="30"/>
      <c r="BE295" s="55"/>
      <c r="BF295" s="55"/>
      <c r="BG295" s="55"/>
      <c r="BH295" s="55"/>
      <c r="BI295" s="55"/>
      <c r="BJ295" s="64"/>
      <c r="BK295" s="39"/>
      <c r="BL295" s="63">
        <f t="shared" si="66"/>
        <v>0</v>
      </c>
      <c r="BM295" s="63">
        <f t="shared" si="59"/>
        <v>0</v>
      </c>
      <c r="BN295" s="63">
        <f t="shared" si="60"/>
        <v>0</v>
      </c>
      <c r="BO295" s="63">
        <f t="shared" si="61"/>
        <v>0</v>
      </c>
      <c r="BP295" s="63">
        <f t="shared" si="62"/>
        <v>0</v>
      </c>
      <c r="BQ295" s="63">
        <f t="shared" si="63"/>
        <v>0</v>
      </c>
      <c r="BR295" s="63">
        <f t="shared" si="64"/>
        <v>0</v>
      </c>
      <c r="BS295" s="63">
        <f t="shared" si="65"/>
        <v>0</v>
      </c>
    </row>
    <row r="296" spans="1:71">
      <c r="A296" s="28">
        <f t="shared" si="56"/>
        <v>295</v>
      </c>
      <c r="B296" s="31" t="s">
        <v>1063</v>
      </c>
      <c r="C296" s="31" t="s">
        <v>72</v>
      </c>
      <c r="D296" s="69" t="s">
        <v>73</v>
      </c>
      <c r="E296" s="30" t="s">
        <v>74</v>
      </c>
      <c r="F296" s="69" t="s">
        <v>75</v>
      </c>
      <c r="G296" s="69" t="s">
        <v>336</v>
      </c>
      <c r="H296" s="68"/>
      <c r="I296" s="69"/>
      <c r="J296" s="69"/>
      <c r="K296" s="69" t="s">
        <v>1061</v>
      </c>
      <c r="L296" s="73">
        <v>10000000</v>
      </c>
      <c r="M296" s="31" t="s">
        <v>57</v>
      </c>
      <c r="N296" s="31"/>
      <c r="O296" s="69" t="s">
        <v>89</v>
      </c>
      <c r="P296" s="30"/>
      <c r="Q296" s="42"/>
      <c r="R296" s="47">
        <f t="shared" si="57"/>
        <v>0</v>
      </c>
      <c r="S296" s="75"/>
      <c r="T296" s="48">
        <f t="shared" si="58"/>
        <v>0</v>
      </c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39"/>
      <c r="AI296" s="39"/>
      <c r="AJ296" s="39"/>
      <c r="AK296" s="39"/>
      <c r="AL296" s="39"/>
      <c r="AM296" s="39"/>
      <c r="AN296" s="39"/>
      <c r="AO296" s="39"/>
      <c r="AP296" s="39"/>
      <c r="AQ296" s="39"/>
      <c r="AR296" s="39"/>
      <c r="AS296" s="30"/>
      <c r="AT296" s="30" t="s">
        <v>80</v>
      </c>
      <c r="AU296" s="30" t="s">
        <v>81</v>
      </c>
      <c r="AV296" s="30"/>
      <c r="AW296" s="30"/>
      <c r="AX296" s="30"/>
      <c r="AY296" s="30"/>
      <c r="AZ296" s="30"/>
      <c r="BA296" s="30"/>
      <c r="BB296" s="30"/>
      <c r="BC296" s="58"/>
      <c r="BD296" s="30"/>
      <c r="BE296" s="55"/>
      <c r="BF296" s="55"/>
      <c r="BG296" s="55"/>
      <c r="BH296" s="55"/>
      <c r="BI296" s="55"/>
      <c r="BJ296" s="64"/>
      <c r="BK296" s="39"/>
      <c r="BL296" s="63">
        <f t="shared" si="66"/>
        <v>0</v>
      </c>
      <c r="BM296" s="63">
        <f t="shared" si="59"/>
        <v>0</v>
      </c>
      <c r="BN296" s="63">
        <f t="shared" si="60"/>
        <v>0</v>
      </c>
      <c r="BO296" s="63">
        <f t="shared" si="61"/>
        <v>0</v>
      </c>
      <c r="BP296" s="63">
        <f t="shared" si="62"/>
        <v>0</v>
      </c>
      <c r="BQ296" s="63">
        <f t="shared" si="63"/>
        <v>0</v>
      </c>
      <c r="BR296" s="63">
        <f t="shared" si="64"/>
        <v>0</v>
      </c>
      <c r="BS296" s="63">
        <f t="shared" si="65"/>
        <v>0</v>
      </c>
    </row>
    <row r="297" spans="1:71">
      <c r="A297" s="28">
        <f t="shared" si="56"/>
        <v>296</v>
      </c>
      <c r="B297" s="31" t="s">
        <v>1063</v>
      </c>
      <c r="C297" s="31" t="s">
        <v>72</v>
      </c>
      <c r="D297" s="69" t="s">
        <v>73</v>
      </c>
      <c r="E297" s="30" t="s">
        <v>74</v>
      </c>
      <c r="F297" s="69" t="s">
        <v>75</v>
      </c>
      <c r="G297" s="69" t="s">
        <v>353</v>
      </c>
      <c r="H297" s="68"/>
      <c r="I297" s="69"/>
      <c r="J297" s="69"/>
      <c r="K297" s="69" t="s">
        <v>1061</v>
      </c>
      <c r="L297" s="73">
        <v>10000000</v>
      </c>
      <c r="M297" s="31" t="s">
        <v>57</v>
      </c>
      <c r="N297" s="31"/>
      <c r="O297" s="69" t="s">
        <v>89</v>
      </c>
      <c r="P297" s="30"/>
      <c r="Q297" s="42"/>
      <c r="R297" s="47">
        <f t="shared" si="57"/>
        <v>0</v>
      </c>
      <c r="S297" s="75"/>
      <c r="T297" s="48">
        <f t="shared" si="58"/>
        <v>0</v>
      </c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39"/>
      <c r="AI297" s="39"/>
      <c r="AJ297" s="39"/>
      <c r="AK297" s="39"/>
      <c r="AL297" s="39"/>
      <c r="AM297" s="39"/>
      <c r="AN297" s="39"/>
      <c r="AO297" s="39"/>
      <c r="AP297" s="39"/>
      <c r="AQ297" s="39"/>
      <c r="AR297" s="39"/>
      <c r="AS297" s="30"/>
      <c r="AT297" s="30" t="s">
        <v>80</v>
      </c>
      <c r="AU297" s="30" t="s">
        <v>81</v>
      </c>
      <c r="AV297" s="30"/>
      <c r="AW297" s="30"/>
      <c r="AX297" s="30"/>
      <c r="AY297" s="30"/>
      <c r="AZ297" s="30"/>
      <c r="BA297" s="30"/>
      <c r="BB297" s="30"/>
      <c r="BC297" s="58"/>
      <c r="BD297" s="30"/>
      <c r="BE297" s="55"/>
      <c r="BF297" s="55"/>
      <c r="BG297" s="55"/>
      <c r="BH297" s="55"/>
      <c r="BI297" s="55"/>
      <c r="BJ297" s="64"/>
      <c r="BK297" s="39"/>
      <c r="BL297" s="63">
        <f t="shared" si="66"/>
        <v>0</v>
      </c>
      <c r="BM297" s="63">
        <f t="shared" si="59"/>
        <v>0</v>
      </c>
      <c r="BN297" s="63">
        <f t="shared" si="60"/>
        <v>0</v>
      </c>
      <c r="BO297" s="63">
        <f t="shared" si="61"/>
        <v>0</v>
      </c>
      <c r="BP297" s="63">
        <f t="shared" si="62"/>
        <v>0</v>
      </c>
      <c r="BQ297" s="63">
        <f t="shared" si="63"/>
        <v>0</v>
      </c>
      <c r="BR297" s="63">
        <f t="shared" si="64"/>
        <v>0</v>
      </c>
      <c r="BS297" s="63">
        <f t="shared" si="65"/>
        <v>0</v>
      </c>
    </row>
    <row r="298" spans="1:71">
      <c r="A298" s="28">
        <f t="shared" si="56"/>
        <v>297</v>
      </c>
      <c r="B298" s="31" t="s">
        <v>1064</v>
      </c>
      <c r="C298" s="31" t="s">
        <v>72</v>
      </c>
      <c r="D298" s="69" t="s">
        <v>73</v>
      </c>
      <c r="E298" s="30" t="s">
        <v>74</v>
      </c>
      <c r="F298" s="69" t="s">
        <v>75</v>
      </c>
      <c r="G298" s="69" t="s">
        <v>329</v>
      </c>
      <c r="H298" s="68"/>
      <c r="I298" s="69"/>
      <c r="J298" s="69"/>
      <c r="K298" s="69" t="s">
        <v>1065</v>
      </c>
      <c r="L298" s="73">
        <v>20000000</v>
      </c>
      <c r="M298" s="31" t="s">
        <v>57</v>
      </c>
      <c r="N298" s="31"/>
      <c r="O298" s="69" t="s">
        <v>1058</v>
      </c>
      <c r="P298" s="30"/>
      <c r="Q298" s="42"/>
      <c r="R298" s="47">
        <f t="shared" si="57"/>
        <v>0</v>
      </c>
      <c r="S298" s="75"/>
      <c r="T298" s="48">
        <f t="shared" si="58"/>
        <v>0</v>
      </c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39"/>
      <c r="AI298" s="39"/>
      <c r="AJ298" s="39"/>
      <c r="AK298" s="39"/>
      <c r="AL298" s="39"/>
      <c r="AM298" s="39"/>
      <c r="AN298" s="39"/>
      <c r="AO298" s="39"/>
      <c r="AP298" s="39"/>
      <c r="AQ298" s="39"/>
      <c r="AR298" s="39"/>
      <c r="AS298" s="30"/>
      <c r="AT298" s="30" t="s">
        <v>80</v>
      </c>
      <c r="AU298" s="30" t="s">
        <v>81</v>
      </c>
      <c r="AV298" s="30"/>
      <c r="AW298" s="30"/>
      <c r="AX298" s="30"/>
      <c r="AY298" s="30"/>
      <c r="AZ298" s="30"/>
      <c r="BA298" s="30"/>
      <c r="BB298" s="30"/>
      <c r="BC298" s="58"/>
      <c r="BD298" s="30"/>
      <c r="BE298" s="55"/>
      <c r="BF298" s="55"/>
      <c r="BG298" s="55"/>
      <c r="BH298" s="55"/>
      <c r="BI298" s="55"/>
      <c r="BJ298" s="64"/>
      <c r="BK298" s="39"/>
      <c r="BL298" s="63">
        <f t="shared" si="66"/>
        <v>0</v>
      </c>
      <c r="BM298" s="63">
        <f t="shared" si="59"/>
        <v>0</v>
      </c>
      <c r="BN298" s="63">
        <f t="shared" si="60"/>
        <v>0</v>
      </c>
      <c r="BO298" s="63">
        <f t="shared" si="61"/>
        <v>0</v>
      </c>
      <c r="BP298" s="63">
        <f t="shared" si="62"/>
        <v>0</v>
      </c>
      <c r="BQ298" s="63">
        <f t="shared" si="63"/>
        <v>0</v>
      </c>
      <c r="BR298" s="63">
        <f t="shared" si="64"/>
        <v>0</v>
      </c>
      <c r="BS298" s="63">
        <f t="shared" si="65"/>
        <v>0</v>
      </c>
    </row>
    <row r="299" spans="1:71">
      <c r="A299" s="28">
        <f t="shared" si="56"/>
        <v>298</v>
      </c>
      <c r="B299" s="31" t="s">
        <v>1066</v>
      </c>
      <c r="C299" s="31" t="s">
        <v>72</v>
      </c>
      <c r="D299" s="69" t="s">
        <v>73</v>
      </c>
      <c r="E299" s="30" t="s">
        <v>74</v>
      </c>
      <c r="F299" s="69" t="s">
        <v>75</v>
      </c>
      <c r="G299" s="69" t="s">
        <v>336</v>
      </c>
      <c r="H299" s="68"/>
      <c r="I299" s="69"/>
      <c r="J299" s="69"/>
      <c r="K299" s="69" t="s">
        <v>1061</v>
      </c>
      <c r="L299" s="73">
        <v>2000000</v>
      </c>
      <c r="M299" s="31" t="s">
        <v>79</v>
      </c>
      <c r="N299" s="31"/>
      <c r="O299" s="69" t="s">
        <v>89</v>
      </c>
      <c r="P299" s="30"/>
      <c r="Q299" s="42"/>
      <c r="R299" s="47">
        <f t="shared" si="57"/>
        <v>0</v>
      </c>
      <c r="S299" s="75"/>
      <c r="T299" s="48">
        <f t="shared" si="58"/>
        <v>0</v>
      </c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39"/>
      <c r="AI299" s="39"/>
      <c r="AJ299" s="39"/>
      <c r="AK299" s="39"/>
      <c r="AL299" s="39"/>
      <c r="AM299" s="39"/>
      <c r="AN299" s="39"/>
      <c r="AO299" s="39"/>
      <c r="AP299" s="39"/>
      <c r="AQ299" s="39"/>
      <c r="AR299" s="39"/>
      <c r="AS299" s="30"/>
      <c r="AT299" s="30" t="s">
        <v>80</v>
      </c>
      <c r="AU299" s="30" t="s">
        <v>81</v>
      </c>
      <c r="AV299" s="30"/>
      <c r="AW299" s="30"/>
      <c r="AX299" s="30"/>
      <c r="AY299" s="30"/>
      <c r="AZ299" s="30"/>
      <c r="BA299" s="30"/>
      <c r="BB299" s="30"/>
      <c r="BC299" s="58"/>
      <c r="BD299" s="30"/>
      <c r="BE299" s="55"/>
      <c r="BF299" s="55"/>
      <c r="BG299" s="55"/>
      <c r="BH299" s="55"/>
      <c r="BI299" s="55"/>
      <c r="BJ299" s="64"/>
      <c r="BK299" s="39"/>
      <c r="BL299" s="63">
        <f t="shared" si="66"/>
        <v>0</v>
      </c>
      <c r="BM299" s="63">
        <f t="shared" si="59"/>
        <v>0</v>
      </c>
      <c r="BN299" s="63">
        <f t="shared" si="60"/>
        <v>0</v>
      </c>
      <c r="BO299" s="63">
        <f t="shared" si="61"/>
        <v>0</v>
      </c>
      <c r="BP299" s="63">
        <f t="shared" si="62"/>
        <v>0</v>
      </c>
      <c r="BQ299" s="63">
        <f t="shared" si="63"/>
        <v>0</v>
      </c>
      <c r="BR299" s="63">
        <f t="shared" si="64"/>
        <v>0</v>
      </c>
      <c r="BS299" s="63">
        <f t="shared" si="65"/>
        <v>0</v>
      </c>
    </row>
    <row r="300" spans="1:71">
      <c r="A300" s="28">
        <f t="shared" si="56"/>
        <v>299</v>
      </c>
      <c r="B300" s="31" t="s">
        <v>1067</v>
      </c>
      <c r="C300" s="31" t="s">
        <v>72</v>
      </c>
      <c r="D300" s="69" t="s">
        <v>73</v>
      </c>
      <c r="E300" s="30" t="s">
        <v>74</v>
      </c>
      <c r="F300" s="69" t="s">
        <v>75</v>
      </c>
      <c r="G300" s="69" t="s">
        <v>329</v>
      </c>
      <c r="H300" s="68"/>
      <c r="I300" s="69"/>
      <c r="J300" s="69"/>
      <c r="K300" s="69" t="s">
        <v>1068</v>
      </c>
      <c r="L300" s="73">
        <v>2000000</v>
      </c>
      <c r="M300" s="31" t="s">
        <v>57</v>
      </c>
      <c r="N300" s="31"/>
      <c r="O300" s="69" t="s">
        <v>1069</v>
      </c>
      <c r="P300" s="30"/>
      <c r="Q300" s="42"/>
      <c r="R300" s="47">
        <f t="shared" si="57"/>
        <v>0</v>
      </c>
      <c r="S300" s="75"/>
      <c r="T300" s="48">
        <f t="shared" si="58"/>
        <v>0</v>
      </c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39"/>
      <c r="AI300" s="39"/>
      <c r="AJ300" s="39"/>
      <c r="AK300" s="39"/>
      <c r="AL300" s="39"/>
      <c r="AM300" s="39"/>
      <c r="AN300" s="39"/>
      <c r="AO300" s="39"/>
      <c r="AP300" s="39"/>
      <c r="AQ300" s="39"/>
      <c r="AR300" s="39"/>
      <c r="AS300" s="30"/>
      <c r="AT300" s="30" t="s">
        <v>80</v>
      </c>
      <c r="AU300" s="30" t="s">
        <v>81</v>
      </c>
      <c r="AV300" s="30"/>
      <c r="AW300" s="30"/>
      <c r="AX300" s="30"/>
      <c r="AY300" s="30"/>
      <c r="AZ300" s="30"/>
      <c r="BA300" s="30"/>
      <c r="BB300" s="30"/>
      <c r="BC300" s="58"/>
      <c r="BD300" s="30"/>
      <c r="BE300" s="55"/>
      <c r="BF300" s="55"/>
      <c r="BG300" s="55"/>
      <c r="BH300" s="55"/>
      <c r="BI300" s="55"/>
      <c r="BJ300" s="64"/>
      <c r="BK300" s="39"/>
      <c r="BL300" s="63">
        <f t="shared" si="66"/>
        <v>0</v>
      </c>
      <c r="BM300" s="63">
        <f t="shared" si="59"/>
        <v>0</v>
      </c>
      <c r="BN300" s="63">
        <f t="shared" si="60"/>
        <v>0</v>
      </c>
      <c r="BO300" s="63">
        <f t="shared" si="61"/>
        <v>0</v>
      </c>
      <c r="BP300" s="63">
        <f t="shared" si="62"/>
        <v>0</v>
      </c>
      <c r="BQ300" s="63">
        <f t="shared" si="63"/>
        <v>0</v>
      </c>
      <c r="BR300" s="63">
        <f t="shared" si="64"/>
        <v>0</v>
      </c>
      <c r="BS300" s="63">
        <f t="shared" si="65"/>
        <v>0</v>
      </c>
    </row>
    <row r="301" spans="1:71">
      <c r="A301" s="28">
        <f t="shared" si="56"/>
        <v>300</v>
      </c>
      <c r="B301" s="31" t="s">
        <v>1070</v>
      </c>
      <c r="C301" s="31" t="s">
        <v>72</v>
      </c>
      <c r="D301" s="69" t="s">
        <v>73</v>
      </c>
      <c r="E301" s="30" t="s">
        <v>74</v>
      </c>
      <c r="F301" s="69" t="s">
        <v>75</v>
      </c>
      <c r="G301" s="69" t="s">
        <v>336</v>
      </c>
      <c r="H301" s="68"/>
      <c r="I301" s="69"/>
      <c r="J301" s="69"/>
      <c r="K301" s="69" t="s">
        <v>1068</v>
      </c>
      <c r="L301" s="73">
        <v>2000000</v>
      </c>
      <c r="M301" s="31" t="s">
        <v>57</v>
      </c>
      <c r="N301" s="31"/>
      <c r="O301" s="69"/>
      <c r="P301" s="30"/>
      <c r="Q301" s="42"/>
      <c r="R301" s="47">
        <f t="shared" si="57"/>
        <v>0</v>
      </c>
      <c r="S301" s="75"/>
      <c r="T301" s="48">
        <f t="shared" si="58"/>
        <v>0</v>
      </c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39"/>
      <c r="AI301" s="39"/>
      <c r="AJ301" s="39"/>
      <c r="AK301" s="39"/>
      <c r="AL301" s="39"/>
      <c r="AM301" s="39"/>
      <c r="AN301" s="39"/>
      <c r="AO301" s="39"/>
      <c r="AP301" s="39"/>
      <c r="AQ301" s="39"/>
      <c r="AR301" s="39"/>
      <c r="AS301" s="30"/>
      <c r="AT301" s="30" t="s">
        <v>80</v>
      </c>
      <c r="AU301" s="30" t="s">
        <v>81</v>
      </c>
      <c r="AV301" s="30"/>
      <c r="AW301" s="30"/>
      <c r="AX301" s="30"/>
      <c r="AY301" s="30"/>
      <c r="AZ301" s="30"/>
      <c r="BA301" s="30"/>
      <c r="BB301" s="30"/>
      <c r="BC301" s="58"/>
      <c r="BD301" s="30"/>
      <c r="BE301" s="55"/>
      <c r="BF301" s="55"/>
      <c r="BG301" s="55"/>
      <c r="BH301" s="55"/>
      <c r="BI301" s="55"/>
      <c r="BJ301" s="64"/>
      <c r="BK301" s="39"/>
      <c r="BL301" s="63">
        <f t="shared" si="66"/>
        <v>0</v>
      </c>
      <c r="BM301" s="63">
        <f t="shared" si="59"/>
        <v>0</v>
      </c>
      <c r="BN301" s="63">
        <f t="shared" si="60"/>
        <v>0</v>
      </c>
      <c r="BO301" s="63">
        <f t="shared" si="61"/>
        <v>0</v>
      </c>
      <c r="BP301" s="63">
        <f t="shared" si="62"/>
        <v>0</v>
      </c>
      <c r="BQ301" s="63">
        <f t="shared" si="63"/>
        <v>0</v>
      </c>
      <c r="BR301" s="63">
        <f t="shared" si="64"/>
        <v>0</v>
      </c>
      <c r="BS301" s="63">
        <f t="shared" si="65"/>
        <v>0</v>
      </c>
    </row>
    <row r="302" spans="1:71">
      <c r="A302" s="28">
        <f t="shared" si="56"/>
        <v>301</v>
      </c>
      <c r="B302" s="31" t="s">
        <v>1071</v>
      </c>
      <c r="C302" s="31" t="s">
        <v>72</v>
      </c>
      <c r="D302" s="69" t="s">
        <v>73</v>
      </c>
      <c r="E302" s="30" t="s">
        <v>74</v>
      </c>
      <c r="F302" s="69" t="s">
        <v>75</v>
      </c>
      <c r="G302" s="69" t="s">
        <v>336</v>
      </c>
      <c r="H302" s="68"/>
      <c r="I302" s="69"/>
      <c r="J302" s="69"/>
      <c r="K302" s="69" t="s">
        <v>1061</v>
      </c>
      <c r="L302" s="73"/>
      <c r="M302" s="31" t="s">
        <v>57</v>
      </c>
      <c r="N302" s="31"/>
      <c r="O302" s="69"/>
      <c r="P302" s="30"/>
      <c r="Q302" s="42"/>
      <c r="R302" s="47">
        <f t="shared" si="57"/>
        <v>0</v>
      </c>
      <c r="S302" s="75"/>
      <c r="T302" s="48">
        <f t="shared" si="58"/>
        <v>0</v>
      </c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39"/>
      <c r="AI302" s="39"/>
      <c r="AJ302" s="39"/>
      <c r="AK302" s="39"/>
      <c r="AL302" s="39"/>
      <c r="AM302" s="39"/>
      <c r="AN302" s="39"/>
      <c r="AO302" s="39"/>
      <c r="AP302" s="39"/>
      <c r="AQ302" s="39"/>
      <c r="AR302" s="39"/>
      <c r="AS302" s="30"/>
      <c r="AT302" s="30" t="s">
        <v>80</v>
      </c>
      <c r="AU302" s="30" t="s">
        <v>81</v>
      </c>
      <c r="AV302" s="30"/>
      <c r="AW302" s="30"/>
      <c r="AX302" s="30"/>
      <c r="AY302" s="30"/>
      <c r="AZ302" s="30"/>
      <c r="BA302" s="30"/>
      <c r="BB302" s="30"/>
      <c r="BC302" s="58"/>
      <c r="BD302" s="30"/>
      <c r="BE302" s="55"/>
      <c r="BF302" s="55"/>
      <c r="BG302" s="55"/>
      <c r="BH302" s="55"/>
      <c r="BI302" s="55"/>
      <c r="BJ302" s="64"/>
      <c r="BK302" s="39"/>
      <c r="BL302" s="63">
        <f t="shared" si="66"/>
        <v>0</v>
      </c>
      <c r="BM302" s="63">
        <f t="shared" si="59"/>
        <v>0</v>
      </c>
      <c r="BN302" s="63">
        <f t="shared" si="60"/>
        <v>0</v>
      </c>
      <c r="BO302" s="63">
        <f t="shared" si="61"/>
        <v>0</v>
      </c>
      <c r="BP302" s="63">
        <f t="shared" si="62"/>
        <v>0</v>
      </c>
      <c r="BQ302" s="63">
        <f t="shared" si="63"/>
        <v>0</v>
      </c>
      <c r="BR302" s="63">
        <f t="shared" si="64"/>
        <v>0</v>
      </c>
      <c r="BS302" s="63">
        <f t="shared" si="65"/>
        <v>0</v>
      </c>
    </row>
    <row r="303" spans="1:71">
      <c r="A303" s="28">
        <f t="shared" si="56"/>
        <v>302</v>
      </c>
      <c r="B303" s="30" t="s">
        <v>1072</v>
      </c>
      <c r="C303" s="31" t="s">
        <v>72</v>
      </c>
      <c r="D303" s="69" t="s">
        <v>73</v>
      </c>
      <c r="E303" s="30" t="s">
        <v>74</v>
      </c>
      <c r="F303" s="69" t="s">
        <v>1055</v>
      </c>
      <c r="G303" s="69" t="s">
        <v>218</v>
      </c>
      <c r="H303" s="68" t="s">
        <v>221</v>
      </c>
      <c r="I303" s="69"/>
      <c r="J303" s="69"/>
      <c r="K303" s="69" t="s">
        <v>1073</v>
      </c>
      <c r="L303" s="73">
        <v>600000</v>
      </c>
      <c r="M303" s="39" t="s">
        <v>79</v>
      </c>
      <c r="N303" s="31"/>
      <c r="O303" s="69" t="s">
        <v>1074</v>
      </c>
      <c r="P303" s="74"/>
      <c r="Q303" s="74">
        <v>0.18</v>
      </c>
      <c r="R303" s="47">
        <f t="shared" si="57"/>
        <v>0</v>
      </c>
      <c r="S303" s="75"/>
      <c r="T303" s="48">
        <f t="shared" si="58"/>
        <v>0</v>
      </c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39"/>
      <c r="AI303" s="39"/>
      <c r="AJ303" s="39"/>
      <c r="AK303" s="39"/>
      <c r="AL303" s="39"/>
      <c r="AM303" s="39"/>
      <c r="AN303" s="39"/>
      <c r="AO303" s="39"/>
      <c r="AP303" s="39"/>
      <c r="AQ303" s="39"/>
      <c r="AR303" s="39"/>
      <c r="AS303" s="30" t="s">
        <v>74</v>
      </c>
      <c r="AT303" s="30" t="s">
        <v>80</v>
      </c>
      <c r="AU303" s="30" t="s">
        <v>81</v>
      </c>
      <c r="AV303" s="30" t="s">
        <v>106</v>
      </c>
      <c r="AW303" s="30" t="s">
        <v>661</v>
      </c>
      <c r="AX303" s="30" t="s">
        <v>1075</v>
      </c>
      <c r="AY303" s="30" t="s">
        <v>1076</v>
      </c>
      <c r="AZ303" s="30"/>
      <c r="BA303" s="30"/>
      <c r="BB303" s="30"/>
      <c r="BC303" s="58"/>
      <c r="BD303" s="30"/>
      <c r="BE303" s="30"/>
      <c r="BF303" s="30"/>
      <c r="BG303" s="30"/>
      <c r="BH303" s="30"/>
      <c r="BI303" s="30"/>
      <c r="BJ303" s="31"/>
      <c r="BK303" s="31"/>
      <c r="BL303" s="63">
        <f t="shared" si="66"/>
        <v>0</v>
      </c>
      <c r="BM303" s="63">
        <f t="shared" si="59"/>
        <v>0</v>
      </c>
      <c r="BN303" s="63">
        <f t="shared" si="60"/>
        <v>0</v>
      </c>
      <c r="BO303" s="63">
        <f t="shared" si="61"/>
        <v>0</v>
      </c>
      <c r="BP303" s="63">
        <f t="shared" si="62"/>
        <v>0</v>
      </c>
      <c r="BQ303" s="63">
        <f t="shared" si="63"/>
        <v>0</v>
      </c>
      <c r="BR303" s="63">
        <f t="shared" si="64"/>
        <v>0</v>
      </c>
      <c r="BS303" s="63">
        <f t="shared" si="65"/>
        <v>0</v>
      </c>
    </row>
    <row r="304" spans="1:71">
      <c r="A304" s="28">
        <f t="shared" si="56"/>
        <v>303</v>
      </c>
      <c r="B304" s="29" t="s">
        <v>1077</v>
      </c>
      <c r="C304" s="31" t="s">
        <v>72</v>
      </c>
      <c r="D304" s="29" t="s">
        <v>73</v>
      </c>
      <c r="E304" s="30" t="s">
        <v>74</v>
      </c>
      <c r="F304" s="29" t="s">
        <v>75</v>
      </c>
      <c r="G304" s="29" t="s">
        <v>371</v>
      </c>
      <c r="H304" s="35" t="s">
        <v>372</v>
      </c>
      <c r="I304" s="29"/>
      <c r="J304" s="29"/>
      <c r="K304" s="29" t="s">
        <v>1078</v>
      </c>
      <c r="L304" s="73">
        <v>100000</v>
      </c>
      <c r="M304" s="39" t="s">
        <v>79</v>
      </c>
      <c r="N304" s="31"/>
      <c r="O304" s="29" t="s">
        <v>1079</v>
      </c>
      <c r="P304" s="43"/>
      <c r="Q304" s="74">
        <v>2.1</v>
      </c>
      <c r="R304" s="47">
        <f t="shared" si="57"/>
        <v>0</v>
      </c>
      <c r="S304" s="75"/>
      <c r="T304" s="48">
        <f t="shared" si="58"/>
        <v>0</v>
      </c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39"/>
      <c r="AI304" s="39"/>
      <c r="AJ304" s="39"/>
      <c r="AK304" s="39"/>
      <c r="AL304" s="39"/>
      <c r="AM304" s="39"/>
      <c r="AN304" s="39"/>
      <c r="AO304" s="39"/>
      <c r="AP304" s="39"/>
      <c r="AQ304" s="39"/>
      <c r="AR304" s="39"/>
      <c r="AS304" s="30" t="s">
        <v>74</v>
      </c>
      <c r="AT304" s="30" t="s">
        <v>80</v>
      </c>
      <c r="AU304" s="30" t="s">
        <v>532</v>
      </c>
      <c r="AV304" s="30" t="s">
        <v>117</v>
      </c>
      <c r="AW304" s="30"/>
      <c r="AX304" s="30"/>
      <c r="AY304" s="30"/>
      <c r="AZ304" s="30"/>
      <c r="BA304" s="30"/>
      <c r="BB304" s="30"/>
      <c r="BC304" s="58"/>
      <c r="BD304" s="30"/>
      <c r="BE304" s="55"/>
      <c r="BF304" s="55"/>
      <c r="BG304" s="55"/>
      <c r="BH304" s="55"/>
      <c r="BI304" s="55"/>
      <c r="BJ304" s="64"/>
      <c r="BK304" s="39"/>
      <c r="BL304" s="63">
        <f t="shared" si="66"/>
        <v>0</v>
      </c>
      <c r="BM304" s="63">
        <f t="shared" si="59"/>
        <v>0</v>
      </c>
      <c r="BN304" s="63">
        <f t="shared" si="60"/>
        <v>0</v>
      </c>
      <c r="BO304" s="63">
        <f t="shared" si="61"/>
        <v>0</v>
      </c>
      <c r="BP304" s="63">
        <f t="shared" si="62"/>
        <v>0</v>
      </c>
      <c r="BQ304" s="63">
        <f t="shared" si="63"/>
        <v>0</v>
      </c>
      <c r="BR304" s="63">
        <f t="shared" si="64"/>
        <v>0</v>
      </c>
      <c r="BS304" s="63">
        <f t="shared" si="65"/>
        <v>0</v>
      </c>
    </row>
    <row r="305" spans="1:71">
      <c r="A305" s="28">
        <f t="shared" si="56"/>
        <v>304</v>
      </c>
      <c r="B305" s="29" t="s">
        <v>1080</v>
      </c>
      <c r="C305" s="31" t="s">
        <v>72</v>
      </c>
      <c r="D305" s="69" t="s">
        <v>73</v>
      </c>
      <c r="E305" s="30" t="s">
        <v>74</v>
      </c>
      <c r="F305" s="69" t="s">
        <v>75</v>
      </c>
      <c r="G305" s="69" t="s">
        <v>348</v>
      </c>
      <c r="H305" s="68"/>
      <c r="I305" s="69"/>
      <c r="J305" s="69"/>
      <c r="K305" s="69" t="s">
        <v>991</v>
      </c>
      <c r="L305" s="40"/>
      <c r="M305" s="31" t="s">
        <v>57</v>
      </c>
      <c r="N305" s="31"/>
      <c r="O305" s="69" t="s">
        <v>1081</v>
      </c>
      <c r="P305" s="74"/>
      <c r="Q305" s="74"/>
      <c r="R305" s="47">
        <f t="shared" si="57"/>
        <v>0</v>
      </c>
      <c r="S305" s="31"/>
      <c r="T305" s="48">
        <f t="shared" si="58"/>
        <v>0</v>
      </c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0" t="s">
        <v>74</v>
      </c>
      <c r="AT305" s="30" t="s">
        <v>80</v>
      </c>
      <c r="AU305" s="30" t="s">
        <v>81</v>
      </c>
      <c r="AV305" s="30" t="s">
        <v>82</v>
      </c>
      <c r="AW305" s="30" t="s">
        <v>945</v>
      </c>
      <c r="AX305" s="30" t="s">
        <v>946</v>
      </c>
      <c r="AY305" s="30"/>
      <c r="AZ305" s="31"/>
      <c r="BA305" s="31"/>
      <c r="BB305" s="31"/>
      <c r="BC305" s="31"/>
      <c r="BD305" s="79"/>
      <c r="BE305" s="79"/>
      <c r="BF305" s="79"/>
      <c r="BG305" s="79"/>
      <c r="BH305" s="79"/>
      <c r="BI305" s="79"/>
      <c r="BJ305" s="31"/>
      <c r="BK305" s="31"/>
      <c r="BL305" s="63">
        <f t="shared" si="66"/>
        <v>0</v>
      </c>
      <c r="BM305" s="63">
        <f t="shared" si="59"/>
        <v>0</v>
      </c>
      <c r="BN305" s="63">
        <f t="shared" si="60"/>
        <v>0</v>
      </c>
      <c r="BO305" s="63">
        <f t="shared" si="61"/>
        <v>0</v>
      </c>
      <c r="BP305" s="63">
        <f t="shared" si="62"/>
        <v>0</v>
      </c>
      <c r="BQ305" s="63">
        <f t="shared" si="63"/>
        <v>0</v>
      </c>
      <c r="BR305" s="63">
        <f t="shared" si="64"/>
        <v>0</v>
      </c>
      <c r="BS305" s="63">
        <f t="shared" si="65"/>
        <v>0</v>
      </c>
    </row>
    <row r="306" spans="1:71">
      <c r="A306" s="28">
        <f t="shared" si="56"/>
        <v>305</v>
      </c>
      <c r="B306" s="30" t="s">
        <v>1082</v>
      </c>
      <c r="C306" s="31" t="s">
        <v>72</v>
      </c>
      <c r="D306" s="69" t="s">
        <v>73</v>
      </c>
      <c r="E306" s="30" t="s">
        <v>74</v>
      </c>
      <c r="F306" s="69" t="s">
        <v>75</v>
      </c>
      <c r="G306" s="30" t="s">
        <v>507</v>
      </c>
      <c r="H306" s="35"/>
      <c r="I306" s="30"/>
      <c r="J306" s="30"/>
      <c r="K306" s="69" t="s">
        <v>1083</v>
      </c>
      <c r="L306" s="40">
        <v>30000000</v>
      </c>
      <c r="M306" s="30" t="s">
        <v>56</v>
      </c>
      <c r="N306" s="31"/>
      <c r="O306" s="30" t="s">
        <v>1084</v>
      </c>
      <c r="P306" s="42"/>
      <c r="Q306" s="42">
        <v>0.17</v>
      </c>
      <c r="R306" s="47">
        <f t="shared" si="57"/>
        <v>0</v>
      </c>
      <c r="S306" s="31"/>
      <c r="T306" s="48">
        <f t="shared" si="58"/>
        <v>0</v>
      </c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0" t="s">
        <v>74</v>
      </c>
      <c r="AT306" s="30" t="s">
        <v>80</v>
      </c>
      <c r="AU306" s="30" t="s">
        <v>573</v>
      </c>
      <c r="AV306" s="30" t="s">
        <v>82</v>
      </c>
      <c r="AW306" s="30"/>
      <c r="AX306" s="30"/>
      <c r="AY306" s="30"/>
      <c r="AZ306" s="31"/>
      <c r="BA306" s="31"/>
      <c r="BB306" s="31"/>
      <c r="BC306" s="31"/>
      <c r="BD306" s="79"/>
      <c r="BE306" s="79"/>
      <c r="BF306" s="79"/>
      <c r="BG306" s="79"/>
      <c r="BH306" s="79"/>
      <c r="BI306" s="79"/>
      <c r="BJ306" s="31"/>
      <c r="BK306" s="31"/>
      <c r="BL306" s="63">
        <f t="shared" si="66"/>
        <v>0</v>
      </c>
      <c r="BM306" s="63">
        <f t="shared" si="59"/>
        <v>0</v>
      </c>
      <c r="BN306" s="63">
        <f t="shared" si="60"/>
        <v>0</v>
      </c>
      <c r="BO306" s="63">
        <f t="shared" si="61"/>
        <v>0</v>
      </c>
      <c r="BP306" s="63">
        <f t="shared" si="62"/>
        <v>0</v>
      </c>
      <c r="BQ306" s="63">
        <f t="shared" si="63"/>
        <v>0</v>
      </c>
      <c r="BR306" s="63">
        <f t="shared" si="64"/>
        <v>0</v>
      </c>
      <c r="BS306" s="63">
        <f t="shared" si="65"/>
        <v>0</v>
      </c>
    </row>
    <row r="307" spans="1:71">
      <c r="A307" s="28">
        <f t="shared" si="56"/>
        <v>306</v>
      </c>
      <c r="B307" s="29" t="s">
        <v>1085</v>
      </c>
      <c r="C307" s="31" t="s">
        <v>72</v>
      </c>
      <c r="D307" s="69" t="s">
        <v>73</v>
      </c>
      <c r="E307" s="30" t="s">
        <v>74</v>
      </c>
      <c r="F307" s="30" t="s">
        <v>75</v>
      </c>
      <c r="G307" s="30" t="s">
        <v>336</v>
      </c>
      <c r="H307" s="35"/>
      <c r="I307" s="30"/>
      <c r="J307" s="30"/>
      <c r="K307" s="30" t="s">
        <v>1086</v>
      </c>
      <c r="L307" s="40"/>
      <c r="M307" s="30" t="s">
        <v>56</v>
      </c>
      <c r="N307" s="31"/>
      <c r="O307" s="30" t="s">
        <v>972</v>
      </c>
      <c r="P307" s="42"/>
      <c r="Q307" s="42"/>
      <c r="R307" s="47">
        <f t="shared" si="57"/>
        <v>0</v>
      </c>
      <c r="S307" s="31"/>
      <c r="T307" s="48">
        <f t="shared" si="58"/>
        <v>0</v>
      </c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0" t="s">
        <v>74</v>
      </c>
      <c r="AT307" s="30" t="s">
        <v>80</v>
      </c>
      <c r="AU307" s="30" t="s">
        <v>81</v>
      </c>
      <c r="AV307" s="30" t="s">
        <v>82</v>
      </c>
      <c r="AW307" s="30"/>
      <c r="AX307" s="30"/>
      <c r="AY307" s="30"/>
      <c r="AZ307" s="31"/>
      <c r="BA307" s="31"/>
      <c r="BB307" s="31"/>
      <c r="BC307" s="31"/>
      <c r="BD307" s="79"/>
      <c r="BE307" s="79"/>
      <c r="BF307" s="79"/>
      <c r="BG307" s="79"/>
      <c r="BH307" s="79"/>
      <c r="BI307" s="79"/>
      <c r="BJ307" s="31"/>
      <c r="BK307" s="31"/>
      <c r="BL307" s="63">
        <f t="shared" si="66"/>
        <v>0</v>
      </c>
      <c r="BM307" s="63">
        <f t="shared" si="59"/>
        <v>0</v>
      </c>
      <c r="BN307" s="63">
        <f t="shared" si="60"/>
        <v>0</v>
      </c>
      <c r="BO307" s="63">
        <f t="shared" si="61"/>
        <v>0</v>
      </c>
      <c r="BP307" s="63">
        <f t="shared" si="62"/>
        <v>0</v>
      </c>
      <c r="BQ307" s="63">
        <f t="shared" si="63"/>
        <v>0</v>
      </c>
      <c r="BR307" s="63">
        <f t="shared" si="64"/>
        <v>0</v>
      </c>
      <c r="BS307" s="63">
        <f t="shared" si="65"/>
        <v>0</v>
      </c>
    </row>
    <row r="308" spans="1:71">
      <c r="A308" s="28">
        <f t="shared" si="56"/>
        <v>307</v>
      </c>
      <c r="B308" s="31" t="s">
        <v>1087</v>
      </c>
      <c r="C308" s="31" t="s">
        <v>527</v>
      </c>
      <c r="D308" s="30" t="s">
        <v>1008</v>
      </c>
      <c r="E308" s="30" t="s">
        <v>74</v>
      </c>
      <c r="F308" s="30" t="s">
        <v>1009</v>
      </c>
      <c r="G308" s="30" t="s">
        <v>346</v>
      </c>
      <c r="H308" s="35"/>
      <c r="I308" s="30"/>
      <c r="J308" s="30"/>
      <c r="K308" s="30" t="s">
        <v>1088</v>
      </c>
      <c r="L308" s="40">
        <v>25000000</v>
      </c>
      <c r="M308" s="30" t="s">
        <v>1089</v>
      </c>
      <c r="N308" s="30" t="s">
        <v>1090</v>
      </c>
      <c r="O308" s="30"/>
      <c r="P308" s="30"/>
      <c r="Q308" s="42"/>
      <c r="R308" s="47">
        <f t="shared" si="57"/>
        <v>0</v>
      </c>
      <c r="S308" s="30"/>
      <c r="T308" s="48">
        <f t="shared" si="58"/>
        <v>0</v>
      </c>
      <c r="U308" s="40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 t="s">
        <v>74</v>
      </c>
      <c r="AT308" s="30" t="s">
        <v>80</v>
      </c>
      <c r="AU308" s="30" t="s">
        <v>81</v>
      </c>
      <c r="AV308" s="30" t="s">
        <v>581</v>
      </c>
      <c r="AW308" s="30" t="s">
        <v>588</v>
      </c>
      <c r="AX308" s="30"/>
      <c r="AY308" s="30"/>
      <c r="AZ308" s="31"/>
      <c r="BA308" s="31"/>
      <c r="BB308" s="31"/>
      <c r="BC308" s="31"/>
      <c r="BD308" s="79"/>
      <c r="BE308" s="79"/>
      <c r="BF308" s="79"/>
      <c r="BG308" s="79"/>
      <c r="BH308" s="79"/>
      <c r="BI308" s="79"/>
      <c r="BJ308" s="31"/>
      <c r="BK308" s="31"/>
      <c r="BL308" s="63">
        <f t="shared" si="66"/>
        <v>0</v>
      </c>
      <c r="BM308" s="63">
        <f t="shared" si="59"/>
        <v>0</v>
      </c>
      <c r="BN308" s="63">
        <f t="shared" si="60"/>
        <v>0</v>
      </c>
      <c r="BO308" s="63">
        <f t="shared" si="61"/>
        <v>0</v>
      </c>
      <c r="BP308" s="63">
        <f t="shared" si="62"/>
        <v>0</v>
      </c>
      <c r="BQ308" s="63">
        <f t="shared" si="63"/>
        <v>0</v>
      </c>
      <c r="BR308" s="63">
        <f t="shared" si="64"/>
        <v>0</v>
      </c>
      <c r="BS308" s="63">
        <f t="shared" si="65"/>
        <v>0</v>
      </c>
    </row>
    <row r="309" spans="1:71">
      <c r="A309" s="28">
        <f t="shared" si="56"/>
        <v>308</v>
      </c>
      <c r="B309" s="31" t="s">
        <v>1091</v>
      </c>
      <c r="C309" s="31" t="s">
        <v>92</v>
      </c>
      <c r="D309" s="30" t="s">
        <v>1008</v>
      </c>
      <c r="E309" s="30" t="s">
        <v>74</v>
      </c>
      <c r="F309" s="30" t="s">
        <v>1009</v>
      </c>
      <c r="G309" s="30" t="s">
        <v>195</v>
      </c>
      <c r="H309" s="68" t="s">
        <v>196</v>
      </c>
      <c r="I309" s="30"/>
      <c r="J309" s="30"/>
      <c r="K309" s="30" t="s">
        <v>1092</v>
      </c>
      <c r="L309" s="40">
        <v>1500000</v>
      </c>
      <c r="M309" s="30" t="s">
        <v>57</v>
      </c>
      <c r="N309" s="30" t="s">
        <v>1093</v>
      </c>
      <c r="O309" s="31"/>
      <c r="P309" s="31"/>
      <c r="Q309" s="42">
        <v>0.13</v>
      </c>
      <c r="R309" s="47">
        <f t="shared" si="57"/>
        <v>18200</v>
      </c>
      <c r="S309" s="31"/>
      <c r="T309" s="48">
        <f t="shared" si="58"/>
        <v>140000</v>
      </c>
      <c r="U309" s="39"/>
      <c r="V309" s="39"/>
      <c r="W309" s="31"/>
      <c r="X309" s="39">
        <v>20000</v>
      </c>
      <c r="Y309" s="39">
        <v>20000</v>
      </c>
      <c r="Z309" s="39">
        <v>20000</v>
      </c>
      <c r="AA309" s="39">
        <v>20000</v>
      </c>
      <c r="AB309" s="39">
        <v>20000</v>
      </c>
      <c r="AC309" s="39">
        <v>20000</v>
      </c>
      <c r="AD309" s="39">
        <v>20000</v>
      </c>
      <c r="AE309" s="39">
        <v>20000</v>
      </c>
      <c r="AF309" s="39">
        <v>20000</v>
      </c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0" t="s">
        <v>74</v>
      </c>
      <c r="AT309" s="30" t="s">
        <v>80</v>
      </c>
      <c r="AU309" s="30" t="s">
        <v>81</v>
      </c>
      <c r="AV309" s="30" t="s">
        <v>581</v>
      </c>
      <c r="AW309" s="31"/>
      <c r="AX309" s="31"/>
      <c r="AY309" s="31"/>
      <c r="AZ309" s="31"/>
      <c r="BA309" s="31"/>
      <c r="BB309" s="31"/>
      <c r="BC309" s="31"/>
      <c r="BD309" s="79"/>
      <c r="BE309" s="79"/>
      <c r="BF309" s="79"/>
      <c r="BG309" s="79"/>
      <c r="BH309" s="79"/>
      <c r="BI309" s="79"/>
      <c r="BJ309" s="31"/>
      <c r="BK309" s="31"/>
      <c r="BL309" s="63">
        <f t="shared" si="66"/>
        <v>2600</v>
      </c>
      <c r="BM309" s="63">
        <f t="shared" si="59"/>
        <v>2600</v>
      </c>
      <c r="BN309" s="63">
        <f t="shared" si="60"/>
        <v>2600</v>
      </c>
      <c r="BO309" s="63">
        <f t="shared" si="61"/>
        <v>2600</v>
      </c>
      <c r="BP309" s="63">
        <f t="shared" si="62"/>
        <v>2600</v>
      </c>
      <c r="BQ309" s="63">
        <f t="shared" si="63"/>
        <v>2600</v>
      </c>
      <c r="BR309" s="63">
        <f t="shared" si="64"/>
        <v>2600</v>
      </c>
      <c r="BS309" s="63">
        <f t="shared" si="65"/>
        <v>2600</v>
      </c>
    </row>
    <row r="310" spans="1:71">
      <c r="A310" s="28">
        <f t="shared" si="56"/>
        <v>309</v>
      </c>
      <c r="B310" s="31" t="s">
        <v>1094</v>
      </c>
      <c r="C310" s="31" t="s">
        <v>72</v>
      </c>
      <c r="D310" s="30" t="s">
        <v>1008</v>
      </c>
      <c r="E310" s="30" t="s">
        <v>74</v>
      </c>
      <c r="F310" s="31"/>
      <c r="G310" s="30" t="s">
        <v>210</v>
      </c>
      <c r="H310" s="68" t="s">
        <v>215</v>
      </c>
      <c r="I310" s="30"/>
      <c r="J310" s="30"/>
      <c r="K310" s="30" t="s">
        <v>1095</v>
      </c>
      <c r="L310" s="31"/>
      <c r="M310" s="30" t="s">
        <v>57</v>
      </c>
      <c r="N310" s="30" t="s">
        <v>1096</v>
      </c>
      <c r="O310" s="31"/>
      <c r="P310" s="31"/>
      <c r="Q310" s="42">
        <v>0.17</v>
      </c>
      <c r="R310" s="47">
        <f t="shared" si="57"/>
        <v>0</v>
      </c>
      <c r="S310" s="31"/>
      <c r="T310" s="48">
        <f t="shared" si="58"/>
        <v>0</v>
      </c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0" t="s">
        <v>74</v>
      </c>
      <c r="AT310" s="30" t="s">
        <v>80</v>
      </c>
      <c r="AU310" s="30" t="s">
        <v>81</v>
      </c>
      <c r="AV310" s="30" t="s">
        <v>82</v>
      </c>
      <c r="AW310" s="31"/>
      <c r="AX310" s="31"/>
      <c r="AY310" s="31"/>
      <c r="AZ310" s="31"/>
      <c r="BA310" s="31"/>
      <c r="BB310" s="31"/>
      <c r="BC310" s="31"/>
      <c r="BD310" s="79"/>
      <c r="BE310" s="79"/>
      <c r="BF310" s="79"/>
      <c r="BG310" s="79"/>
      <c r="BH310" s="79"/>
      <c r="BI310" s="79"/>
      <c r="BJ310" s="31"/>
      <c r="BK310" s="31"/>
      <c r="BL310" s="63">
        <f t="shared" si="66"/>
        <v>0</v>
      </c>
      <c r="BM310" s="63">
        <f t="shared" si="59"/>
        <v>0</v>
      </c>
      <c r="BN310" s="63">
        <f t="shared" si="60"/>
        <v>0</v>
      </c>
      <c r="BO310" s="63">
        <f t="shared" si="61"/>
        <v>0</v>
      </c>
      <c r="BP310" s="63">
        <f t="shared" si="62"/>
        <v>0</v>
      </c>
      <c r="BQ310" s="63">
        <f t="shared" si="63"/>
        <v>0</v>
      </c>
      <c r="BR310" s="63">
        <f t="shared" si="64"/>
        <v>0</v>
      </c>
      <c r="BS310" s="63">
        <f t="shared" si="65"/>
        <v>0</v>
      </c>
    </row>
    <row r="311" spans="1:71">
      <c r="A311" s="28">
        <f t="shared" si="56"/>
        <v>310</v>
      </c>
      <c r="B311" s="30" t="s">
        <v>1097</v>
      </c>
      <c r="C311" s="30" t="s">
        <v>92</v>
      </c>
      <c r="D311" s="30" t="s">
        <v>610</v>
      </c>
      <c r="E311" s="30" t="s">
        <v>74</v>
      </c>
      <c r="F311" s="31"/>
      <c r="G311" s="30" t="s">
        <v>165</v>
      </c>
      <c r="H311" s="35" t="s">
        <v>166</v>
      </c>
      <c r="I311" s="30"/>
      <c r="J311" s="30"/>
      <c r="K311" s="31" t="s">
        <v>853</v>
      </c>
      <c r="L311" s="40">
        <v>400000</v>
      </c>
      <c r="M311" s="39" t="s">
        <v>79</v>
      </c>
      <c r="N311" s="31"/>
      <c r="O311" s="31"/>
      <c r="P311" s="31"/>
      <c r="Q311" s="31">
        <v>0.4</v>
      </c>
      <c r="R311" s="47">
        <f t="shared" si="57"/>
        <v>84000</v>
      </c>
      <c r="S311" s="31"/>
      <c r="T311" s="48">
        <f t="shared" si="58"/>
        <v>210000</v>
      </c>
      <c r="U311" s="31"/>
      <c r="V311" s="31"/>
      <c r="W311" s="31"/>
      <c r="X311" s="40">
        <v>30000</v>
      </c>
      <c r="Y311" s="40">
        <v>30000</v>
      </c>
      <c r="Z311" s="40">
        <v>30000</v>
      </c>
      <c r="AA311" s="40">
        <v>30000</v>
      </c>
      <c r="AB311" s="40">
        <v>30000</v>
      </c>
      <c r="AC311" s="40">
        <v>30000</v>
      </c>
      <c r="AD311" s="40">
        <v>30000</v>
      </c>
      <c r="AE311" s="40">
        <v>30000</v>
      </c>
      <c r="AF311" s="40">
        <v>30000</v>
      </c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0" t="s">
        <v>74</v>
      </c>
      <c r="AT311" s="30" t="s">
        <v>80</v>
      </c>
      <c r="AU311" s="30" t="s">
        <v>81</v>
      </c>
      <c r="AV311" s="30" t="s">
        <v>117</v>
      </c>
      <c r="AW311" s="30" t="s">
        <v>143</v>
      </c>
      <c r="AX311" s="30" t="s">
        <v>960</v>
      </c>
      <c r="AY311" s="30" t="s">
        <v>961</v>
      </c>
      <c r="AZ311" s="31"/>
      <c r="BA311" s="31"/>
      <c r="BB311" s="31"/>
      <c r="BC311" s="31"/>
      <c r="BD311" s="79"/>
      <c r="BE311" s="79"/>
      <c r="BF311" s="79"/>
      <c r="BG311" s="79"/>
      <c r="BH311" s="79"/>
      <c r="BI311" s="79"/>
      <c r="BJ311" s="31"/>
      <c r="BK311" s="31"/>
      <c r="BL311" s="63">
        <f t="shared" si="66"/>
        <v>12000</v>
      </c>
      <c r="BM311" s="63">
        <f t="shared" si="59"/>
        <v>12000</v>
      </c>
      <c r="BN311" s="63">
        <f t="shared" si="60"/>
        <v>12000</v>
      </c>
      <c r="BO311" s="63">
        <f t="shared" si="61"/>
        <v>12000</v>
      </c>
      <c r="BP311" s="63">
        <f t="shared" si="62"/>
        <v>12000</v>
      </c>
      <c r="BQ311" s="63">
        <f t="shared" si="63"/>
        <v>12000</v>
      </c>
      <c r="BR311" s="63">
        <f t="shared" si="64"/>
        <v>12000</v>
      </c>
      <c r="BS311" s="63">
        <f t="shared" si="65"/>
        <v>12000</v>
      </c>
    </row>
    <row r="312" spans="1:71">
      <c r="A312" s="28">
        <f t="shared" si="56"/>
        <v>311</v>
      </c>
      <c r="B312" s="31" t="s">
        <v>1003</v>
      </c>
      <c r="C312" s="30" t="s">
        <v>92</v>
      </c>
      <c r="D312" s="30" t="s">
        <v>610</v>
      </c>
      <c r="E312" s="30" t="s">
        <v>74</v>
      </c>
      <c r="F312" s="31"/>
      <c r="G312" s="30" t="s">
        <v>225</v>
      </c>
      <c r="H312" s="35" t="s">
        <v>226</v>
      </c>
      <c r="I312" s="30"/>
      <c r="J312" s="30"/>
      <c r="K312" s="31" t="s">
        <v>1004</v>
      </c>
      <c r="L312" s="40">
        <v>100000</v>
      </c>
      <c r="M312" s="39" t="s">
        <v>79</v>
      </c>
      <c r="N312" s="31"/>
      <c r="O312" s="31"/>
      <c r="P312" s="31"/>
      <c r="Q312" s="31">
        <v>0.5</v>
      </c>
      <c r="R312" s="47">
        <f t="shared" si="57"/>
        <v>35000</v>
      </c>
      <c r="S312" s="31"/>
      <c r="T312" s="48">
        <f t="shared" si="58"/>
        <v>70000</v>
      </c>
      <c r="U312" s="31"/>
      <c r="V312" s="31"/>
      <c r="W312" s="31"/>
      <c r="X312" s="40"/>
      <c r="Y312" s="40"/>
      <c r="Z312" s="40">
        <v>10000</v>
      </c>
      <c r="AA312" s="40">
        <v>10000</v>
      </c>
      <c r="AB312" s="40">
        <v>10000</v>
      </c>
      <c r="AC312" s="40">
        <v>10000</v>
      </c>
      <c r="AD312" s="40">
        <v>10000</v>
      </c>
      <c r="AE312" s="40">
        <v>10000</v>
      </c>
      <c r="AF312" s="40">
        <v>10000</v>
      </c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0" t="s">
        <v>74</v>
      </c>
      <c r="AT312" s="30" t="s">
        <v>80</v>
      </c>
      <c r="AU312" s="30" t="s">
        <v>81</v>
      </c>
      <c r="AV312" s="30" t="s">
        <v>117</v>
      </c>
      <c r="AW312" s="31"/>
      <c r="AX312" s="31"/>
      <c r="AY312" s="31"/>
      <c r="AZ312" s="31"/>
      <c r="BA312" s="31"/>
      <c r="BB312" s="31"/>
      <c r="BC312" s="31"/>
      <c r="BD312" s="79"/>
      <c r="BE312" s="79"/>
      <c r="BF312" s="79"/>
      <c r="BG312" s="79"/>
      <c r="BH312" s="79"/>
      <c r="BI312" s="79"/>
      <c r="BJ312" s="31"/>
      <c r="BK312" s="31"/>
      <c r="BL312" s="63">
        <f t="shared" si="66"/>
        <v>0</v>
      </c>
      <c r="BM312" s="63">
        <f t="shared" si="59"/>
        <v>5000</v>
      </c>
      <c r="BN312" s="63">
        <f t="shared" si="60"/>
        <v>5000</v>
      </c>
      <c r="BO312" s="63">
        <f t="shared" si="61"/>
        <v>5000</v>
      </c>
      <c r="BP312" s="63">
        <f t="shared" si="62"/>
        <v>5000</v>
      </c>
      <c r="BQ312" s="63">
        <f t="shared" si="63"/>
        <v>5000</v>
      </c>
      <c r="BR312" s="63">
        <f t="shared" si="64"/>
        <v>5000</v>
      </c>
      <c r="BS312" s="63">
        <f t="shared" si="65"/>
        <v>5000</v>
      </c>
    </row>
    <row r="313" spans="1:71">
      <c r="A313" s="28">
        <f t="shared" si="56"/>
        <v>312</v>
      </c>
      <c r="B313" s="31" t="s">
        <v>1098</v>
      </c>
      <c r="C313" s="31" t="s">
        <v>92</v>
      </c>
      <c r="D313" s="31" t="s">
        <v>1099</v>
      </c>
      <c r="E313" s="30" t="s">
        <v>74</v>
      </c>
      <c r="F313" s="31"/>
      <c r="G313" s="31" t="s">
        <v>210</v>
      </c>
      <c r="H313" s="68" t="s">
        <v>215</v>
      </c>
      <c r="I313" s="31"/>
      <c r="J313" s="31"/>
      <c r="K313" s="31" t="s">
        <v>949</v>
      </c>
      <c r="L313" s="31"/>
      <c r="M313" s="39" t="s">
        <v>79</v>
      </c>
      <c r="N313" s="31"/>
      <c r="O313" s="31"/>
      <c r="P313" s="31"/>
      <c r="Q313" s="31">
        <v>0.13</v>
      </c>
      <c r="R313" s="47">
        <f t="shared" si="57"/>
        <v>728000</v>
      </c>
      <c r="S313" s="31"/>
      <c r="T313" s="48">
        <f t="shared" si="58"/>
        <v>5600000</v>
      </c>
      <c r="U313" s="31"/>
      <c r="V313" s="31"/>
      <c r="W313" s="31"/>
      <c r="X313" s="40">
        <v>800000</v>
      </c>
      <c r="Y313" s="40">
        <v>800000</v>
      </c>
      <c r="Z313" s="40">
        <v>800000</v>
      </c>
      <c r="AA313" s="40">
        <v>800000</v>
      </c>
      <c r="AB313" s="40">
        <v>800000</v>
      </c>
      <c r="AC313" s="40">
        <v>800000</v>
      </c>
      <c r="AD313" s="40">
        <v>800000</v>
      </c>
      <c r="AE313" s="40">
        <v>800000</v>
      </c>
      <c r="AF313" s="40">
        <v>800000</v>
      </c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0" t="s">
        <v>74</v>
      </c>
      <c r="AT313" s="30" t="s">
        <v>80</v>
      </c>
      <c r="AU313" s="30" t="s">
        <v>81</v>
      </c>
      <c r="AV313" s="30" t="s">
        <v>82</v>
      </c>
      <c r="AW313" s="31"/>
      <c r="AX313" s="31"/>
      <c r="AY313" s="31"/>
      <c r="AZ313" s="31"/>
      <c r="BA313" s="31"/>
      <c r="BB313" s="31"/>
      <c r="BC313" s="31"/>
      <c r="BD313" s="79"/>
      <c r="BE313" s="79"/>
      <c r="BF313" s="79"/>
      <c r="BG313" s="79"/>
      <c r="BH313" s="79"/>
      <c r="BI313" s="79"/>
      <c r="BJ313" s="31"/>
      <c r="BK313" s="31"/>
      <c r="BL313" s="63">
        <f t="shared" si="66"/>
        <v>104000</v>
      </c>
      <c r="BM313" s="63">
        <f t="shared" si="59"/>
        <v>104000</v>
      </c>
      <c r="BN313" s="63">
        <f t="shared" si="60"/>
        <v>104000</v>
      </c>
      <c r="BO313" s="63">
        <f t="shared" si="61"/>
        <v>104000</v>
      </c>
      <c r="BP313" s="63">
        <f t="shared" si="62"/>
        <v>104000</v>
      </c>
      <c r="BQ313" s="63">
        <f t="shared" si="63"/>
        <v>104000</v>
      </c>
      <c r="BR313" s="63">
        <f t="shared" si="64"/>
        <v>104000</v>
      </c>
      <c r="BS313" s="63">
        <f t="shared" si="65"/>
        <v>104000</v>
      </c>
    </row>
    <row r="314" spans="1:71">
      <c r="A314" s="28">
        <f t="shared" si="56"/>
        <v>313</v>
      </c>
      <c r="B314" s="31" t="s">
        <v>1100</v>
      </c>
      <c r="C314" s="31" t="s">
        <v>92</v>
      </c>
      <c r="D314" s="31" t="s">
        <v>1099</v>
      </c>
      <c r="E314" s="30" t="s">
        <v>74</v>
      </c>
      <c r="F314" s="31"/>
      <c r="G314" s="31" t="s">
        <v>210</v>
      </c>
      <c r="H314" s="68" t="s">
        <v>215</v>
      </c>
      <c r="I314" s="31"/>
      <c r="J314" s="31"/>
      <c r="K314" s="31" t="s">
        <v>1101</v>
      </c>
      <c r="L314" s="31"/>
      <c r="M314" s="39" t="s">
        <v>79</v>
      </c>
      <c r="N314" s="31"/>
      <c r="O314" s="31"/>
      <c r="P314" s="31"/>
      <c r="Q314" s="31">
        <v>0.13</v>
      </c>
      <c r="R314" s="47">
        <f t="shared" si="57"/>
        <v>455000</v>
      </c>
      <c r="S314" s="31"/>
      <c r="T314" s="48">
        <f t="shared" si="58"/>
        <v>3500000</v>
      </c>
      <c r="U314" s="31"/>
      <c r="V314" s="31"/>
      <c r="W314" s="31"/>
      <c r="X314" s="40">
        <v>500000</v>
      </c>
      <c r="Y314" s="40">
        <v>500000</v>
      </c>
      <c r="Z314" s="40">
        <v>500000</v>
      </c>
      <c r="AA314" s="40">
        <v>500000</v>
      </c>
      <c r="AB314" s="40">
        <v>500000</v>
      </c>
      <c r="AC314" s="40">
        <v>500000</v>
      </c>
      <c r="AD314" s="40">
        <v>500000</v>
      </c>
      <c r="AE314" s="40">
        <v>500000</v>
      </c>
      <c r="AF314" s="40">
        <v>500000</v>
      </c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0" t="s">
        <v>74</v>
      </c>
      <c r="AT314" s="30" t="s">
        <v>80</v>
      </c>
      <c r="AU314" s="30" t="s">
        <v>81</v>
      </c>
      <c r="AV314" s="30" t="s">
        <v>82</v>
      </c>
      <c r="AW314" s="31"/>
      <c r="AX314" s="31"/>
      <c r="AY314" s="31"/>
      <c r="AZ314" s="31"/>
      <c r="BA314" s="31"/>
      <c r="BB314" s="31"/>
      <c r="BC314" s="31"/>
      <c r="BD314" s="79"/>
      <c r="BE314" s="79"/>
      <c r="BF314" s="79"/>
      <c r="BG314" s="79"/>
      <c r="BH314" s="79"/>
      <c r="BI314" s="79"/>
      <c r="BJ314" s="31"/>
      <c r="BK314" s="31"/>
      <c r="BL314" s="63">
        <f t="shared" si="66"/>
        <v>65000</v>
      </c>
      <c r="BM314" s="63">
        <f t="shared" si="59"/>
        <v>65000</v>
      </c>
      <c r="BN314" s="63">
        <f t="shared" si="60"/>
        <v>65000</v>
      </c>
      <c r="BO314" s="63">
        <f t="shared" si="61"/>
        <v>65000</v>
      </c>
      <c r="BP314" s="63">
        <f t="shared" si="62"/>
        <v>65000</v>
      </c>
      <c r="BQ314" s="63">
        <f t="shared" si="63"/>
        <v>65000</v>
      </c>
      <c r="BR314" s="63">
        <f t="shared" si="64"/>
        <v>65000</v>
      </c>
      <c r="BS314" s="63">
        <f t="shared" si="65"/>
        <v>65000</v>
      </c>
    </row>
    <row r="315" spans="1:71">
      <c r="A315" s="28">
        <f t="shared" si="56"/>
        <v>314</v>
      </c>
      <c r="B315" s="31" t="s">
        <v>1102</v>
      </c>
      <c r="C315" s="31" t="s">
        <v>527</v>
      </c>
      <c r="D315" s="31" t="s">
        <v>1103</v>
      </c>
      <c r="E315" s="31" t="s">
        <v>93</v>
      </c>
      <c r="F315" s="31" t="s">
        <v>93</v>
      </c>
      <c r="G315" s="30" t="s">
        <v>400</v>
      </c>
      <c r="H315" s="35" t="s">
        <v>401</v>
      </c>
      <c r="I315" s="72">
        <v>4923</v>
      </c>
      <c r="J315" s="72" t="s">
        <v>89</v>
      </c>
      <c r="K315" s="30" t="s">
        <v>1104</v>
      </c>
      <c r="L315" s="39"/>
      <c r="M315" s="30"/>
      <c r="N315" s="30"/>
      <c r="O315" s="29"/>
      <c r="P315" s="29"/>
      <c r="Q315" s="42">
        <v>0.4</v>
      </c>
      <c r="R315" s="47">
        <f t="shared" si="57"/>
        <v>11200000</v>
      </c>
      <c r="S315" s="48">
        <v>12680000</v>
      </c>
      <c r="T315" s="48">
        <f t="shared" si="58"/>
        <v>28000000</v>
      </c>
      <c r="U315" s="48"/>
      <c r="V315" s="48"/>
      <c r="W315" s="48"/>
      <c r="X315" s="48">
        <v>1000000</v>
      </c>
      <c r="Y315" s="48">
        <v>3700000</v>
      </c>
      <c r="Z315" s="48">
        <v>4000000</v>
      </c>
      <c r="AA315" s="48">
        <v>4000000</v>
      </c>
      <c r="AB315" s="48">
        <v>4000000</v>
      </c>
      <c r="AC315" s="48">
        <v>4000000</v>
      </c>
      <c r="AD315" s="48">
        <v>4000000</v>
      </c>
      <c r="AE315" s="48">
        <v>4000000</v>
      </c>
      <c r="AF315" s="48">
        <v>4000000</v>
      </c>
      <c r="AG315" s="39"/>
      <c r="AH315" s="39"/>
      <c r="AI315" s="39"/>
      <c r="AJ315" s="39"/>
      <c r="AK315" s="39"/>
      <c r="AL315" s="39"/>
      <c r="AM315" s="39"/>
      <c r="AN315" s="39"/>
      <c r="AO315" s="39"/>
      <c r="AP315" s="39"/>
      <c r="AQ315" s="39"/>
      <c r="AR315" s="39"/>
      <c r="AS315" s="55"/>
      <c r="AT315" s="55" t="s">
        <v>80</v>
      </c>
      <c r="AU315" s="30" t="s">
        <v>81</v>
      </c>
      <c r="AV315" s="55"/>
      <c r="AW315" s="59"/>
      <c r="AX315" s="29"/>
      <c r="AY315" s="63"/>
      <c r="AZ315" s="63"/>
      <c r="BA315" s="63"/>
      <c r="BB315" s="63"/>
      <c r="BC315" s="63"/>
      <c r="BD315" s="63"/>
      <c r="BE315" s="63"/>
      <c r="BF315" s="63"/>
      <c r="BG315" s="63"/>
      <c r="BH315" s="63"/>
      <c r="BI315" s="63"/>
      <c r="BJ315" s="63"/>
      <c r="BK315" s="63"/>
      <c r="BL315" s="63">
        <f t="shared" si="66"/>
        <v>1480000</v>
      </c>
      <c r="BM315" s="63">
        <f t="shared" si="59"/>
        <v>1600000</v>
      </c>
      <c r="BN315" s="63">
        <f t="shared" si="60"/>
        <v>1600000</v>
      </c>
      <c r="BO315" s="63">
        <f t="shared" si="61"/>
        <v>1600000</v>
      </c>
      <c r="BP315" s="63">
        <f t="shared" si="62"/>
        <v>1600000</v>
      </c>
      <c r="BQ315" s="63">
        <f t="shared" si="63"/>
        <v>1600000</v>
      </c>
      <c r="BR315" s="63">
        <f t="shared" si="64"/>
        <v>1600000</v>
      </c>
      <c r="BS315" s="63">
        <f t="shared" si="65"/>
        <v>1600000</v>
      </c>
    </row>
    <row r="316" spans="1:71">
      <c r="A316" s="28">
        <f t="shared" si="56"/>
        <v>315</v>
      </c>
      <c r="B316" s="31" t="s">
        <v>1102</v>
      </c>
      <c r="C316" s="31" t="s">
        <v>527</v>
      </c>
      <c r="D316" s="31" t="s">
        <v>1103</v>
      </c>
      <c r="E316" s="31" t="s">
        <v>93</v>
      </c>
      <c r="F316" s="31" t="s">
        <v>93</v>
      </c>
      <c r="G316" s="30" t="s">
        <v>356</v>
      </c>
      <c r="H316" s="35" t="s">
        <v>357</v>
      </c>
      <c r="I316" s="72">
        <v>4391</v>
      </c>
      <c r="J316" s="72" t="s">
        <v>89</v>
      </c>
      <c r="K316" s="30" t="s">
        <v>1104</v>
      </c>
      <c r="L316" s="39"/>
      <c r="M316" s="30"/>
      <c r="N316" s="30"/>
      <c r="O316" s="29"/>
      <c r="P316" s="29"/>
      <c r="Q316" s="42">
        <v>1</v>
      </c>
      <c r="R316" s="47">
        <f t="shared" si="57"/>
        <v>6000000</v>
      </c>
      <c r="S316" s="48">
        <v>14400000</v>
      </c>
      <c r="T316" s="48">
        <f t="shared" si="58"/>
        <v>6000000</v>
      </c>
      <c r="U316" s="48"/>
      <c r="V316" s="48"/>
      <c r="W316" s="48"/>
      <c r="X316" s="48"/>
      <c r="Y316" s="48">
        <v>1000000</v>
      </c>
      <c r="Z316" s="48"/>
      <c r="AA316" s="48"/>
      <c r="AB316" s="48"/>
      <c r="AC316" s="48"/>
      <c r="AD316" s="48">
        <v>2000000</v>
      </c>
      <c r="AE316" s="48">
        <v>2000000</v>
      </c>
      <c r="AF316" s="48">
        <v>2000000</v>
      </c>
      <c r="AG316" s="39"/>
      <c r="AH316" s="39"/>
      <c r="AI316" s="39"/>
      <c r="AJ316" s="39"/>
      <c r="AK316" s="39"/>
      <c r="AL316" s="39"/>
      <c r="AM316" s="39"/>
      <c r="AN316" s="39"/>
      <c r="AO316" s="39"/>
      <c r="AP316" s="39"/>
      <c r="AQ316" s="39"/>
      <c r="AR316" s="39"/>
      <c r="AS316" s="55"/>
      <c r="AT316" s="55" t="s">
        <v>80</v>
      </c>
      <c r="AU316" s="30" t="s">
        <v>81</v>
      </c>
      <c r="AV316" s="55"/>
      <c r="AW316" s="59"/>
      <c r="AX316" s="29"/>
      <c r="AY316" s="63"/>
      <c r="AZ316" s="63"/>
      <c r="BA316" s="63"/>
      <c r="BB316" s="63"/>
      <c r="BC316" s="63"/>
      <c r="BD316" s="63"/>
      <c r="BE316" s="63"/>
      <c r="BF316" s="63"/>
      <c r="BG316" s="63"/>
      <c r="BH316" s="63"/>
      <c r="BI316" s="63"/>
      <c r="BJ316" s="63"/>
      <c r="BK316" s="63"/>
      <c r="BL316" s="63">
        <f t="shared" si="66"/>
        <v>1000000</v>
      </c>
      <c r="BM316" s="63">
        <f t="shared" si="59"/>
        <v>0</v>
      </c>
      <c r="BN316" s="63">
        <f t="shared" si="60"/>
        <v>0</v>
      </c>
      <c r="BO316" s="63">
        <f t="shared" si="61"/>
        <v>0</v>
      </c>
      <c r="BP316" s="63">
        <f t="shared" si="62"/>
        <v>0</v>
      </c>
      <c r="BQ316" s="63">
        <f t="shared" si="63"/>
        <v>2000000</v>
      </c>
      <c r="BR316" s="63">
        <f t="shared" si="64"/>
        <v>2000000</v>
      </c>
      <c r="BS316" s="63">
        <f t="shared" si="65"/>
        <v>2000000</v>
      </c>
    </row>
    <row r="317" spans="1:71">
      <c r="A317" s="28">
        <f t="shared" si="56"/>
        <v>316</v>
      </c>
      <c r="B317" s="31" t="s">
        <v>1102</v>
      </c>
      <c r="C317" s="31" t="s">
        <v>527</v>
      </c>
      <c r="D317" s="31" t="s">
        <v>1103</v>
      </c>
      <c r="E317" s="31" t="s">
        <v>93</v>
      </c>
      <c r="F317" s="31" t="s">
        <v>93</v>
      </c>
      <c r="G317" s="30" t="s">
        <v>398</v>
      </c>
      <c r="H317" s="35" t="s">
        <v>399</v>
      </c>
      <c r="I317" s="72">
        <v>4823</v>
      </c>
      <c r="J317" s="72"/>
      <c r="K317" s="30" t="s">
        <v>1104</v>
      </c>
      <c r="L317" s="39"/>
      <c r="M317" s="30"/>
      <c r="N317" s="30"/>
      <c r="O317" s="29"/>
      <c r="P317" s="29"/>
      <c r="Q317" s="42">
        <v>1</v>
      </c>
      <c r="R317" s="47">
        <f t="shared" si="57"/>
        <v>0</v>
      </c>
      <c r="S317" s="48">
        <v>0</v>
      </c>
      <c r="T317" s="48">
        <f t="shared" si="58"/>
        <v>0</v>
      </c>
      <c r="U317" s="48"/>
      <c r="V317" s="48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39"/>
      <c r="AH317" s="39"/>
      <c r="AI317" s="39"/>
      <c r="AJ317" s="39"/>
      <c r="AK317" s="39"/>
      <c r="AL317" s="39"/>
      <c r="AM317" s="39"/>
      <c r="AN317" s="39"/>
      <c r="AO317" s="39"/>
      <c r="AP317" s="39"/>
      <c r="AQ317" s="39"/>
      <c r="AR317" s="39"/>
      <c r="AS317" s="55"/>
      <c r="AT317" s="55" t="s">
        <v>80</v>
      </c>
      <c r="AU317" s="30" t="s">
        <v>81</v>
      </c>
      <c r="AV317" s="55"/>
      <c r="AW317" s="59"/>
      <c r="AX317" s="29"/>
      <c r="AY317" s="63"/>
      <c r="AZ317" s="63"/>
      <c r="BA317" s="63"/>
      <c r="BB317" s="63"/>
      <c r="BC317" s="63"/>
      <c r="BD317" s="63"/>
      <c r="BE317" s="63"/>
      <c r="BF317" s="63"/>
      <c r="BG317" s="63"/>
      <c r="BH317" s="63"/>
      <c r="BI317" s="63"/>
      <c r="BJ317" s="63"/>
      <c r="BK317" s="63"/>
      <c r="BL317" s="63">
        <f t="shared" si="66"/>
        <v>0</v>
      </c>
      <c r="BM317" s="63">
        <f t="shared" si="59"/>
        <v>0</v>
      </c>
      <c r="BN317" s="63">
        <f t="shared" si="60"/>
        <v>0</v>
      </c>
      <c r="BO317" s="63">
        <f t="shared" si="61"/>
        <v>0</v>
      </c>
      <c r="BP317" s="63">
        <f t="shared" si="62"/>
        <v>0</v>
      </c>
      <c r="BQ317" s="63">
        <f t="shared" si="63"/>
        <v>0</v>
      </c>
      <c r="BR317" s="63">
        <f t="shared" si="64"/>
        <v>0</v>
      </c>
      <c r="BS317" s="63">
        <f t="shared" si="65"/>
        <v>0</v>
      </c>
    </row>
    <row r="318" spans="1:71">
      <c r="A318" s="28">
        <f t="shared" si="56"/>
        <v>317</v>
      </c>
      <c r="B318" s="31" t="s">
        <v>1105</v>
      </c>
      <c r="C318" s="31" t="s">
        <v>92</v>
      </c>
      <c r="D318" s="31" t="s">
        <v>1105</v>
      </c>
      <c r="E318" s="31" t="s">
        <v>93</v>
      </c>
      <c r="F318" s="31" t="s">
        <v>93</v>
      </c>
      <c r="G318" s="30" t="s">
        <v>400</v>
      </c>
      <c r="H318" s="35" t="s">
        <v>401</v>
      </c>
      <c r="I318" s="72">
        <v>4923</v>
      </c>
      <c r="J318" s="63"/>
      <c r="K318" s="30" t="s">
        <v>1104</v>
      </c>
      <c r="L318" s="63"/>
      <c r="M318" s="63"/>
      <c r="N318" s="63"/>
      <c r="O318" s="63"/>
      <c r="P318" s="63"/>
      <c r="Q318" s="42">
        <v>0.4</v>
      </c>
      <c r="R318" s="47">
        <f t="shared" si="57"/>
        <v>2400000</v>
      </c>
      <c r="S318" s="48">
        <v>6400000</v>
      </c>
      <c r="T318" s="48">
        <f t="shared" si="58"/>
        <v>6000000</v>
      </c>
      <c r="U318" s="63"/>
      <c r="V318" s="63"/>
      <c r="W318" s="63"/>
      <c r="X318" s="63"/>
      <c r="Y318" s="48">
        <v>2000000</v>
      </c>
      <c r="Z318" s="48"/>
      <c r="AA318" s="48"/>
      <c r="AB318" s="48"/>
      <c r="AC318" s="48"/>
      <c r="AD318" s="48">
        <v>2000000</v>
      </c>
      <c r="AE318" s="48">
        <v>2000000</v>
      </c>
      <c r="AF318" s="48">
        <v>2000000</v>
      </c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 t="s">
        <v>80</v>
      </c>
      <c r="AU318" s="30" t="s">
        <v>81</v>
      </c>
      <c r="AV318" s="63"/>
      <c r="AW318" s="63"/>
      <c r="AX318" s="63"/>
      <c r="AY318" s="63"/>
      <c r="AZ318" s="63"/>
      <c r="BA318" s="63"/>
      <c r="BB318" s="63"/>
      <c r="BC318" s="63"/>
      <c r="BD318" s="63"/>
      <c r="BE318" s="63"/>
      <c r="BF318" s="63"/>
      <c r="BG318" s="63"/>
      <c r="BH318" s="63"/>
      <c r="BI318" s="63"/>
      <c r="BJ318" s="63"/>
      <c r="BK318" s="63"/>
      <c r="BL318" s="63">
        <f t="shared" si="66"/>
        <v>800000</v>
      </c>
      <c r="BM318" s="63">
        <f t="shared" si="59"/>
        <v>0</v>
      </c>
      <c r="BN318" s="63">
        <f t="shared" si="60"/>
        <v>0</v>
      </c>
      <c r="BO318" s="63">
        <f t="shared" si="61"/>
        <v>0</v>
      </c>
      <c r="BP318" s="63">
        <f t="shared" si="62"/>
        <v>0</v>
      </c>
      <c r="BQ318" s="63">
        <f t="shared" si="63"/>
        <v>800000</v>
      </c>
      <c r="BR318" s="63">
        <f t="shared" si="64"/>
        <v>800000</v>
      </c>
      <c r="BS318" s="63">
        <f t="shared" si="65"/>
        <v>800000</v>
      </c>
    </row>
    <row r="319" spans="1:71">
      <c r="A319" s="28">
        <f t="shared" si="56"/>
        <v>318</v>
      </c>
      <c r="B319" s="31" t="s">
        <v>1105</v>
      </c>
      <c r="C319" s="31" t="s">
        <v>92</v>
      </c>
      <c r="D319" s="31" t="s">
        <v>1105</v>
      </c>
      <c r="E319" s="31" t="s">
        <v>93</v>
      </c>
      <c r="F319" s="31" t="s">
        <v>93</v>
      </c>
      <c r="G319" s="30" t="s">
        <v>398</v>
      </c>
      <c r="H319" s="35" t="s">
        <v>399</v>
      </c>
      <c r="I319" s="72">
        <v>4823</v>
      </c>
      <c r="J319" s="63"/>
      <c r="K319" s="30" t="s">
        <v>1104</v>
      </c>
      <c r="L319" s="63"/>
      <c r="M319" s="63"/>
      <c r="N319" s="63"/>
      <c r="O319" s="63"/>
      <c r="P319" s="63"/>
      <c r="Q319" s="42">
        <v>0.5</v>
      </c>
      <c r="R319" s="47">
        <f t="shared" si="57"/>
        <v>15000000</v>
      </c>
      <c r="S319" s="48">
        <v>30000000</v>
      </c>
      <c r="T319" s="48">
        <f t="shared" si="58"/>
        <v>30000000</v>
      </c>
      <c r="U319" s="63"/>
      <c r="V319" s="63"/>
      <c r="W319" s="63"/>
      <c r="X319" s="63"/>
      <c r="Y319" s="48">
        <v>0</v>
      </c>
      <c r="Z319" s="48">
        <v>0</v>
      </c>
      <c r="AA319" s="48"/>
      <c r="AB319" s="48"/>
      <c r="AC319" s="48"/>
      <c r="AD319" s="48">
        <v>10000000</v>
      </c>
      <c r="AE319" s="48">
        <v>10000000</v>
      </c>
      <c r="AF319" s="48">
        <v>10000000</v>
      </c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 t="s">
        <v>80</v>
      </c>
      <c r="AU319" s="30" t="s">
        <v>81</v>
      </c>
      <c r="AV319" s="63"/>
      <c r="AW319" s="63"/>
      <c r="AX319" s="63"/>
      <c r="AY319" s="63"/>
      <c r="AZ319" s="63"/>
      <c r="BA319" s="63"/>
      <c r="BB319" s="63"/>
      <c r="BC319" s="63"/>
      <c r="BD319" s="63"/>
      <c r="BE319" s="63"/>
      <c r="BF319" s="63"/>
      <c r="BG319" s="63"/>
      <c r="BH319" s="63"/>
      <c r="BI319" s="63"/>
      <c r="BJ319" s="63"/>
      <c r="BK319" s="63"/>
      <c r="BL319" s="63">
        <f t="shared" si="66"/>
        <v>0</v>
      </c>
      <c r="BM319" s="63">
        <f t="shared" si="59"/>
        <v>0</v>
      </c>
      <c r="BN319" s="63">
        <f t="shared" si="60"/>
        <v>0</v>
      </c>
      <c r="BO319" s="63">
        <f t="shared" si="61"/>
        <v>0</v>
      </c>
      <c r="BP319" s="63">
        <f t="shared" si="62"/>
        <v>0</v>
      </c>
      <c r="BQ319" s="63">
        <f t="shared" si="63"/>
        <v>5000000</v>
      </c>
      <c r="BR319" s="63">
        <f t="shared" si="64"/>
        <v>5000000</v>
      </c>
      <c r="BS319" s="63">
        <f t="shared" si="65"/>
        <v>5000000</v>
      </c>
    </row>
    <row r="320" spans="1:71">
      <c r="A320" s="28">
        <f t="shared" si="56"/>
        <v>319</v>
      </c>
      <c r="B320" s="31" t="s">
        <v>1106</v>
      </c>
      <c r="C320" s="31" t="s">
        <v>92</v>
      </c>
      <c r="D320" s="31" t="s">
        <v>1106</v>
      </c>
      <c r="E320" s="31" t="s">
        <v>93</v>
      </c>
      <c r="F320" s="31" t="s">
        <v>93</v>
      </c>
      <c r="G320" s="30" t="s">
        <v>339</v>
      </c>
      <c r="H320" s="35" t="s">
        <v>340</v>
      </c>
      <c r="I320" s="72">
        <v>4015</v>
      </c>
      <c r="J320" s="63"/>
      <c r="K320" s="30"/>
      <c r="L320" s="63"/>
      <c r="M320" s="63"/>
      <c r="N320" s="63"/>
      <c r="O320" s="63"/>
      <c r="P320" s="63"/>
      <c r="Q320" s="42">
        <v>0.265</v>
      </c>
      <c r="R320" s="47">
        <f t="shared" si="57"/>
        <v>3710000</v>
      </c>
      <c r="S320" s="48"/>
      <c r="T320" s="48">
        <f t="shared" si="58"/>
        <v>14000000</v>
      </c>
      <c r="U320" s="63"/>
      <c r="V320" s="63"/>
      <c r="W320" s="63"/>
      <c r="X320" s="63"/>
      <c r="Y320" s="48"/>
      <c r="Z320" s="48">
        <v>2000000</v>
      </c>
      <c r="AA320" s="48">
        <v>2000000</v>
      </c>
      <c r="AB320" s="48">
        <v>2000000</v>
      </c>
      <c r="AC320" s="48">
        <v>2000000</v>
      </c>
      <c r="AD320" s="48">
        <v>2000000</v>
      </c>
      <c r="AE320" s="48">
        <v>2000000</v>
      </c>
      <c r="AF320" s="48">
        <v>2000000</v>
      </c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 t="s">
        <v>80</v>
      </c>
      <c r="AU320" s="30" t="s">
        <v>81</v>
      </c>
      <c r="AV320" s="63"/>
      <c r="AW320" s="63"/>
      <c r="AX320" s="63"/>
      <c r="AY320" s="63"/>
      <c r="AZ320" s="63"/>
      <c r="BA320" s="63"/>
      <c r="BB320" s="63"/>
      <c r="BC320" s="63"/>
      <c r="BD320" s="63"/>
      <c r="BE320" s="63"/>
      <c r="BF320" s="63"/>
      <c r="BG320" s="63"/>
      <c r="BH320" s="63"/>
      <c r="BI320" s="63"/>
      <c r="BJ320" s="63"/>
      <c r="BK320" s="63"/>
      <c r="BL320" s="63"/>
      <c r="BM320" s="63">
        <f t="shared" si="59"/>
        <v>530000</v>
      </c>
      <c r="BN320" s="63">
        <f t="shared" si="60"/>
        <v>530000</v>
      </c>
      <c r="BO320" s="63">
        <f t="shared" si="61"/>
        <v>530000</v>
      </c>
      <c r="BP320" s="63">
        <f t="shared" si="62"/>
        <v>530000</v>
      </c>
      <c r="BQ320" s="63">
        <f t="shared" si="63"/>
        <v>530000</v>
      </c>
      <c r="BR320" s="63">
        <f t="shared" si="64"/>
        <v>530000</v>
      </c>
      <c r="BS320" s="63">
        <f t="shared" si="65"/>
        <v>530000</v>
      </c>
    </row>
    <row r="321" spans="1:71">
      <c r="A321" s="28">
        <f t="shared" si="56"/>
        <v>320</v>
      </c>
      <c r="B321" s="81" t="s">
        <v>1107</v>
      </c>
      <c r="C321" s="81" t="s">
        <v>92</v>
      </c>
      <c r="D321" s="81" t="s">
        <v>1108</v>
      </c>
      <c r="E321" s="81" t="s">
        <v>93</v>
      </c>
      <c r="F321" s="81" t="s">
        <v>93</v>
      </c>
      <c r="G321" s="82" t="s">
        <v>341</v>
      </c>
      <c r="H321" s="83" t="s">
        <v>342</v>
      </c>
      <c r="I321" s="84" t="s">
        <v>1109</v>
      </c>
      <c r="J321" s="85" t="s">
        <v>338</v>
      </c>
      <c r="K321" s="82" t="s">
        <v>1104</v>
      </c>
      <c r="L321" s="85"/>
      <c r="M321" s="85"/>
      <c r="N321" s="85"/>
      <c r="O321" s="85"/>
      <c r="P321" s="85"/>
      <c r="Q321" s="86">
        <v>0.14</v>
      </c>
      <c r="R321" s="47">
        <f t="shared" si="57"/>
        <v>2100000</v>
      </c>
      <c r="S321" s="87">
        <v>5600000</v>
      </c>
      <c r="T321" s="48">
        <f t="shared" si="58"/>
        <v>15000000</v>
      </c>
      <c r="U321" s="85"/>
      <c r="V321" s="85"/>
      <c r="W321" s="85"/>
      <c r="X321" s="85"/>
      <c r="Y321" s="87">
        <v>5000000</v>
      </c>
      <c r="Z321" s="87"/>
      <c r="AA321" s="87"/>
      <c r="AB321" s="87"/>
      <c r="AC321" s="87"/>
      <c r="AD321" s="87">
        <v>5000000</v>
      </c>
      <c r="AE321" s="87">
        <v>5000000</v>
      </c>
      <c r="AF321" s="87">
        <v>5000000</v>
      </c>
      <c r="AG321" s="85"/>
      <c r="AH321" s="85"/>
      <c r="AI321" s="85"/>
      <c r="AJ321" s="85"/>
      <c r="AK321" s="85"/>
      <c r="AL321" s="85"/>
      <c r="AM321" s="85"/>
      <c r="AN321" s="85"/>
      <c r="AO321" s="85"/>
      <c r="AP321" s="85"/>
      <c r="AQ321" s="85"/>
      <c r="AR321" s="85"/>
      <c r="AS321" s="85"/>
      <c r="AT321" s="63" t="s">
        <v>80</v>
      </c>
      <c r="AU321" s="30" t="s">
        <v>81</v>
      </c>
      <c r="AV321" s="85"/>
      <c r="AW321" s="85"/>
      <c r="AX321" s="85"/>
      <c r="AY321" s="85"/>
      <c r="AZ321" s="85"/>
      <c r="BA321" s="85"/>
      <c r="BB321" s="85"/>
      <c r="BC321" s="85"/>
      <c r="BD321" s="85"/>
      <c r="BE321" s="85"/>
      <c r="BF321" s="85"/>
      <c r="BG321" s="85"/>
      <c r="BH321" s="85"/>
      <c r="BI321" s="85"/>
      <c r="BJ321" s="85"/>
      <c r="BK321" s="85"/>
      <c r="BL321" s="63">
        <f t="shared" si="66"/>
        <v>700000</v>
      </c>
      <c r="BM321" s="63">
        <f t="shared" si="59"/>
        <v>0</v>
      </c>
      <c r="BN321" s="63">
        <f t="shared" si="60"/>
        <v>0</v>
      </c>
      <c r="BO321" s="63">
        <f t="shared" si="61"/>
        <v>0</v>
      </c>
      <c r="BP321" s="63">
        <f t="shared" si="62"/>
        <v>0</v>
      </c>
      <c r="BQ321" s="63">
        <f t="shared" si="63"/>
        <v>700000</v>
      </c>
      <c r="BR321" s="63">
        <f t="shared" si="64"/>
        <v>700000</v>
      </c>
      <c r="BS321" s="63">
        <f t="shared" si="65"/>
        <v>700000</v>
      </c>
    </row>
    <row r="322" spans="1:71">
      <c r="A322" s="28">
        <f t="shared" si="56"/>
        <v>321</v>
      </c>
      <c r="B322" s="31" t="s">
        <v>1110</v>
      </c>
      <c r="C322" s="31" t="s">
        <v>72</v>
      </c>
      <c r="D322" s="31" t="s">
        <v>1111</v>
      </c>
      <c r="E322" s="31" t="s">
        <v>93</v>
      </c>
      <c r="F322" s="31" t="s">
        <v>93</v>
      </c>
      <c r="G322" s="30"/>
      <c r="H322" s="35"/>
      <c r="I322" s="72"/>
      <c r="J322" s="63"/>
      <c r="K322" s="63"/>
      <c r="L322" s="63"/>
      <c r="M322" s="63"/>
      <c r="N322" s="63"/>
      <c r="O322" s="63"/>
      <c r="P322" s="63"/>
      <c r="Q322" s="42"/>
      <c r="R322" s="47">
        <f t="shared" si="57"/>
        <v>0</v>
      </c>
      <c r="S322" s="48">
        <v>0</v>
      </c>
      <c r="T322" s="48">
        <f t="shared" si="58"/>
        <v>0</v>
      </c>
      <c r="U322" s="63"/>
      <c r="V322" s="63"/>
      <c r="W322" s="63"/>
      <c r="X322" s="63"/>
      <c r="Y322" s="48"/>
      <c r="Z322" s="48"/>
      <c r="AA322" s="48"/>
      <c r="AB322" s="48"/>
      <c r="AC322" s="48"/>
      <c r="AD322" s="48"/>
      <c r="AE322" s="48"/>
      <c r="AF322" s="48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 t="s">
        <v>80</v>
      </c>
      <c r="AU322" s="30"/>
      <c r="AV322" s="63"/>
      <c r="AW322" s="63"/>
      <c r="AX322" s="63"/>
      <c r="AY322" s="63"/>
      <c r="AZ322" s="63"/>
      <c r="BA322" s="63"/>
      <c r="BB322" s="63"/>
      <c r="BC322" s="63"/>
      <c r="BD322" s="63"/>
      <c r="BE322" s="63"/>
      <c r="BF322" s="63"/>
      <c r="BG322" s="63"/>
      <c r="BH322" s="63"/>
      <c r="BI322" s="63"/>
      <c r="BJ322" s="63"/>
      <c r="BK322" s="63"/>
      <c r="BL322" s="63">
        <f t="shared" si="66"/>
        <v>0</v>
      </c>
      <c r="BM322" s="63">
        <f t="shared" si="59"/>
        <v>0</v>
      </c>
      <c r="BN322" s="63">
        <f t="shared" si="60"/>
        <v>0</v>
      </c>
      <c r="BO322" s="63">
        <f t="shared" si="61"/>
        <v>0</v>
      </c>
      <c r="BP322" s="63">
        <f t="shared" si="62"/>
        <v>0</v>
      </c>
      <c r="BQ322" s="63">
        <f t="shared" si="63"/>
        <v>0</v>
      </c>
      <c r="BR322" s="63">
        <f t="shared" si="64"/>
        <v>0</v>
      </c>
      <c r="BS322" s="63">
        <f t="shared" si="65"/>
        <v>0</v>
      </c>
    </row>
    <row r="323" spans="1:71">
      <c r="A323" s="28">
        <f t="shared" si="56"/>
        <v>322</v>
      </c>
      <c r="B323" s="31" t="s">
        <v>1112</v>
      </c>
      <c r="C323" s="31" t="s">
        <v>72</v>
      </c>
      <c r="D323" s="31" t="s">
        <v>1111</v>
      </c>
      <c r="E323" s="31" t="s">
        <v>93</v>
      </c>
      <c r="F323" s="31" t="s">
        <v>93</v>
      </c>
      <c r="G323" s="30" t="s">
        <v>263</v>
      </c>
      <c r="H323" s="35" t="s">
        <v>264</v>
      </c>
      <c r="I323" s="72">
        <v>2442</v>
      </c>
      <c r="J323" s="63"/>
      <c r="K323" s="42"/>
      <c r="L323" s="47"/>
      <c r="M323" s="48"/>
      <c r="N323" s="48"/>
      <c r="O323" s="63"/>
      <c r="P323" s="63"/>
      <c r="Q323" s="63">
        <v>0.28</v>
      </c>
      <c r="R323" s="47">
        <f t="shared" si="57"/>
        <v>294000</v>
      </c>
      <c r="S323" s="48"/>
      <c r="T323" s="48">
        <f t="shared" si="58"/>
        <v>1050000</v>
      </c>
      <c r="U323" s="48"/>
      <c r="V323" s="48"/>
      <c r="W323" s="48"/>
      <c r="X323" s="48"/>
      <c r="Y323" s="48">
        <v>150000</v>
      </c>
      <c r="Z323" s="48">
        <v>150000</v>
      </c>
      <c r="AA323" s="48">
        <v>150000</v>
      </c>
      <c r="AB323" s="48">
        <v>150000</v>
      </c>
      <c r="AC323" s="48">
        <v>150000</v>
      </c>
      <c r="AD323" s="48">
        <v>150000</v>
      </c>
      <c r="AE323" s="48">
        <v>150000</v>
      </c>
      <c r="AF323" s="48">
        <v>150000</v>
      </c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 t="s">
        <v>80</v>
      </c>
      <c r="AU323" s="30" t="s">
        <v>81</v>
      </c>
      <c r="AV323" s="63"/>
      <c r="AW323" s="63"/>
      <c r="AX323" s="63"/>
      <c r="AY323" s="63"/>
      <c r="AZ323" s="63"/>
      <c r="BA323" s="63"/>
      <c r="BB323" s="63"/>
      <c r="BC323" s="63"/>
      <c r="BD323" s="63"/>
      <c r="BE323" s="63"/>
      <c r="BF323" s="63"/>
      <c r="BG323" s="63"/>
      <c r="BH323" s="63"/>
      <c r="BI323" s="63"/>
      <c r="BJ323" s="63"/>
      <c r="BK323" s="63"/>
      <c r="BL323" s="63">
        <f t="shared" si="66"/>
        <v>42000</v>
      </c>
      <c r="BM323" s="63">
        <f t="shared" ref="BM323:BM386" si="67">$Q323*Z323</f>
        <v>42000</v>
      </c>
      <c r="BN323" s="63">
        <f t="shared" ref="BN323:BN386" si="68">$Q323*AA323</f>
        <v>42000</v>
      </c>
      <c r="BO323" s="63">
        <f t="shared" ref="BO323:BO386" si="69">$Q323*AB323</f>
        <v>42000</v>
      </c>
      <c r="BP323" s="63">
        <f t="shared" ref="BP323:BP386" si="70">$Q323*AC323</f>
        <v>42000</v>
      </c>
      <c r="BQ323" s="63">
        <f t="shared" ref="BQ323:BQ386" si="71">$Q323*AD323</f>
        <v>42000</v>
      </c>
      <c r="BR323" s="63">
        <f t="shared" ref="BR323:BR386" si="72">$Q323*AE323</f>
        <v>42000</v>
      </c>
      <c r="BS323" s="63">
        <f t="shared" ref="BS323:BS386" si="73">$Q323*AF323</f>
        <v>42000</v>
      </c>
    </row>
    <row r="324" spans="1:71">
      <c r="A324" s="28">
        <f t="shared" ref="A324:A387" si="74">ROW()-1</f>
        <v>323</v>
      </c>
      <c r="B324" s="31" t="s">
        <v>1113</v>
      </c>
      <c r="C324" s="31" t="s">
        <v>92</v>
      </c>
      <c r="D324" s="31" t="s">
        <v>1111</v>
      </c>
      <c r="E324" s="31" t="s">
        <v>93</v>
      </c>
      <c r="F324" s="31" t="s">
        <v>93</v>
      </c>
      <c r="G324" s="30" t="s">
        <v>492</v>
      </c>
      <c r="H324" s="35" t="s">
        <v>492</v>
      </c>
      <c r="I324" s="72"/>
      <c r="J324" s="63"/>
      <c r="K324" s="30" t="s">
        <v>1104</v>
      </c>
      <c r="L324" s="63"/>
      <c r="M324" s="63"/>
      <c r="N324" s="63"/>
      <c r="O324" s="63"/>
      <c r="P324" s="63"/>
      <c r="Q324" s="42">
        <v>1665</v>
      </c>
      <c r="R324" s="47">
        <f t="shared" ref="R324:R387" si="75">Q324*T324</f>
        <v>1456875</v>
      </c>
      <c r="S324" s="48">
        <v>1665000</v>
      </c>
      <c r="T324" s="48">
        <f t="shared" ref="T324:T387" si="76">SUM(Z324:AF324)</f>
        <v>875</v>
      </c>
      <c r="U324" s="63"/>
      <c r="V324" s="63"/>
      <c r="W324" s="63"/>
      <c r="X324" s="48">
        <v>125</v>
      </c>
      <c r="Y324" s="48">
        <v>125</v>
      </c>
      <c r="Z324" s="48">
        <v>125</v>
      </c>
      <c r="AA324" s="48">
        <v>125</v>
      </c>
      <c r="AB324" s="48">
        <v>125</v>
      </c>
      <c r="AC324" s="48">
        <v>125</v>
      </c>
      <c r="AD324" s="48">
        <v>125</v>
      </c>
      <c r="AE324" s="48">
        <v>125</v>
      </c>
      <c r="AF324" s="48">
        <v>125</v>
      </c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 t="s">
        <v>80</v>
      </c>
      <c r="AU324" s="30" t="s">
        <v>81</v>
      </c>
      <c r="AV324" s="63"/>
      <c r="AW324" s="63"/>
      <c r="AX324" s="63"/>
      <c r="AY324" s="63"/>
      <c r="AZ324" s="63"/>
      <c r="BA324" s="63"/>
      <c r="BB324" s="63"/>
      <c r="BC324" s="63"/>
      <c r="BD324" s="63"/>
      <c r="BE324" s="63"/>
      <c r="BF324" s="63"/>
      <c r="BG324" s="63"/>
      <c r="BH324" s="63"/>
      <c r="BI324" s="63"/>
      <c r="BJ324" s="63"/>
      <c r="BK324" s="63"/>
      <c r="BL324" s="63">
        <f t="shared" si="66"/>
        <v>208125</v>
      </c>
      <c r="BM324" s="63">
        <f t="shared" si="67"/>
        <v>208125</v>
      </c>
      <c r="BN324" s="63">
        <f t="shared" si="68"/>
        <v>208125</v>
      </c>
      <c r="BO324" s="63">
        <f t="shared" si="69"/>
        <v>208125</v>
      </c>
      <c r="BP324" s="63">
        <f t="shared" si="70"/>
        <v>208125</v>
      </c>
      <c r="BQ324" s="63">
        <f t="shared" si="71"/>
        <v>208125</v>
      </c>
      <c r="BR324" s="63">
        <f t="shared" si="72"/>
        <v>208125</v>
      </c>
      <c r="BS324" s="63">
        <f t="shared" si="73"/>
        <v>208125</v>
      </c>
    </row>
    <row r="325" spans="1:71">
      <c r="A325" s="28">
        <f t="shared" si="74"/>
        <v>324</v>
      </c>
      <c r="B325" s="31" t="s">
        <v>1114</v>
      </c>
      <c r="C325" s="31" t="s">
        <v>72</v>
      </c>
      <c r="D325" s="31" t="s">
        <v>1111</v>
      </c>
      <c r="E325" s="31" t="s">
        <v>93</v>
      </c>
      <c r="F325" s="31" t="s">
        <v>93</v>
      </c>
      <c r="G325" s="31" t="s">
        <v>206</v>
      </c>
      <c r="H325" s="35" t="s">
        <v>207</v>
      </c>
      <c r="I325" s="72"/>
      <c r="J325" s="63"/>
      <c r="K325" s="63"/>
      <c r="L325" s="63"/>
      <c r="M325" s="63"/>
      <c r="N325" s="63"/>
      <c r="O325" s="63"/>
      <c r="P325" s="63"/>
      <c r="Q325" s="42">
        <v>0.33</v>
      </c>
      <c r="R325" s="47">
        <f t="shared" si="75"/>
        <v>0</v>
      </c>
      <c r="S325" s="48"/>
      <c r="T325" s="48">
        <f t="shared" si="76"/>
        <v>0</v>
      </c>
      <c r="U325" s="63"/>
      <c r="V325" s="63"/>
      <c r="W325" s="63"/>
      <c r="X325" s="63"/>
      <c r="Y325" s="48"/>
      <c r="Z325" s="48"/>
      <c r="AA325" s="48"/>
      <c r="AB325" s="48"/>
      <c r="AC325" s="48"/>
      <c r="AD325" s="48"/>
      <c r="AE325" s="48"/>
      <c r="AF325" s="48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 t="s">
        <v>80</v>
      </c>
      <c r="AU325" s="30" t="s">
        <v>81</v>
      </c>
      <c r="AV325" s="63"/>
      <c r="AW325" s="63"/>
      <c r="AX325" s="63"/>
      <c r="AY325" s="63"/>
      <c r="AZ325" s="63"/>
      <c r="BA325" s="63"/>
      <c r="BB325" s="63"/>
      <c r="BC325" s="63"/>
      <c r="BD325" s="63"/>
      <c r="BE325" s="63"/>
      <c r="BF325" s="63"/>
      <c r="BG325" s="63"/>
      <c r="BH325" s="63"/>
      <c r="BI325" s="63"/>
      <c r="BJ325" s="63"/>
      <c r="BK325" s="63"/>
      <c r="BL325" s="63">
        <f t="shared" si="66"/>
        <v>0</v>
      </c>
      <c r="BM325" s="63">
        <f t="shared" si="67"/>
        <v>0</v>
      </c>
      <c r="BN325" s="63">
        <f t="shared" si="68"/>
        <v>0</v>
      </c>
      <c r="BO325" s="63">
        <f t="shared" si="69"/>
        <v>0</v>
      </c>
      <c r="BP325" s="63">
        <f t="shared" si="70"/>
        <v>0</v>
      </c>
      <c r="BQ325" s="63">
        <f t="shared" si="71"/>
        <v>0</v>
      </c>
      <c r="BR325" s="63">
        <f t="shared" si="72"/>
        <v>0</v>
      </c>
      <c r="BS325" s="63">
        <f t="shared" si="73"/>
        <v>0</v>
      </c>
    </row>
    <row r="326" spans="1:71">
      <c r="A326" s="28">
        <f t="shared" si="74"/>
        <v>325</v>
      </c>
      <c r="B326" s="31" t="s">
        <v>1115</v>
      </c>
      <c r="C326" s="31" t="s">
        <v>72</v>
      </c>
      <c r="D326" s="31" t="s">
        <v>1111</v>
      </c>
      <c r="E326" s="31" t="s">
        <v>93</v>
      </c>
      <c r="F326" s="31" t="s">
        <v>93</v>
      </c>
      <c r="G326" s="30" t="s">
        <v>171</v>
      </c>
      <c r="H326" s="35" t="s">
        <v>172</v>
      </c>
      <c r="I326" s="72" t="s">
        <v>1116</v>
      </c>
      <c r="J326" s="63"/>
      <c r="K326" s="63"/>
      <c r="L326" s="63"/>
      <c r="M326" s="63"/>
      <c r="N326" s="63"/>
      <c r="O326" s="63"/>
      <c r="P326" s="63"/>
      <c r="Q326" s="42">
        <v>0.25</v>
      </c>
      <c r="R326" s="47">
        <f t="shared" si="75"/>
        <v>25000</v>
      </c>
      <c r="S326" s="48">
        <v>0</v>
      </c>
      <c r="T326" s="48">
        <f t="shared" si="76"/>
        <v>100000</v>
      </c>
      <c r="U326" s="63"/>
      <c r="V326" s="63"/>
      <c r="W326" s="63"/>
      <c r="X326" s="63"/>
      <c r="Y326" s="48"/>
      <c r="Z326" s="48"/>
      <c r="AA326" s="48"/>
      <c r="AB326" s="48">
        <v>50000</v>
      </c>
      <c r="AC326" s="48"/>
      <c r="AD326" s="48"/>
      <c r="AE326" s="48">
        <v>50000</v>
      </c>
      <c r="AF326" s="48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 t="s">
        <v>80</v>
      </c>
      <c r="AU326" s="30" t="s">
        <v>81</v>
      </c>
      <c r="AV326" s="63"/>
      <c r="AW326" s="63"/>
      <c r="AX326" s="63"/>
      <c r="AY326" s="63"/>
      <c r="AZ326" s="63"/>
      <c r="BA326" s="63"/>
      <c r="BB326" s="63"/>
      <c r="BC326" s="63"/>
      <c r="BD326" s="63"/>
      <c r="BE326" s="63"/>
      <c r="BF326" s="63"/>
      <c r="BG326" s="63"/>
      <c r="BH326" s="63"/>
      <c r="BI326" s="63"/>
      <c r="BJ326" s="63"/>
      <c r="BK326" s="63"/>
      <c r="BL326" s="63">
        <f t="shared" si="66"/>
        <v>0</v>
      </c>
      <c r="BM326" s="63">
        <f t="shared" si="67"/>
        <v>0</v>
      </c>
      <c r="BN326" s="63">
        <f t="shared" si="68"/>
        <v>0</v>
      </c>
      <c r="BO326" s="63">
        <f t="shared" si="69"/>
        <v>12500</v>
      </c>
      <c r="BP326" s="63">
        <f t="shared" si="70"/>
        <v>0</v>
      </c>
      <c r="BQ326" s="63">
        <f t="shared" si="71"/>
        <v>0</v>
      </c>
      <c r="BR326" s="63">
        <f t="shared" si="72"/>
        <v>12500</v>
      </c>
      <c r="BS326" s="63">
        <f t="shared" si="73"/>
        <v>0</v>
      </c>
    </row>
    <row r="327" spans="1:71">
      <c r="A327" s="28">
        <f t="shared" si="74"/>
        <v>326</v>
      </c>
      <c r="B327" s="31" t="s">
        <v>1115</v>
      </c>
      <c r="C327" s="31" t="s">
        <v>72</v>
      </c>
      <c r="D327" s="31" t="s">
        <v>1111</v>
      </c>
      <c r="E327" s="31" t="s">
        <v>93</v>
      </c>
      <c r="F327" s="31" t="s">
        <v>93</v>
      </c>
      <c r="G327" s="31" t="s">
        <v>308</v>
      </c>
      <c r="H327" s="35" t="s">
        <v>309</v>
      </c>
      <c r="I327" s="72">
        <v>2546</v>
      </c>
      <c r="J327" s="63"/>
      <c r="K327" s="63"/>
      <c r="L327" s="63"/>
      <c r="M327" s="63"/>
      <c r="N327" s="63"/>
      <c r="O327" s="63"/>
      <c r="P327" s="63"/>
      <c r="Q327" s="42">
        <v>1.2</v>
      </c>
      <c r="R327" s="47">
        <f t="shared" si="75"/>
        <v>0</v>
      </c>
      <c r="S327" s="48"/>
      <c r="T327" s="48">
        <f t="shared" si="76"/>
        <v>0</v>
      </c>
      <c r="U327" s="63"/>
      <c r="V327" s="63"/>
      <c r="W327" s="63"/>
      <c r="X327" s="63"/>
      <c r="Y327" s="48"/>
      <c r="Z327" s="48"/>
      <c r="AA327" s="48"/>
      <c r="AB327" s="48"/>
      <c r="AC327" s="48"/>
      <c r="AD327" s="48"/>
      <c r="AE327" s="48"/>
      <c r="AF327" s="48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 t="s">
        <v>80</v>
      </c>
      <c r="AU327" s="30" t="s">
        <v>81</v>
      </c>
      <c r="AV327" s="63"/>
      <c r="AW327" s="63"/>
      <c r="AX327" s="63"/>
      <c r="AY327" s="63"/>
      <c r="AZ327" s="63"/>
      <c r="BA327" s="63"/>
      <c r="BB327" s="63"/>
      <c r="BC327" s="63"/>
      <c r="BD327" s="63"/>
      <c r="BE327" s="63"/>
      <c r="BF327" s="63"/>
      <c r="BG327" s="63"/>
      <c r="BH327" s="63"/>
      <c r="BI327" s="63"/>
      <c r="BJ327" s="63"/>
      <c r="BK327" s="63"/>
      <c r="BL327" s="63">
        <f t="shared" si="66"/>
        <v>0</v>
      </c>
      <c r="BM327" s="63">
        <f t="shared" si="67"/>
        <v>0</v>
      </c>
      <c r="BN327" s="63">
        <f t="shared" si="68"/>
        <v>0</v>
      </c>
      <c r="BO327" s="63">
        <f t="shared" si="69"/>
        <v>0</v>
      </c>
      <c r="BP327" s="63">
        <f t="shared" si="70"/>
        <v>0</v>
      </c>
      <c r="BQ327" s="63">
        <f t="shared" si="71"/>
        <v>0</v>
      </c>
      <c r="BR327" s="63">
        <f t="shared" si="72"/>
        <v>0</v>
      </c>
      <c r="BS327" s="63">
        <f t="shared" si="73"/>
        <v>0</v>
      </c>
    </row>
    <row r="328" spans="1:71">
      <c r="A328" s="28">
        <f t="shared" si="74"/>
        <v>327</v>
      </c>
      <c r="B328" s="31" t="s">
        <v>1117</v>
      </c>
      <c r="C328" s="31" t="s">
        <v>72</v>
      </c>
      <c r="D328" s="31" t="s">
        <v>1111</v>
      </c>
      <c r="E328" s="31" t="s">
        <v>93</v>
      </c>
      <c r="F328" s="31" t="s">
        <v>93</v>
      </c>
      <c r="G328" s="30" t="s">
        <v>210</v>
      </c>
      <c r="H328" s="35" t="s">
        <v>215</v>
      </c>
      <c r="I328" s="72">
        <v>2402</v>
      </c>
      <c r="J328" s="63" t="s">
        <v>216</v>
      </c>
      <c r="K328" s="63"/>
      <c r="L328" s="63"/>
      <c r="M328" s="63"/>
      <c r="N328" s="63"/>
      <c r="O328" s="63"/>
      <c r="P328" s="63"/>
      <c r="Q328" s="42">
        <v>0.13</v>
      </c>
      <c r="R328" s="47">
        <f t="shared" si="75"/>
        <v>0</v>
      </c>
      <c r="S328" s="48"/>
      <c r="T328" s="48">
        <f t="shared" si="76"/>
        <v>0</v>
      </c>
      <c r="U328" s="63"/>
      <c r="V328" s="63"/>
      <c r="W328" s="63"/>
      <c r="X328" s="63"/>
      <c r="Y328" s="48"/>
      <c r="Z328" s="48"/>
      <c r="AA328" s="48"/>
      <c r="AB328" s="48"/>
      <c r="AC328" s="48"/>
      <c r="AD328" s="48"/>
      <c r="AE328" s="48"/>
      <c r="AF328" s="48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 t="s">
        <v>80</v>
      </c>
      <c r="AU328" s="30" t="s">
        <v>81</v>
      </c>
      <c r="AV328" s="63"/>
      <c r="AW328" s="63"/>
      <c r="AX328" s="63"/>
      <c r="AY328" s="63"/>
      <c r="AZ328" s="63"/>
      <c r="BA328" s="63"/>
      <c r="BB328" s="63"/>
      <c r="BC328" s="63"/>
      <c r="BD328" s="63"/>
      <c r="BE328" s="63"/>
      <c r="BF328" s="63"/>
      <c r="BG328" s="63"/>
      <c r="BH328" s="63"/>
      <c r="BI328" s="63"/>
      <c r="BJ328" s="63"/>
      <c r="BK328" s="63"/>
      <c r="BL328" s="63">
        <f t="shared" si="66"/>
        <v>0</v>
      </c>
      <c r="BM328" s="63">
        <f t="shared" si="67"/>
        <v>0</v>
      </c>
      <c r="BN328" s="63">
        <f t="shared" si="68"/>
        <v>0</v>
      </c>
      <c r="BO328" s="63">
        <f t="shared" si="69"/>
        <v>0</v>
      </c>
      <c r="BP328" s="63">
        <f t="shared" si="70"/>
        <v>0</v>
      </c>
      <c r="BQ328" s="63">
        <f t="shared" si="71"/>
        <v>0</v>
      </c>
      <c r="BR328" s="63">
        <f t="shared" si="72"/>
        <v>0</v>
      </c>
      <c r="BS328" s="63">
        <f t="shared" si="73"/>
        <v>0</v>
      </c>
    </row>
    <row r="329" spans="1:71">
      <c r="A329" s="28">
        <f t="shared" si="74"/>
        <v>328</v>
      </c>
      <c r="B329" s="31" t="s">
        <v>1118</v>
      </c>
      <c r="C329" s="31" t="s">
        <v>72</v>
      </c>
      <c r="D329" s="31" t="s">
        <v>1111</v>
      </c>
      <c r="E329" s="31" t="s">
        <v>93</v>
      </c>
      <c r="F329" s="31" t="s">
        <v>93</v>
      </c>
      <c r="G329" s="31" t="s">
        <v>283</v>
      </c>
      <c r="H329" s="35" t="s">
        <v>284</v>
      </c>
      <c r="I329" s="72">
        <v>2462</v>
      </c>
      <c r="J329" s="63"/>
      <c r="K329" s="63"/>
      <c r="L329" s="63"/>
      <c r="M329" s="63"/>
      <c r="N329" s="63"/>
      <c r="O329" s="63"/>
      <c r="P329" s="63"/>
      <c r="Q329" s="42">
        <v>0.4</v>
      </c>
      <c r="R329" s="47">
        <f t="shared" si="75"/>
        <v>0</v>
      </c>
      <c r="S329" s="48"/>
      <c r="T329" s="48">
        <f t="shared" si="76"/>
        <v>0</v>
      </c>
      <c r="U329" s="63"/>
      <c r="V329" s="63"/>
      <c r="W329" s="63"/>
      <c r="X329" s="63"/>
      <c r="Y329" s="48"/>
      <c r="Z329" s="48"/>
      <c r="AA329" s="48"/>
      <c r="AB329" s="48"/>
      <c r="AC329" s="48"/>
      <c r="AD329" s="48"/>
      <c r="AE329" s="48"/>
      <c r="AF329" s="48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 t="s">
        <v>80</v>
      </c>
      <c r="AU329" s="30" t="s">
        <v>81</v>
      </c>
      <c r="AV329" s="63"/>
      <c r="AW329" s="63"/>
      <c r="AX329" s="63"/>
      <c r="AY329" s="63"/>
      <c r="AZ329" s="63"/>
      <c r="BA329" s="63"/>
      <c r="BB329" s="63"/>
      <c r="BC329" s="63"/>
      <c r="BD329" s="63"/>
      <c r="BE329" s="63"/>
      <c r="BF329" s="63"/>
      <c r="BG329" s="63"/>
      <c r="BH329" s="63"/>
      <c r="BI329" s="63"/>
      <c r="BJ329" s="63"/>
      <c r="BK329" s="63"/>
      <c r="BL329" s="63">
        <f t="shared" si="66"/>
        <v>0</v>
      </c>
      <c r="BM329" s="63">
        <f t="shared" si="67"/>
        <v>0</v>
      </c>
      <c r="BN329" s="63">
        <f t="shared" si="68"/>
        <v>0</v>
      </c>
      <c r="BO329" s="63">
        <f t="shared" si="69"/>
        <v>0</v>
      </c>
      <c r="BP329" s="63">
        <f t="shared" si="70"/>
        <v>0</v>
      </c>
      <c r="BQ329" s="63">
        <f t="shared" si="71"/>
        <v>0</v>
      </c>
      <c r="BR329" s="63">
        <f t="shared" si="72"/>
        <v>0</v>
      </c>
      <c r="BS329" s="63">
        <f t="shared" si="73"/>
        <v>0</v>
      </c>
    </row>
    <row r="330" spans="1:71">
      <c r="A330" s="28">
        <f t="shared" si="74"/>
        <v>329</v>
      </c>
      <c r="B330" s="31" t="s">
        <v>1119</v>
      </c>
      <c r="C330" s="31" t="s">
        <v>72</v>
      </c>
      <c r="D330" s="31" t="s">
        <v>1111</v>
      </c>
      <c r="E330" s="31" t="s">
        <v>93</v>
      </c>
      <c r="F330" s="31" t="s">
        <v>93</v>
      </c>
      <c r="G330" s="31" t="s">
        <v>283</v>
      </c>
      <c r="H330" s="35" t="s">
        <v>284</v>
      </c>
      <c r="I330" s="72">
        <v>2462</v>
      </c>
      <c r="J330" s="63"/>
      <c r="K330" s="63"/>
      <c r="L330" s="63"/>
      <c r="M330" s="63"/>
      <c r="N330" s="63"/>
      <c r="O330" s="63"/>
      <c r="P330" s="63"/>
      <c r="Q330" s="42">
        <v>0.4</v>
      </c>
      <c r="R330" s="47">
        <f t="shared" si="75"/>
        <v>0</v>
      </c>
      <c r="S330" s="48"/>
      <c r="T330" s="48">
        <f t="shared" si="76"/>
        <v>0</v>
      </c>
      <c r="U330" s="63"/>
      <c r="V330" s="63"/>
      <c r="W330" s="63"/>
      <c r="X330" s="63"/>
      <c r="Y330" s="48"/>
      <c r="Z330" s="48"/>
      <c r="AA330" s="48"/>
      <c r="AB330" s="48"/>
      <c r="AC330" s="48"/>
      <c r="AD330" s="48"/>
      <c r="AE330" s="48"/>
      <c r="AF330" s="48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 t="s">
        <v>80</v>
      </c>
      <c r="AU330" s="30" t="s">
        <v>81</v>
      </c>
      <c r="AV330" s="63"/>
      <c r="AW330" s="63"/>
      <c r="AX330" s="63"/>
      <c r="AY330" s="63"/>
      <c r="AZ330" s="63"/>
      <c r="BA330" s="63"/>
      <c r="BB330" s="63"/>
      <c r="BC330" s="63"/>
      <c r="BD330" s="63"/>
      <c r="BE330" s="63"/>
      <c r="BF330" s="63"/>
      <c r="BG330" s="63"/>
      <c r="BH330" s="63"/>
      <c r="BI330" s="63"/>
      <c r="BJ330" s="63"/>
      <c r="BK330" s="63"/>
      <c r="BL330" s="63">
        <f t="shared" si="66"/>
        <v>0</v>
      </c>
      <c r="BM330" s="63">
        <f t="shared" si="67"/>
        <v>0</v>
      </c>
      <c r="BN330" s="63">
        <f t="shared" si="68"/>
        <v>0</v>
      </c>
      <c r="BO330" s="63">
        <f t="shared" si="69"/>
        <v>0</v>
      </c>
      <c r="BP330" s="63">
        <f t="shared" si="70"/>
        <v>0</v>
      </c>
      <c r="BQ330" s="63">
        <f t="shared" si="71"/>
        <v>0</v>
      </c>
      <c r="BR330" s="63">
        <f t="shared" si="72"/>
        <v>0</v>
      </c>
      <c r="BS330" s="63">
        <f t="shared" si="73"/>
        <v>0</v>
      </c>
    </row>
    <row r="331" spans="1:71">
      <c r="A331" s="28">
        <f t="shared" si="74"/>
        <v>330</v>
      </c>
      <c r="B331" s="31" t="s">
        <v>1120</v>
      </c>
      <c r="C331" s="31" t="s">
        <v>72</v>
      </c>
      <c r="D331" s="31" t="s">
        <v>1111</v>
      </c>
      <c r="E331" s="31" t="s">
        <v>93</v>
      </c>
      <c r="F331" s="31" t="s">
        <v>93</v>
      </c>
      <c r="G331" s="30" t="s">
        <v>341</v>
      </c>
      <c r="H331" s="35" t="s">
        <v>343</v>
      </c>
      <c r="I331" s="72" t="s">
        <v>1121</v>
      </c>
      <c r="J331" s="63"/>
      <c r="K331" s="30" t="s">
        <v>1104</v>
      </c>
      <c r="L331" s="63"/>
      <c r="M331" s="63"/>
      <c r="N331" s="63"/>
      <c r="O331" s="63"/>
      <c r="P331" s="63"/>
      <c r="Q331" s="42">
        <v>0.14</v>
      </c>
      <c r="R331" s="47">
        <f t="shared" si="75"/>
        <v>0</v>
      </c>
      <c r="S331" s="48">
        <v>0</v>
      </c>
      <c r="T331" s="48">
        <f t="shared" si="76"/>
        <v>0</v>
      </c>
      <c r="U331" s="63"/>
      <c r="V331" s="63"/>
      <c r="W331" s="63"/>
      <c r="X331" s="63"/>
      <c r="Y331" s="48"/>
      <c r="Z331" s="48"/>
      <c r="AA331" s="48"/>
      <c r="AB331" s="48"/>
      <c r="AC331" s="48"/>
      <c r="AD331" s="48"/>
      <c r="AE331" s="48"/>
      <c r="AF331" s="48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 t="s">
        <v>80</v>
      </c>
      <c r="AU331" s="30" t="s">
        <v>81</v>
      </c>
      <c r="AV331" s="63"/>
      <c r="AW331" s="63"/>
      <c r="AX331" s="63"/>
      <c r="AY331" s="63"/>
      <c r="AZ331" s="63"/>
      <c r="BA331" s="63"/>
      <c r="BB331" s="63"/>
      <c r="BC331" s="63"/>
      <c r="BD331" s="63"/>
      <c r="BE331" s="63"/>
      <c r="BF331" s="63"/>
      <c r="BG331" s="63"/>
      <c r="BH331" s="63"/>
      <c r="BI331" s="63"/>
      <c r="BJ331" s="63"/>
      <c r="BK331" s="63"/>
      <c r="BL331" s="63">
        <f t="shared" si="66"/>
        <v>0</v>
      </c>
      <c r="BM331" s="63">
        <f t="shared" si="67"/>
        <v>0</v>
      </c>
      <c r="BN331" s="63">
        <f t="shared" si="68"/>
        <v>0</v>
      </c>
      <c r="BO331" s="63">
        <f t="shared" si="69"/>
        <v>0</v>
      </c>
      <c r="BP331" s="63">
        <f t="shared" si="70"/>
        <v>0</v>
      </c>
      <c r="BQ331" s="63">
        <f t="shared" si="71"/>
        <v>0</v>
      </c>
      <c r="BR331" s="63">
        <f t="shared" si="72"/>
        <v>0</v>
      </c>
      <c r="BS331" s="63">
        <f t="shared" si="73"/>
        <v>0</v>
      </c>
    </row>
    <row r="332" spans="1:71">
      <c r="A332" s="28">
        <f t="shared" si="74"/>
        <v>331</v>
      </c>
      <c r="B332" s="31" t="s">
        <v>1122</v>
      </c>
      <c r="C332" s="31" t="s">
        <v>72</v>
      </c>
      <c r="D332" s="31" t="s">
        <v>1111</v>
      </c>
      <c r="E332" s="31" t="s">
        <v>93</v>
      </c>
      <c r="F332" s="31" t="s">
        <v>93</v>
      </c>
      <c r="G332" s="30"/>
      <c r="H332" s="35"/>
      <c r="I332" s="72"/>
      <c r="J332" s="63"/>
      <c r="K332" s="63"/>
      <c r="L332" s="63"/>
      <c r="M332" s="63"/>
      <c r="N332" s="63"/>
      <c r="O332" s="63"/>
      <c r="P332" s="63"/>
      <c r="Q332" s="42"/>
      <c r="R332" s="47">
        <f t="shared" si="75"/>
        <v>0</v>
      </c>
      <c r="S332" s="48">
        <v>0</v>
      </c>
      <c r="T332" s="48">
        <f t="shared" si="76"/>
        <v>0</v>
      </c>
      <c r="U332" s="63"/>
      <c r="V332" s="63"/>
      <c r="W332" s="63"/>
      <c r="X332" s="63"/>
      <c r="Y332" s="48"/>
      <c r="Z332" s="48"/>
      <c r="AA332" s="48"/>
      <c r="AB332" s="48"/>
      <c r="AC332" s="48"/>
      <c r="AD332" s="48"/>
      <c r="AE332" s="48"/>
      <c r="AF332" s="48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 t="s">
        <v>80</v>
      </c>
      <c r="AU332" s="30"/>
      <c r="AV332" s="63"/>
      <c r="AW332" s="63"/>
      <c r="AX332" s="63"/>
      <c r="AY332" s="63"/>
      <c r="AZ332" s="63"/>
      <c r="BA332" s="63"/>
      <c r="BB332" s="63"/>
      <c r="BC332" s="63"/>
      <c r="BD332" s="63"/>
      <c r="BE332" s="63"/>
      <c r="BF332" s="63"/>
      <c r="BG332" s="63"/>
      <c r="BH332" s="63"/>
      <c r="BI332" s="63"/>
      <c r="BJ332" s="63"/>
      <c r="BK332" s="63"/>
      <c r="BL332" s="63">
        <f t="shared" si="66"/>
        <v>0</v>
      </c>
      <c r="BM332" s="63">
        <f t="shared" si="67"/>
        <v>0</v>
      </c>
      <c r="BN332" s="63">
        <f t="shared" si="68"/>
        <v>0</v>
      </c>
      <c r="BO332" s="63">
        <f t="shared" si="69"/>
        <v>0</v>
      </c>
      <c r="BP332" s="63">
        <f t="shared" si="70"/>
        <v>0</v>
      </c>
      <c r="BQ332" s="63">
        <f t="shared" si="71"/>
        <v>0</v>
      </c>
      <c r="BR332" s="63">
        <f t="shared" si="72"/>
        <v>0</v>
      </c>
      <c r="BS332" s="63">
        <f t="shared" si="73"/>
        <v>0</v>
      </c>
    </row>
    <row r="333" spans="1:71">
      <c r="A333" s="28">
        <f t="shared" si="74"/>
        <v>332</v>
      </c>
      <c r="B333" s="31" t="s">
        <v>1123</v>
      </c>
      <c r="C333" s="31" t="s">
        <v>72</v>
      </c>
      <c r="D333" s="31" t="s">
        <v>1111</v>
      </c>
      <c r="E333" s="31" t="s">
        <v>93</v>
      </c>
      <c r="F333" s="31" t="s">
        <v>93</v>
      </c>
      <c r="G333" s="31" t="s">
        <v>406</v>
      </c>
      <c r="H333" s="35" t="s">
        <v>407</v>
      </c>
      <c r="I333" s="72"/>
      <c r="J333" s="63"/>
      <c r="K333" s="63"/>
      <c r="L333" s="63"/>
      <c r="M333" s="63"/>
      <c r="N333" s="63"/>
      <c r="O333" s="63"/>
      <c r="P333" s="63"/>
      <c r="Q333" s="31">
        <v>2.25</v>
      </c>
      <c r="R333" s="47">
        <f t="shared" si="75"/>
        <v>0</v>
      </c>
      <c r="S333" s="48"/>
      <c r="T333" s="48">
        <f t="shared" si="76"/>
        <v>0</v>
      </c>
      <c r="U333" s="63"/>
      <c r="V333" s="63"/>
      <c r="W333" s="63"/>
      <c r="X333" s="63"/>
      <c r="Y333" s="48"/>
      <c r="Z333" s="48"/>
      <c r="AA333" s="48"/>
      <c r="AB333" s="48"/>
      <c r="AC333" s="48"/>
      <c r="AD333" s="48"/>
      <c r="AE333" s="48"/>
      <c r="AF333" s="48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 t="s">
        <v>80</v>
      </c>
      <c r="AU333" s="30" t="s">
        <v>956</v>
      </c>
      <c r="AV333" s="63"/>
      <c r="AW333" s="63"/>
      <c r="AX333" s="63"/>
      <c r="AY333" s="63"/>
      <c r="AZ333" s="63"/>
      <c r="BA333" s="63"/>
      <c r="BB333" s="63"/>
      <c r="BC333" s="63"/>
      <c r="BD333" s="63"/>
      <c r="BE333" s="63"/>
      <c r="BF333" s="63"/>
      <c r="BG333" s="63"/>
      <c r="BH333" s="63"/>
      <c r="BI333" s="63"/>
      <c r="BJ333" s="63"/>
      <c r="BK333" s="63"/>
      <c r="BL333" s="63">
        <f t="shared" si="66"/>
        <v>0</v>
      </c>
      <c r="BM333" s="63">
        <f t="shared" si="67"/>
        <v>0</v>
      </c>
      <c r="BN333" s="63">
        <f t="shared" si="68"/>
        <v>0</v>
      </c>
      <c r="BO333" s="63">
        <f t="shared" si="69"/>
        <v>0</v>
      </c>
      <c r="BP333" s="63">
        <f t="shared" si="70"/>
        <v>0</v>
      </c>
      <c r="BQ333" s="63">
        <f t="shared" si="71"/>
        <v>0</v>
      </c>
      <c r="BR333" s="63">
        <f t="shared" si="72"/>
        <v>0</v>
      </c>
      <c r="BS333" s="63">
        <f t="shared" si="73"/>
        <v>0</v>
      </c>
    </row>
    <row r="334" spans="1:71">
      <c r="A334" s="28">
        <f t="shared" si="74"/>
        <v>333</v>
      </c>
      <c r="B334" s="31" t="s">
        <v>1124</v>
      </c>
      <c r="C334" s="31" t="s">
        <v>72</v>
      </c>
      <c r="D334" s="31" t="s">
        <v>1111</v>
      </c>
      <c r="E334" s="31" t="s">
        <v>93</v>
      </c>
      <c r="F334" s="31" t="s">
        <v>93</v>
      </c>
      <c r="G334" s="31" t="s">
        <v>259</v>
      </c>
      <c r="H334" s="68" t="s">
        <v>260</v>
      </c>
      <c r="I334" s="72">
        <v>2442</v>
      </c>
      <c r="J334" s="63"/>
      <c r="K334" s="63"/>
      <c r="L334" s="63"/>
      <c r="M334" s="63"/>
      <c r="N334" s="63"/>
      <c r="O334" s="63"/>
      <c r="P334" s="63"/>
      <c r="Q334" s="42">
        <v>0.4</v>
      </c>
      <c r="R334" s="47">
        <f t="shared" si="75"/>
        <v>672000</v>
      </c>
      <c r="S334" s="48"/>
      <c r="T334" s="48">
        <f t="shared" si="76"/>
        <v>1680000</v>
      </c>
      <c r="U334" s="63"/>
      <c r="V334" s="63"/>
      <c r="W334" s="63"/>
      <c r="X334" s="63"/>
      <c r="Y334" s="48">
        <v>240000</v>
      </c>
      <c r="Z334" s="48">
        <v>240000</v>
      </c>
      <c r="AA334" s="48">
        <v>240000</v>
      </c>
      <c r="AB334" s="48">
        <v>240000</v>
      </c>
      <c r="AC334" s="48">
        <v>240000</v>
      </c>
      <c r="AD334" s="48">
        <v>240000</v>
      </c>
      <c r="AE334" s="48">
        <v>240000</v>
      </c>
      <c r="AF334" s="48">
        <v>240000</v>
      </c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 t="s">
        <v>80</v>
      </c>
      <c r="AU334" s="30" t="s">
        <v>81</v>
      </c>
      <c r="AV334" s="63"/>
      <c r="AW334" s="63"/>
      <c r="AX334" s="63"/>
      <c r="AY334" s="63"/>
      <c r="AZ334" s="63"/>
      <c r="BA334" s="63"/>
      <c r="BB334" s="63"/>
      <c r="BC334" s="63"/>
      <c r="BD334" s="63"/>
      <c r="BE334" s="63"/>
      <c r="BF334" s="63"/>
      <c r="BG334" s="63"/>
      <c r="BH334" s="63"/>
      <c r="BI334" s="63"/>
      <c r="BJ334" s="63"/>
      <c r="BK334" s="63"/>
      <c r="BL334" s="63">
        <f t="shared" si="66"/>
        <v>96000</v>
      </c>
      <c r="BM334" s="63">
        <f t="shared" si="67"/>
        <v>96000</v>
      </c>
      <c r="BN334" s="63">
        <f t="shared" si="68"/>
        <v>96000</v>
      </c>
      <c r="BO334" s="63">
        <f t="shared" si="69"/>
        <v>96000</v>
      </c>
      <c r="BP334" s="63">
        <f t="shared" si="70"/>
        <v>96000</v>
      </c>
      <c r="BQ334" s="63">
        <f t="shared" si="71"/>
        <v>96000</v>
      </c>
      <c r="BR334" s="63">
        <f t="shared" si="72"/>
        <v>96000</v>
      </c>
      <c r="BS334" s="63">
        <f t="shared" si="73"/>
        <v>96000</v>
      </c>
    </row>
    <row r="335" spans="1:71">
      <c r="A335" s="28">
        <f t="shared" si="74"/>
        <v>334</v>
      </c>
      <c r="B335" s="31" t="s">
        <v>1125</v>
      </c>
      <c r="C335" s="31" t="s">
        <v>72</v>
      </c>
      <c r="D335" s="31" t="s">
        <v>1111</v>
      </c>
      <c r="E335" s="31" t="s">
        <v>93</v>
      </c>
      <c r="F335" s="31" t="s">
        <v>93</v>
      </c>
      <c r="G335" s="30"/>
      <c r="H335" s="35"/>
      <c r="I335" s="72"/>
      <c r="J335" s="63"/>
      <c r="K335" s="63"/>
      <c r="L335" s="63"/>
      <c r="M335" s="63"/>
      <c r="N335" s="63"/>
      <c r="O335" s="63"/>
      <c r="P335" s="63"/>
      <c r="Q335" s="42"/>
      <c r="R335" s="47">
        <f t="shared" si="75"/>
        <v>0</v>
      </c>
      <c r="S335" s="48">
        <v>0</v>
      </c>
      <c r="T335" s="48">
        <f t="shared" si="76"/>
        <v>0</v>
      </c>
      <c r="U335" s="63"/>
      <c r="V335" s="63"/>
      <c r="W335" s="63"/>
      <c r="X335" s="63"/>
      <c r="Y335" s="48"/>
      <c r="Z335" s="48"/>
      <c r="AA335" s="48"/>
      <c r="AB335" s="48"/>
      <c r="AC335" s="48"/>
      <c r="AD335" s="48"/>
      <c r="AE335" s="48"/>
      <c r="AF335" s="48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 t="s">
        <v>80</v>
      </c>
      <c r="AU335" s="30"/>
      <c r="AV335" s="63"/>
      <c r="AW335" s="63"/>
      <c r="AX335" s="63"/>
      <c r="AY335" s="63"/>
      <c r="AZ335" s="63"/>
      <c r="BA335" s="63"/>
      <c r="BB335" s="63"/>
      <c r="BC335" s="63"/>
      <c r="BD335" s="63"/>
      <c r="BE335" s="63"/>
      <c r="BF335" s="63"/>
      <c r="BG335" s="63"/>
      <c r="BH335" s="63"/>
      <c r="BI335" s="63"/>
      <c r="BJ335" s="63"/>
      <c r="BK335" s="63"/>
      <c r="BL335" s="63">
        <f t="shared" si="66"/>
        <v>0</v>
      </c>
      <c r="BM335" s="63">
        <f t="shared" si="67"/>
        <v>0</v>
      </c>
      <c r="BN335" s="63">
        <f t="shared" si="68"/>
        <v>0</v>
      </c>
      <c r="BO335" s="63">
        <f t="shared" si="69"/>
        <v>0</v>
      </c>
      <c r="BP335" s="63">
        <f t="shared" si="70"/>
        <v>0</v>
      </c>
      <c r="BQ335" s="63">
        <f t="shared" si="71"/>
        <v>0</v>
      </c>
      <c r="BR335" s="63">
        <f t="shared" si="72"/>
        <v>0</v>
      </c>
      <c r="BS335" s="63">
        <f t="shared" si="73"/>
        <v>0</v>
      </c>
    </row>
    <row r="336" spans="1:71">
      <c r="A336" s="28">
        <f t="shared" si="74"/>
        <v>335</v>
      </c>
      <c r="B336" s="31" t="s">
        <v>1126</v>
      </c>
      <c r="C336" s="31" t="s">
        <v>72</v>
      </c>
      <c r="D336" s="31" t="s">
        <v>1111</v>
      </c>
      <c r="E336" s="31" t="s">
        <v>93</v>
      </c>
      <c r="F336" s="31" t="s">
        <v>93</v>
      </c>
      <c r="G336" s="31" t="s">
        <v>206</v>
      </c>
      <c r="H336" s="35" t="s">
        <v>207</v>
      </c>
      <c r="I336" s="72"/>
      <c r="J336" s="63"/>
      <c r="K336" s="63"/>
      <c r="L336" s="63"/>
      <c r="M336" s="63"/>
      <c r="N336" s="63"/>
      <c r="O336" s="63"/>
      <c r="P336" s="63"/>
      <c r="Q336" s="42">
        <v>0.33</v>
      </c>
      <c r="R336" s="47">
        <f t="shared" si="75"/>
        <v>0</v>
      </c>
      <c r="S336" s="48"/>
      <c r="T336" s="48">
        <f t="shared" si="76"/>
        <v>0</v>
      </c>
      <c r="U336" s="63"/>
      <c r="V336" s="63"/>
      <c r="W336" s="63"/>
      <c r="X336" s="63"/>
      <c r="Y336" s="48"/>
      <c r="Z336" s="48"/>
      <c r="AA336" s="48"/>
      <c r="AB336" s="48"/>
      <c r="AC336" s="48"/>
      <c r="AD336" s="48"/>
      <c r="AE336" s="48"/>
      <c r="AF336" s="48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 t="s">
        <v>80</v>
      </c>
      <c r="AU336" s="30" t="s">
        <v>81</v>
      </c>
      <c r="AV336" s="63"/>
      <c r="AW336" s="63"/>
      <c r="AX336" s="63"/>
      <c r="AY336" s="63"/>
      <c r="AZ336" s="63"/>
      <c r="BA336" s="63"/>
      <c r="BB336" s="63"/>
      <c r="BC336" s="63"/>
      <c r="BD336" s="63"/>
      <c r="BE336" s="63"/>
      <c r="BF336" s="63"/>
      <c r="BG336" s="63"/>
      <c r="BH336" s="63"/>
      <c r="BI336" s="63"/>
      <c r="BJ336" s="63"/>
      <c r="BK336" s="63"/>
      <c r="BL336" s="63">
        <f t="shared" ref="BL336:BL383" si="77">$Q336*Y336</f>
        <v>0</v>
      </c>
      <c r="BM336" s="63">
        <f t="shared" si="67"/>
        <v>0</v>
      </c>
      <c r="BN336" s="63">
        <f t="shared" si="68"/>
        <v>0</v>
      </c>
      <c r="BO336" s="63">
        <f t="shared" si="69"/>
        <v>0</v>
      </c>
      <c r="BP336" s="63">
        <f t="shared" si="70"/>
        <v>0</v>
      </c>
      <c r="BQ336" s="63">
        <f t="shared" si="71"/>
        <v>0</v>
      </c>
      <c r="BR336" s="63">
        <f t="shared" si="72"/>
        <v>0</v>
      </c>
      <c r="BS336" s="63">
        <f t="shared" si="73"/>
        <v>0</v>
      </c>
    </row>
    <row r="337" spans="1:71">
      <c r="A337" s="28">
        <f t="shared" si="74"/>
        <v>336</v>
      </c>
      <c r="B337" s="31" t="s">
        <v>1127</v>
      </c>
      <c r="C337" s="31" t="s">
        <v>72</v>
      </c>
      <c r="D337" s="31" t="s">
        <v>1111</v>
      </c>
      <c r="E337" s="31" t="s">
        <v>93</v>
      </c>
      <c r="F337" s="31" t="s">
        <v>93</v>
      </c>
      <c r="G337" s="30"/>
      <c r="H337" s="35"/>
      <c r="I337" s="72"/>
      <c r="J337" s="63"/>
      <c r="K337" s="63"/>
      <c r="L337" s="63"/>
      <c r="M337" s="63"/>
      <c r="N337" s="63"/>
      <c r="O337" s="63"/>
      <c r="P337" s="63"/>
      <c r="Q337" s="42"/>
      <c r="R337" s="47">
        <f t="shared" si="75"/>
        <v>0</v>
      </c>
      <c r="S337" s="48">
        <v>0</v>
      </c>
      <c r="T337" s="48">
        <f t="shared" si="76"/>
        <v>0</v>
      </c>
      <c r="U337" s="63"/>
      <c r="V337" s="63"/>
      <c r="W337" s="63"/>
      <c r="X337" s="63"/>
      <c r="Y337" s="48"/>
      <c r="Z337" s="48"/>
      <c r="AA337" s="48"/>
      <c r="AB337" s="48"/>
      <c r="AC337" s="48"/>
      <c r="AD337" s="48"/>
      <c r="AE337" s="48"/>
      <c r="AF337" s="48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 t="s">
        <v>80</v>
      </c>
      <c r="AU337" s="30"/>
      <c r="AV337" s="63"/>
      <c r="AW337" s="63"/>
      <c r="AX337" s="63"/>
      <c r="AY337" s="63"/>
      <c r="AZ337" s="63"/>
      <c r="BA337" s="63"/>
      <c r="BB337" s="63"/>
      <c r="BC337" s="63"/>
      <c r="BD337" s="63"/>
      <c r="BE337" s="63"/>
      <c r="BF337" s="63"/>
      <c r="BG337" s="63"/>
      <c r="BH337" s="63"/>
      <c r="BI337" s="63"/>
      <c r="BJ337" s="63"/>
      <c r="BK337" s="63"/>
      <c r="BL337" s="63">
        <f t="shared" si="77"/>
        <v>0</v>
      </c>
      <c r="BM337" s="63">
        <f t="shared" si="67"/>
        <v>0</v>
      </c>
      <c r="BN337" s="63">
        <f t="shared" si="68"/>
        <v>0</v>
      </c>
      <c r="BO337" s="63">
        <f t="shared" si="69"/>
        <v>0</v>
      </c>
      <c r="BP337" s="63">
        <f t="shared" si="70"/>
        <v>0</v>
      </c>
      <c r="BQ337" s="63">
        <f t="shared" si="71"/>
        <v>0</v>
      </c>
      <c r="BR337" s="63">
        <f t="shared" si="72"/>
        <v>0</v>
      </c>
      <c r="BS337" s="63">
        <f t="shared" si="73"/>
        <v>0</v>
      </c>
    </row>
    <row r="338" spans="1:71">
      <c r="A338" s="28">
        <f t="shared" si="74"/>
        <v>337</v>
      </c>
      <c r="B338" s="31" t="s">
        <v>1128</v>
      </c>
      <c r="C338" s="31" t="s">
        <v>72</v>
      </c>
      <c r="D338" s="31" t="s">
        <v>1111</v>
      </c>
      <c r="E338" s="31" t="s">
        <v>93</v>
      </c>
      <c r="F338" s="31" t="s">
        <v>93</v>
      </c>
      <c r="G338" s="30" t="s">
        <v>210</v>
      </c>
      <c r="H338" s="35" t="s">
        <v>215</v>
      </c>
      <c r="I338" s="72">
        <v>2402</v>
      </c>
      <c r="J338" s="63" t="s">
        <v>216</v>
      </c>
      <c r="K338" s="63"/>
      <c r="L338" s="63"/>
      <c r="M338" s="63"/>
      <c r="N338" s="63"/>
      <c r="O338" s="63"/>
      <c r="P338" s="63"/>
      <c r="Q338" s="42">
        <v>0.13</v>
      </c>
      <c r="R338" s="47">
        <f t="shared" si="75"/>
        <v>0</v>
      </c>
      <c r="S338" s="48"/>
      <c r="T338" s="48">
        <f t="shared" si="76"/>
        <v>0</v>
      </c>
      <c r="U338" s="63"/>
      <c r="V338" s="63"/>
      <c r="W338" s="63"/>
      <c r="X338" s="63"/>
      <c r="Y338" s="48"/>
      <c r="Z338" s="48"/>
      <c r="AA338" s="48"/>
      <c r="AB338" s="48"/>
      <c r="AC338" s="48"/>
      <c r="AD338" s="48"/>
      <c r="AE338" s="48"/>
      <c r="AF338" s="48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 t="s">
        <v>80</v>
      </c>
      <c r="AU338" s="30" t="s">
        <v>81</v>
      </c>
      <c r="AV338" s="63"/>
      <c r="AW338" s="63"/>
      <c r="AX338" s="63"/>
      <c r="AY338" s="63"/>
      <c r="AZ338" s="63"/>
      <c r="BA338" s="63"/>
      <c r="BB338" s="63"/>
      <c r="BC338" s="63"/>
      <c r="BD338" s="63"/>
      <c r="BE338" s="63"/>
      <c r="BF338" s="63"/>
      <c r="BG338" s="63"/>
      <c r="BH338" s="63"/>
      <c r="BI338" s="63"/>
      <c r="BJ338" s="63"/>
      <c r="BK338" s="63"/>
      <c r="BL338" s="63">
        <f t="shared" si="77"/>
        <v>0</v>
      </c>
      <c r="BM338" s="63">
        <f t="shared" si="67"/>
        <v>0</v>
      </c>
      <c r="BN338" s="63">
        <f t="shared" si="68"/>
        <v>0</v>
      </c>
      <c r="BO338" s="63">
        <f t="shared" si="69"/>
        <v>0</v>
      </c>
      <c r="BP338" s="63">
        <f t="shared" si="70"/>
        <v>0</v>
      </c>
      <c r="BQ338" s="63">
        <f t="shared" si="71"/>
        <v>0</v>
      </c>
      <c r="BR338" s="63">
        <f t="shared" si="72"/>
        <v>0</v>
      </c>
      <c r="BS338" s="63">
        <f t="shared" si="73"/>
        <v>0</v>
      </c>
    </row>
    <row r="339" spans="1:71">
      <c r="A339" s="28">
        <f t="shared" si="74"/>
        <v>338</v>
      </c>
      <c r="B339" s="31" t="s">
        <v>1128</v>
      </c>
      <c r="C339" s="31" t="s">
        <v>72</v>
      </c>
      <c r="D339" s="31" t="s">
        <v>1111</v>
      </c>
      <c r="E339" s="31" t="s">
        <v>93</v>
      </c>
      <c r="F339" s="31" t="s">
        <v>93</v>
      </c>
      <c r="G339" s="30" t="s">
        <v>210</v>
      </c>
      <c r="H339" s="35" t="s">
        <v>211</v>
      </c>
      <c r="I339" s="72">
        <v>2402</v>
      </c>
      <c r="J339" s="63" t="s">
        <v>212</v>
      </c>
      <c r="K339" s="63"/>
      <c r="L339" s="63"/>
      <c r="M339" s="63"/>
      <c r="N339" s="63"/>
      <c r="O339" s="63"/>
      <c r="P339" s="63"/>
      <c r="Q339" s="42">
        <v>0.16</v>
      </c>
      <c r="R339" s="47">
        <f t="shared" si="75"/>
        <v>0</v>
      </c>
      <c r="S339" s="48"/>
      <c r="T339" s="48">
        <f t="shared" si="76"/>
        <v>0</v>
      </c>
      <c r="U339" s="63"/>
      <c r="V339" s="63"/>
      <c r="W339" s="63"/>
      <c r="X339" s="63"/>
      <c r="Y339" s="48"/>
      <c r="Z339" s="48"/>
      <c r="AA339" s="48"/>
      <c r="AB339" s="48"/>
      <c r="AC339" s="48"/>
      <c r="AD339" s="48"/>
      <c r="AE339" s="48"/>
      <c r="AF339" s="48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 t="s">
        <v>80</v>
      </c>
      <c r="AU339" s="30" t="s">
        <v>81</v>
      </c>
      <c r="AV339" s="63"/>
      <c r="AW339" s="63"/>
      <c r="AX339" s="63"/>
      <c r="AY339" s="63"/>
      <c r="AZ339" s="63"/>
      <c r="BA339" s="63"/>
      <c r="BB339" s="63"/>
      <c r="BC339" s="63"/>
      <c r="BD339" s="63"/>
      <c r="BE339" s="63"/>
      <c r="BF339" s="63"/>
      <c r="BG339" s="63"/>
      <c r="BH339" s="63"/>
      <c r="BI339" s="63"/>
      <c r="BJ339" s="63"/>
      <c r="BK339" s="63"/>
      <c r="BL339" s="63">
        <f t="shared" si="77"/>
        <v>0</v>
      </c>
      <c r="BM339" s="63">
        <f t="shared" si="67"/>
        <v>0</v>
      </c>
      <c r="BN339" s="63">
        <f t="shared" si="68"/>
        <v>0</v>
      </c>
      <c r="BO339" s="63">
        <f t="shared" si="69"/>
        <v>0</v>
      </c>
      <c r="BP339" s="63">
        <f t="shared" si="70"/>
        <v>0</v>
      </c>
      <c r="BQ339" s="63">
        <f t="shared" si="71"/>
        <v>0</v>
      </c>
      <c r="BR339" s="63">
        <f t="shared" si="72"/>
        <v>0</v>
      </c>
      <c r="BS339" s="63">
        <f t="shared" si="73"/>
        <v>0</v>
      </c>
    </row>
    <row r="340" spans="1:71">
      <c r="A340" s="28">
        <f t="shared" si="74"/>
        <v>339</v>
      </c>
      <c r="B340" s="31" t="s">
        <v>1128</v>
      </c>
      <c r="C340" s="31" t="s">
        <v>72</v>
      </c>
      <c r="D340" s="31" t="s">
        <v>1111</v>
      </c>
      <c r="E340" s="31" t="s">
        <v>93</v>
      </c>
      <c r="F340" s="31" t="s">
        <v>93</v>
      </c>
      <c r="G340" s="31" t="s">
        <v>218</v>
      </c>
      <c r="H340" s="35" t="s">
        <v>219</v>
      </c>
      <c r="I340" s="72">
        <v>2402</v>
      </c>
      <c r="J340" s="63"/>
      <c r="K340" s="63"/>
      <c r="L340" s="63"/>
      <c r="M340" s="63"/>
      <c r="N340" s="63"/>
      <c r="O340" s="63"/>
      <c r="P340" s="63"/>
      <c r="Q340" s="42">
        <v>0.16</v>
      </c>
      <c r="R340" s="47">
        <f t="shared" si="75"/>
        <v>112000</v>
      </c>
      <c r="S340" s="48"/>
      <c r="T340" s="48">
        <f t="shared" si="76"/>
        <v>700000</v>
      </c>
      <c r="U340" s="63"/>
      <c r="V340" s="63"/>
      <c r="W340" s="63"/>
      <c r="X340" s="63"/>
      <c r="Y340" s="48">
        <v>100000</v>
      </c>
      <c r="Z340" s="48">
        <v>100000</v>
      </c>
      <c r="AA340" s="48">
        <v>100000</v>
      </c>
      <c r="AB340" s="48">
        <v>100000</v>
      </c>
      <c r="AC340" s="48">
        <v>100000</v>
      </c>
      <c r="AD340" s="48">
        <v>100000</v>
      </c>
      <c r="AE340" s="48">
        <v>100000</v>
      </c>
      <c r="AF340" s="48">
        <v>100000</v>
      </c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 t="s">
        <v>80</v>
      </c>
      <c r="AU340" s="30" t="s">
        <v>81</v>
      </c>
      <c r="AV340" s="63"/>
      <c r="AW340" s="63"/>
      <c r="AX340" s="63"/>
      <c r="AY340" s="63"/>
      <c r="AZ340" s="63"/>
      <c r="BA340" s="63"/>
      <c r="BB340" s="63"/>
      <c r="BC340" s="63"/>
      <c r="BD340" s="63"/>
      <c r="BE340" s="63"/>
      <c r="BF340" s="63"/>
      <c r="BG340" s="63"/>
      <c r="BH340" s="63"/>
      <c r="BI340" s="63"/>
      <c r="BJ340" s="63"/>
      <c r="BK340" s="63"/>
      <c r="BL340" s="63">
        <f t="shared" si="77"/>
        <v>16000</v>
      </c>
      <c r="BM340" s="63">
        <f t="shared" si="67"/>
        <v>16000</v>
      </c>
      <c r="BN340" s="63">
        <f t="shared" si="68"/>
        <v>16000</v>
      </c>
      <c r="BO340" s="63">
        <f t="shared" si="69"/>
        <v>16000</v>
      </c>
      <c r="BP340" s="63">
        <f t="shared" si="70"/>
        <v>16000</v>
      </c>
      <c r="BQ340" s="63">
        <f t="shared" si="71"/>
        <v>16000</v>
      </c>
      <c r="BR340" s="63">
        <f t="shared" si="72"/>
        <v>16000</v>
      </c>
      <c r="BS340" s="63">
        <f t="shared" si="73"/>
        <v>16000</v>
      </c>
    </row>
    <row r="341" spans="1:71">
      <c r="A341" s="28">
        <f t="shared" si="74"/>
        <v>340</v>
      </c>
      <c r="B341" s="31" t="s">
        <v>1129</v>
      </c>
      <c r="C341" s="31" t="s">
        <v>72</v>
      </c>
      <c r="D341" s="31" t="s">
        <v>1111</v>
      </c>
      <c r="E341" s="31" t="s">
        <v>93</v>
      </c>
      <c r="F341" s="31" t="s">
        <v>93</v>
      </c>
      <c r="G341" s="31" t="s">
        <v>347</v>
      </c>
      <c r="H341" s="35"/>
      <c r="I341" s="72"/>
      <c r="J341" s="63"/>
      <c r="K341" s="63"/>
      <c r="L341" s="63"/>
      <c r="M341" s="63"/>
      <c r="N341" s="63"/>
      <c r="O341" s="63"/>
      <c r="P341" s="63"/>
      <c r="Q341" s="31">
        <v>0.22</v>
      </c>
      <c r="R341" s="47">
        <f t="shared" si="75"/>
        <v>0</v>
      </c>
      <c r="S341" s="48"/>
      <c r="T341" s="48">
        <f t="shared" si="76"/>
        <v>0</v>
      </c>
      <c r="U341" s="63"/>
      <c r="V341" s="63"/>
      <c r="W341" s="63"/>
      <c r="X341" s="63"/>
      <c r="Y341" s="48"/>
      <c r="Z341" s="48"/>
      <c r="AA341" s="48"/>
      <c r="AB341" s="48"/>
      <c r="AC341" s="48"/>
      <c r="AD341" s="48"/>
      <c r="AE341" s="48"/>
      <c r="AF341" s="48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 t="s">
        <v>80</v>
      </c>
      <c r="AU341" s="30" t="s">
        <v>81</v>
      </c>
      <c r="AV341" s="63"/>
      <c r="AW341" s="63"/>
      <c r="AX341" s="63"/>
      <c r="AY341" s="63"/>
      <c r="AZ341" s="63"/>
      <c r="BA341" s="63"/>
      <c r="BB341" s="63"/>
      <c r="BC341" s="63"/>
      <c r="BD341" s="63"/>
      <c r="BE341" s="63"/>
      <c r="BF341" s="63"/>
      <c r="BG341" s="63"/>
      <c r="BH341" s="63"/>
      <c r="BI341" s="63"/>
      <c r="BJ341" s="63"/>
      <c r="BK341" s="63"/>
      <c r="BL341" s="63">
        <f t="shared" si="77"/>
        <v>0</v>
      </c>
      <c r="BM341" s="63">
        <f t="shared" si="67"/>
        <v>0</v>
      </c>
      <c r="BN341" s="63">
        <f t="shared" si="68"/>
        <v>0</v>
      </c>
      <c r="BO341" s="63">
        <f t="shared" si="69"/>
        <v>0</v>
      </c>
      <c r="BP341" s="63">
        <f t="shared" si="70"/>
        <v>0</v>
      </c>
      <c r="BQ341" s="63">
        <f t="shared" si="71"/>
        <v>0</v>
      </c>
      <c r="BR341" s="63">
        <f t="shared" si="72"/>
        <v>0</v>
      </c>
      <c r="BS341" s="63">
        <f t="shared" si="73"/>
        <v>0</v>
      </c>
    </row>
    <row r="342" spans="1:71">
      <c r="A342" s="28">
        <f t="shared" si="74"/>
        <v>341</v>
      </c>
      <c r="B342" s="31" t="s">
        <v>1130</v>
      </c>
      <c r="C342" s="31" t="s">
        <v>72</v>
      </c>
      <c r="D342" s="31" t="s">
        <v>1111</v>
      </c>
      <c r="E342" s="31" t="s">
        <v>93</v>
      </c>
      <c r="F342" s="31" t="s">
        <v>93</v>
      </c>
      <c r="G342" s="31" t="s">
        <v>393</v>
      </c>
      <c r="H342" s="35" t="s">
        <v>394</v>
      </c>
      <c r="I342" s="72"/>
      <c r="J342" s="63"/>
      <c r="K342" s="63"/>
      <c r="L342" s="63"/>
      <c r="M342" s="63"/>
      <c r="N342" s="63"/>
      <c r="O342" s="63"/>
      <c r="P342" s="63"/>
      <c r="Q342" s="31">
        <v>2.9</v>
      </c>
      <c r="R342" s="47">
        <f t="shared" si="75"/>
        <v>0</v>
      </c>
      <c r="S342" s="48"/>
      <c r="T342" s="48">
        <f t="shared" si="76"/>
        <v>0</v>
      </c>
      <c r="U342" s="63"/>
      <c r="V342" s="63"/>
      <c r="W342" s="63"/>
      <c r="X342" s="63"/>
      <c r="Y342" s="48"/>
      <c r="Z342" s="48"/>
      <c r="AA342" s="48"/>
      <c r="AB342" s="48"/>
      <c r="AC342" s="48"/>
      <c r="AD342" s="48"/>
      <c r="AE342" s="48"/>
      <c r="AF342" s="48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 t="s">
        <v>80</v>
      </c>
      <c r="AU342" s="30" t="s">
        <v>545</v>
      </c>
      <c r="AV342" s="63"/>
      <c r="AW342" s="63"/>
      <c r="AX342" s="63"/>
      <c r="AY342" s="63"/>
      <c r="AZ342" s="63"/>
      <c r="BA342" s="63"/>
      <c r="BB342" s="63"/>
      <c r="BC342" s="63"/>
      <c r="BD342" s="63"/>
      <c r="BE342" s="63"/>
      <c r="BF342" s="63"/>
      <c r="BG342" s="63"/>
      <c r="BH342" s="63"/>
      <c r="BI342" s="63"/>
      <c r="BJ342" s="63"/>
      <c r="BK342" s="63"/>
      <c r="BL342" s="63">
        <f t="shared" si="77"/>
        <v>0</v>
      </c>
      <c r="BM342" s="63">
        <f t="shared" si="67"/>
        <v>0</v>
      </c>
      <c r="BN342" s="63">
        <f t="shared" si="68"/>
        <v>0</v>
      </c>
      <c r="BO342" s="63">
        <f t="shared" si="69"/>
        <v>0</v>
      </c>
      <c r="BP342" s="63">
        <f t="shared" si="70"/>
        <v>0</v>
      </c>
      <c r="BQ342" s="63">
        <f t="shared" si="71"/>
        <v>0</v>
      </c>
      <c r="BR342" s="63">
        <f t="shared" si="72"/>
        <v>0</v>
      </c>
      <c r="BS342" s="63">
        <f t="shared" si="73"/>
        <v>0</v>
      </c>
    </row>
    <row r="343" spans="1:71">
      <c r="A343" s="28">
        <f t="shared" si="74"/>
        <v>342</v>
      </c>
      <c r="B343" s="31" t="s">
        <v>1130</v>
      </c>
      <c r="C343" s="31" t="s">
        <v>72</v>
      </c>
      <c r="D343" s="31" t="s">
        <v>1111</v>
      </c>
      <c r="E343" s="31" t="s">
        <v>93</v>
      </c>
      <c r="F343" s="31" t="s">
        <v>93</v>
      </c>
      <c r="G343" s="31" t="s">
        <v>445</v>
      </c>
      <c r="H343" s="35" t="s">
        <v>446</v>
      </c>
      <c r="I343" s="72"/>
      <c r="J343" s="63"/>
      <c r="K343" s="63"/>
      <c r="L343" s="63"/>
      <c r="M343" s="63"/>
      <c r="N343" s="63"/>
      <c r="O343" s="63"/>
      <c r="P343" s="63"/>
      <c r="Q343" s="31">
        <v>2.5</v>
      </c>
      <c r="R343" s="47">
        <f t="shared" si="75"/>
        <v>0</v>
      </c>
      <c r="S343" s="48"/>
      <c r="T343" s="48">
        <f t="shared" si="76"/>
        <v>0</v>
      </c>
      <c r="U343" s="63"/>
      <c r="V343" s="63"/>
      <c r="W343" s="63"/>
      <c r="X343" s="63"/>
      <c r="Y343" s="48"/>
      <c r="Z343" s="48"/>
      <c r="AA343" s="48"/>
      <c r="AB343" s="48"/>
      <c r="AC343" s="48"/>
      <c r="AD343" s="48"/>
      <c r="AE343" s="48"/>
      <c r="AF343" s="48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 t="s">
        <v>80</v>
      </c>
      <c r="AU343" s="30" t="s">
        <v>688</v>
      </c>
      <c r="AV343" s="63"/>
      <c r="AW343" s="63"/>
      <c r="AX343" s="63"/>
      <c r="AY343" s="63"/>
      <c r="AZ343" s="63"/>
      <c r="BA343" s="63"/>
      <c r="BB343" s="63"/>
      <c r="BC343" s="63"/>
      <c r="BD343" s="63"/>
      <c r="BE343" s="63"/>
      <c r="BF343" s="63"/>
      <c r="BG343" s="63"/>
      <c r="BH343" s="63"/>
      <c r="BI343" s="63"/>
      <c r="BJ343" s="63"/>
      <c r="BK343" s="63"/>
      <c r="BL343" s="63">
        <f t="shared" si="77"/>
        <v>0</v>
      </c>
      <c r="BM343" s="63">
        <f t="shared" si="67"/>
        <v>0</v>
      </c>
      <c r="BN343" s="63">
        <f t="shared" si="68"/>
        <v>0</v>
      </c>
      <c r="BO343" s="63">
        <f t="shared" si="69"/>
        <v>0</v>
      </c>
      <c r="BP343" s="63">
        <f t="shared" si="70"/>
        <v>0</v>
      </c>
      <c r="BQ343" s="63">
        <f t="shared" si="71"/>
        <v>0</v>
      </c>
      <c r="BR343" s="63">
        <f t="shared" si="72"/>
        <v>0</v>
      </c>
      <c r="BS343" s="63">
        <f t="shared" si="73"/>
        <v>0</v>
      </c>
    </row>
    <row r="344" spans="1:71">
      <c r="A344" s="28">
        <f t="shared" si="74"/>
        <v>343</v>
      </c>
      <c r="B344" s="31" t="s">
        <v>1131</v>
      </c>
      <c r="C344" s="31" t="s">
        <v>72</v>
      </c>
      <c r="D344" s="31" t="s">
        <v>1111</v>
      </c>
      <c r="E344" s="31" t="s">
        <v>93</v>
      </c>
      <c r="F344" s="31" t="s">
        <v>93</v>
      </c>
      <c r="G344" s="30" t="s">
        <v>203</v>
      </c>
      <c r="H344" s="35" t="s">
        <v>204</v>
      </c>
      <c r="I344" s="72"/>
      <c r="J344" s="63"/>
      <c r="K344" s="63"/>
      <c r="L344" s="63"/>
      <c r="M344" s="63"/>
      <c r="N344" s="63"/>
      <c r="O344" s="63"/>
      <c r="P344" s="63"/>
      <c r="Q344" s="42">
        <v>0.33</v>
      </c>
      <c r="R344" s="47">
        <f t="shared" si="75"/>
        <v>346500</v>
      </c>
      <c r="S344" s="48">
        <v>0</v>
      </c>
      <c r="T344" s="48">
        <f t="shared" si="76"/>
        <v>1050000</v>
      </c>
      <c r="U344" s="63"/>
      <c r="V344" s="63"/>
      <c r="W344" s="63"/>
      <c r="X344" s="63"/>
      <c r="Y344" s="48">
        <v>150000</v>
      </c>
      <c r="Z344" s="48">
        <v>150000</v>
      </c>
      <c r="AA344" s="48">
        <v>150000</v>
      </c>
      <c r="AB344" s="48">
        <v>150000</v>
      </c>
      <c r="AC344" s="48">
        <v>150000</v>
      </c>
      <c r="AD344" s="48">
        <v>150000</v>
      </c>
      <c r="AE344" s="48">
        <v>150000</v>
      </c>
      <c r="AF344" s="48">
        <v>150000</v>
      </c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 t="s">
        <v>80</v>
      </c>
      <c r="AU344" s="30" t="s">
        <v>81</v>
      </c>
      <c r="AV344" s="63"/>
      <c r="AW344" s="63"/>
      <c r="AX344" s="63"/>
      <c r="AY344" s="63"/>
      <c r="AZ344" s="63"/>
      <c r="BA344" s="63"/>
      <c r="BB344" s="63"/>
      <c r="BC344" s="63"/>
      <c r="BD344" s="63"/>
      <c r="BE344" s="63"/>
      <c r="BF344" s="63"/>
      <c r="BG344" s="63"/>
      <c r="BH344" s="63"/>
      <c r="BI344" s="63"/>
      <c r="BJ344" s="63"/>
      <c r="BK344" s="63"/>
      <c r="BL344" s="63">
        <f t="shared" si="77"/>
        <v>49500</v>
      </c>
      <c r="BM344" s="63">
        <f t="shared" si="67"/>
        <v>49500</v>
      </c>
      <c r="BN344" s="63">
        <f t="shared" si="68"/>
        <v>49500</v>
      </c>
      <c r="BO344" s="63">
        <f t="shared" si="69"/>
        <v>49500</v>
      </c>
      <c r="BP344" s="63">
        <f t="shared" si="70"/>
        <v>49500</v>
      </c>
      <c r="BQ344" s="63">
        <f t="shared" si="71"/>
        <v>49500</v>
      </c>
      <c r="BR344" s="63">
        <f t="shared" si="72"/>
        <v>49500</v>
      </c>
      <c r="BS344" s="63">
        <f t="shared" si="73"/>
        <v>49500</v>
      </c>
    </row>
    <row r="345" spans="1:71">
      <c r="A345" s="28">
        <f t="shared" si="74"/>
        <v>344</v>
      </c>
      <c r="B345" s="31" t="s">
        <v>1131</v>
      </c>
      <c r="C345" s="31" t="s">
        <v>72</v>
      </c>
      <c r="D345" s="31" t="s">
        <v>1111</v>
      </c>
      <c r="E345" s="31" t="s">
        <v>93</v>
      </c>
      <c r="F345" s="31" t="s">
        <v>93</v>
      </c>
      <c r="G345" s="30" t="s">
        <v>210</v>
      </c>
      <c r="H345" s="35" t="s">
        <v>211</v>
      </c>
      <c r="I345" s="72">
        <v>2402</v>
      </c>
      <c r="J345" s="63" t="s">
        <v>212</v>
      </c>
      <c r="K345" s="63"/>
      <c r="L345" s="63"/>
      <c r="M345" s="63"/>
      <c r="N345" s="63"/>
      <c r="O345" s="63"/>
      <c r="P345" s="63"/>
      <c r="Q345" s="42">
        <v>0.16</v>
      </c>
      <c r="R345" s="47">
        <f t="shared" si="75"/>
        <v>0</v>
      </c>
      <c r="S345" s="48"/>
      <c r="T345" s="48">
        <f t="shared" si="76"/>
        <v>0</v>
      </c>
      <c r="U345" s="63"/>
      <c r="V345" s="63"/>
      <c r="W345" s="63"/>
      <c r="X345" s="63"/>
      <c r="Y345" s="48"/>
      <c r="Z345" s="48"/>
      <c r="AA345" s="48"/>
      <c r="AB345" s="48"/>
      <c r="AC345" s="48"/>
      <c r="AD345" s="48"/>
      <c r="AE345" s="48"/>
      <c r="AF345" s="48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 t="s">
        <v>80</v>
      </c>
      <c r="AU345" s="30" t="s">
        <v>81</v>
      </c>
      <c r="AV345" s="63"/>
      <c r="AW345" s="63"/>
      <c r="AX345" s="63"/>
      <c r="AY345" s="63"/>
      <c r="AZ345" s="63"/>
      <c r="BA345" s="63"/>
      <c r="BB345" s="63"/>
      <c r="BC345" s="63"/>
      <c r="BD345" s="63"/>
      <c r="BE345" s="63"/>
      <c r="BF345" s="63"/>
      <c r="BG345" s="63"/>
      <c r="BH345" s="63"/>
      <c r="BI345" s="63"/>
      <c r="BJ345" s="63"/>
      <c r="BK345" s="63"/>
      <c r="BL345" s="63">
        <f t="shared" si="77"/>
        <v>0</v>
      </c>
      <c r="BM345" s="63">
        <f t="shared" si="67"/>
        <v>0</v>
      </c>
      <c r="BN345" s="63">
        <f t="shared" si="68"/>
        <v>0</v>
      </c>
      <c r="BO345" s="63">
        <f t="shared" si="69"/>
        <v>0</v>
      </c>
      <c r="BP345" s="63">
        <f t="shared" si="70"/>
        <v>0</v>
      </c>
      <c r="BQ345" s="63">
        <f t="shared" si="71"/>
        <v>0</v>
      </c>
      <c r="BR345" s="63">
        <f t="shared" si="72"/>
        <v>0</v>
      </c>
      <c r="BS345" s="63">
        <f t="shared" si="73"/>
        <v>0</v>
      </c>
    </row>
    <row r="346" spans="1:71">
      <c r="A346" s="28">
        <f t="shared" si="74"/>
        <v>345</v>
      </c>
      <c r="B346" s="31" t="s">
        <v>1132</v>
      </c>
      <c r="C346" s="31" t="s">
        <v>72</v>
      </c>
      <c r="D346" s="31" t="s">
        <v>1111</v>
      </c>
      <c r="E346" s="31" t="s">
        <v>93</v>
      </c>
      <c r="F346" s="31" t="s">
        <v>93</v>
      </c>
      <c r="G346" s="30" t="s">
        <v>171</v>
      </c>
      <c r="H346" s="35" t="s">
        <v>172</v>
      </c>
      <c r="I346" s="72" t="s">
        <v>1116</v>
      </c>
      <c r="J346" s="63"/>
      <c r="K346" s="63"/>
      <c r="L346" s="63"/>
      <c r="M346" s="63"/>
      <c r="N346" s="63"/>
      <c r="O346" s="63"/>
      <c r="P346" s="63"/>
      <c r="Q346" s="42">
        <v>0.25</v>
      </c>
      <c r="R346" s="47">
        <f t="shared" si="75"/>
        <v>0</v>
      </c>
      <c r="S346" s="48"/>
      <c r="T346" s="48">
        <f t="shared" si="76"/>
        <v>0</v>
      </c>
      <c r="U346" s="63"/>
      <c r="V346" s="63"/>
      <c r="W346" s="63"/>
      <c r="X346" s="63"/>
      <c r="Y346" s="48"/>
      <c r="Z346" s="48"/>
      <c r="AA346" s="48"/>
      <c r="AB346" s="48"/>
      <c r="AC346" s="48"/>
      <c r="AD346" s="48"/>
      <c r="AE346" s="48"/>
      <c r="AF346" s="48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 t="s">
        <v>80</v>
      </c>
      <c r="AU346" s="30" t="s">
        <v>81</v>
      </c>
      <c r="AV346" s="63"/>
      <c r="AW346" s="63"/>
      <c r="AX346" s="63"/>
      <c r="AY346" s="63"/>
      <c r="AZ346" s="63"/>
      <c r="BA346" s="63"/>
      <c r="BB346" s="63"/>
      <c r="BC346" s="63"/>
      <c r="BD346" s="63"/>
      <c r="BE346" s="63"/>
      <c r="BF346" s="63"/>
      <c r="BG346" s="63"/>
      <c r="BH346" s="63"/>
      <c r="BI346" s="63"/>
      <c r="BJ346" s="63"/>
      <c r="BK346" s="63"/>
      <c r="BL346" s="63">
        <f t="shared" si="77"/>
        <v>0</v>
      </c>
      <c r="BM346" s="63">
        <f t="shared" si="67"/>
        <v>0</v>
      </c>
      <c r="BN346" s="63">
        <f t="shared" si="68"/>
        <v>0</v>
      </c>
      <c r="BO346" s="63">
        <f t="shared" si="69"/>
        <v>0</v>
      </c>
      <c r="BP346" s="63">
        <f t="shared" si="70"/>
        <v>0</v>
      </c>
      <c r="BQ346" s="63">
        <f t="shared" si="71"/>
        <v>0</v>
      </c>
      <c r="BR346" s="63">
        <f t="shared" si="72"/>
        <v>0</v>
      </c>
      <c r="BS346" s="63">
        <f t="shared" si="73"/>
        <v>0</v>
      </c>
    </row>
    <row r="347" spans="1:71">
      <c r="A347" s="28">
        <f t="shared" si="74"/>
        <v>346</v>
      </c>
      <c r="B347" s="31" t="s">
        <v>1133</v>
      </c>
      <c r="C347" s="31" t="s">
        <v>72</v>
      </c>
      <c r="D347" s="31" t="s">
        <v>1111</v>
      </c>
      <c r="E347" s="31" t="s">
        <v>93</v>
      </c>
      <c r="F347" s="31" t="s">
        <v>93</v>
      </c>
      <c r="G347" s="30"/>
      <c r="H347" s="35"/>
      <c r="I347" s="72"/>
      <c r="J347" s="63"/>
      <c r="K347" s="63"/>
      <c r="L347" s="63"/>
      <c r="M347" s="63"/>
      <c r="N347" s="63"/>
      <c r="O347" s="63"/>
      <c r="P347" s="63"/>
      <c r="Q347" s="42"/>
      <c r="R347" s="47">
        <f t="shared" si="75"/>
        <v>0</v>
      </c>
      <c r="S347" s="48">
        <v>0</v>
      </c>
      <c r="T347" s="48">
        <f t="shared" si="76"/>
        <v>0</v>
      </c>
      <c r="U347" s="63"/>
      <c r="V347" s="63"/>
      <c r="W347" s="63"/>
      <c r="X347" s="63"/>
      <c r="Y347" s="48"/>
      <c r="Z347" s="48"/>
      <c r="AA347" s="48"/>
      <c r="AB347" s="48"/>
      <c r="AC347" s="48"/>
      <c r="AD347" s="48"/>
      <c r="AE347" s="48"/>
      <c r="AF347" s="48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 t="s">
        <v>80</v>
      </c>
      <c r="AU347" s="30"/>
      <c r="AV347" s="63"/>
      <c r="AW347" s="63"/>
      <c r="AX347" s="63"/>
      <c r="AY347" s="63"/>
      <c r="AZ347" s="63"/>
      <c r="BA347" s="63"/>
      <c r="BB347" s="63"/>
      <c r="BC347" s="63"/>
      <c r="BD347" s="63"/>
      <c r="BE347" s="63"/>
      <c r="BF347" s="63"/>
      <c r="BG347" s="63"/>
      <c r="BH347" s="63"/>
      <c r="BI347" s="63"/>
      <c r="BJ347" s="63"/>
      <c r="BK347" s="63"/>
      <c r="BL347" s="63">
        <f t="shared" si="77"/>
        <v>0</v>
      </c>
      <c r="BM347" s="63">
        <f t="shared" si="67"/>
        <v>0</v>
      </c>
      <c r="BN347" s="63">
        <f t="shared" si="68"/>
        <v>0</v>
      </c>
      <c r="BO347" s="63">
        <f t="shared" si="69"/>
        <v>0</v>
      </c>
      <c r="BP347" s="63">
        <f t="shared" si="70"/>
        <v>0</v>
      </c>
      <c r="BQ347" s="63">
        <f t="shared" si="71"/>
        <v>0</v>
      </c>
      <c r="BR347" s="63">
        <f t="shared" si="72"/>
        <v>0</v>
      </c>
      <c r="BS347" s="63">
        <f t="shared" si="73"/>
        <v>0</v>
      </c>
    </row>
    <row r="348" spans="1:71">
      <c r="A348" s="28">
        <f t="shared" si="74"/>
        <v>347</v>
      </c>
      <c r="B348" s="31" t="s">
        <v>1134</v>
      </c>
      <c r="C348" s="31" t="s">
        <v>72</v>
      </c>
      <c r="D348" s="31" t="s">
        <v>1111</v>
      </c>
      <c r="E348" s="31" t="s">
        <v>93</v>
      </c>
      <c r="F348" s="31" t="s">
        <v>93</v>
      </c>
      <c r="G348" s="31" t="s">
        <v>292</v>
      </c>
      <c r="H348" s="35" t="s">
        <v>293</v>
      </c>
      <c r="I348" s="72">
        <v>2466</v>
      </c>
      <c r="J348" s="63"/>
      <c r="K348" s="63"/>
      <c r="L348" s="63"/>
      <c r="M348" s="63"/>
      <c r="N348" s="63"/>
      <c r="O348" s="63"/>
      <c r="P348" s="63"/>
      <c r="Q348" s="42">
        <v>0.3</v>
      </c>
      <c r="R348" s="47">
        <f t="shared" si="75"/>
        <v>0</v>
      </c>
      <c r="S348" s="48"/>
      <c r="T348" s="48">
        <f t="shared" si="76"/>
        <v>0</v>
      </c>
      <c r="U348" s="63"/>
      <c r="V348" s="63"/>
      <c r="W348" s="63"/>
      <c r="X348" s="63"/>
      <c r="Y348" s="48"/>
      <c r="Z348" s="48"/>
      <c r="AA348" s="48"/>
      <c r="AB348" s="48"/>
      <c r="AC348" s="48"/>
      <c r="AD348" s="48"/>
      <c r="AE348" s="48"/>
      <c r="AF348" s="48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 t="s">
        <v>80</v>
      </c>
      <c r="AU348" s="30" t="s">
        <v>81</v>
      </c>
      <c r="AV348" s="63"/>
      <c r="AW348" s="63"/>
      <c r="AX348" s="63"/>
      <c r="AY348" s="63"/>
      <c r="AZ348" s="63"/>
      <c r="BA348" s="63"/>
      <c r="BB348" s="63"/>
      <c r="BC348" s="63"/>
      <c r="BD348" s="63"/>
      <c r="BE348" s="63"/>
      <c r="BF348" s="63"/>
      <c r="BG348" s="63"/>
      <c r="BH348" s="63"/>
      <c r="BI348" s="63"/>
      <c r="BJ348" s="63"/>
      <c r="BK348" s="63"/>
      <c r="BL348" s="63">
        <f t="shared" si="77"/>
        <v>0</v>
      </c>
      <c r="BM348" s="63">
        <f t="shared" si="67"/>
        <v>0</v>
      </c>
      <c r="BN348" s="63">
        <f t="shared" si="68"/>
        <v>0</v>
      </c>
      <c r="BO348" s="63">
        <f t="shared" si="69"/>
        <v>0</v>
      </c>
      <c r="BP348" s="63">
        <f t="shared" si="70"/>
        <v>0</v>
      </c>
      <c r="BQ348" s="63">
        <f t="shared" si="71"/>
        <v>0</v>
      </c>
      <c r="BR348" s="63">
        <f t="shared" si="72"/>
        <v>0</v>
      </c>
      <c r="BS348" s="63">
        <f t="shared" si="73"/>
        <v>0</v>
      </c>
    </row>
    <row r="349" spans="1:71">
      <c r="A349" s="28">
        <f t="shared" si="74"/>
        <v>348</v>
      </c>
      <c r="B349" s="31" t="s">
        <v>1135</v>
      </c>
      <c r="C349" s="31" t="s">
        <v>72</v>
      </c>
      <c r="D349" s="31" t="s">
        <v>1111</v>
      </c>
      <c r="E349" s="31" t="s">
        <v>93</v>
      </c>
      <c r="F349" s="31" t="s">
        <v>93</v>
      </c>
      <c r="G349" s="31" t="s">
        <v>308</v>
      </c>
      <c r="H349" s="35" t="s">
        <v>309</v>
      </c>
      <c r="I349" s="72">
        <v>2546</v>
      </c>
      <c r="J349" s="63"/>
      <c r="K349" s="63"/>
      <c r="L349" s="63"/>
      <c r="M349" s="63"/>
      <c r="N349" s="63"/>
      <c r="O349" s="63"/>
      <c r="P349" s="63"/>
      <c r="Q349" s="42">
        <v>1.2</v>
      </c>
      <c r="R349" s="47">
        <f t="shared" si="75"/>
        <v>0</v>
      </c>
      <c r="S349" s="48"/>
      <c r="T349" s="48">
        <f t="shared" si="76"/>
        <v>0</v>
      </c>
      <c r="U349" s="63"/>
      <c r="V349" s="63"/>
      <c r="W349" s="63"/>
      <c r="X349" s="63"/>
      <c r="Y349" s="48"/>
      <c r="Z349" s="48"/>
      <c r="AA349" s="48"/>
      <c r="AB349" s="48"/>
      <c r="AC349" s="48"/>
      <c r="AD349" s="48"/>
      <c r="AE349" s="48"/>
      <c r="AF349" s="48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 t="s">
        <v>80</v>
      </c>
      <c r="AU349" s="30" t="s">
        <v>81</v>
      </c>
      <c r="AV349" s="63"/>
      <c r="AW349" s="63"/>
      <c r="AX349" s="63"/>
      <c r="AY349" s="63"/>
      <c r="AZ349" s="63"/>
      <c r="BA349" s="63"/>
      <c r="BB349" s="63"/>
      <c r="BC349" s="63"/>
      <c r="BD349" s="63"/>
      <c r="BE349" s="63"/>
      <c r="BF349" s="63"/>
      <c r="BG349" s="63"/>
      <c r="BH349" s="63"/>
      <c r="BI349" s="63"/>
      <c r="BJ349" s="63"/>
      <c r="BK349" s="63"/>
      <c r="BL349" s="63">
        <f t="shared" si="77"/>
        <v>0</v>
      </c>
      <c r="BM349" s="63">
        <f t="shared" si="67"/>
        <v>0</v>
      </c>
      <c r="BN349" s="63">
        <f t="shared" si="68"/>
        <v>0</v>
      </c>
      <c r="BO349" s="63">
        <f t="shared" si="69"/>
        <v>0</v>
      </c>
      <c r="BP349" s="63">
        <f t="shared" si="70"/>
        <v>0</v>
      </c>
      <c r="BQ349" s="63">
        <f t="shared" si="71"/>
        <v>0</v>
      </c>
      <c r="BR349" s="63">
        <f t="shared" si="72"/>
        <v>0</v>
      </c>
      <c r="BS349" s="63">
        <f t="shared" si="73"/>
        <v>0</v>
      </c>
    </row>
    <row r="350" spans="1:71">
      <c r="A350" s="28">
        <f t="shared" si="74"/>
        <v>349</v>
      </c>
      <c r="B350" s="31" t="s">
        <v>1136</v>
      </c>
      <c r="C350" s="31" t="s">
        <v>72</v>
      </c>
      <c r="D350" s="31" t="s">
        <v>1111</v>
      </c>
      <c r="E350" s="31" t="s">
        <v>93</v>
      </c>
      <c r="F350" s="31" t="s">
        <v>93</v>
      </c>
      <c r="G350" s="31" t="s">
        <v>254</v>
      </c>
      <c r="H350" s="37" t="s">
        <v>255</v>
      </c>
      <c r="I350" s="72">
        <v>2442</v>
      </c>
      <c r="J350" s="63"/>
      <c r="K350" s="63"/>
      <c r="L350" s="63"/>
      <c r="M350" s="63"/>
      <c r="N350" s="63"/>
      <c r="O350" s="63"/>
      <c r="P350" s="63"/>
      <c r="Q350" s="42">
        <v>0.28</v>
      </c>
      <c r="R350" s="47">
        <f t="shared" si="75"/>
        <v>470400</v>
      </c>
      <c r="S350" s="48"/>
      <c r="T350" s="48">
        <f t="shared" si="76"/>
        <v>1680000</v>
      </c>
      <c r="U350" s="63"/>
      <c r="V350" s="63"/>
      <c r="W350" s="63"/>
      <c r="X350" s="63"/>
      <c r="Y350" s="48"/>
      <c r="Z350" s="90">
        <v>240000</v>
      </c>
      <c r="AA350" s="90">
        <v>240000</v>
      </c>
      <c r="AB350" s="90">
        <v>240000</v>
      </c>
      <c r="AC350" s="90">
        <v>240000</v>
      </c>
      <c r="AD350" s="90">
        <v>240000</v>
      </c>
      <c r="AE350" s="90">
        <v>240000</v>
      </c>
      <c r="AF350" s="90">
        <v>240000</v>
      </c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 t="s">
        <v>80</v>
      </c>
      <c r="AU350" s="30" t="s">
        <v>81</v>
      </c>
      <c r="AV350" s="63"/>
      <c r="AW350" s="63"/>
      <c r="AX350" s="63"/>
      <c r="AY350" s="63"/>
      <c r="AZ350" s="63"/>
      <c r="BA350" s="63"/>
      <c r="BB350" s="63"/>
      <c r="BC350" s="63"/>
      <c r="BD350" s="63"/>
      <c r="BE350" s="63"/>
      <c r="BF350" s="63"/>
      <c r="BG350" s="63"/>
      <c r="BH350" s="63"/>
      <c r="BI350" s="63"/>
      <c r="BJ350" s="63"/>
      <c r="BK350" s="63"/>
      <c r="BL350" s="63">
        <f t="shared" si="77"/>
        <v>0</v>
      </c>
      <c r="BM350" s="63">
        <f t="shared" si="67"/>
        <v>67200</v>
      </c>
      <c r="BN350" s="63">
        <f t="shared" si="68"/>
        <v>67200</v>
      </c>
      <c r="BO350" s="63">
        <f t="shared" si="69"/>
        <v>67200</v>
      </c>
      <c r="BP350" s="63">
        <f t="shared" si="70"/>
        <v>67200</v>
      </c>
      <c r="BQ350" s="63">
        <f t="shared" si="71"/>
        <v>67200</v>
      </c>
      <c r="BR350" s="63">
        <f t="shared" si="72"/>
        <v>67200</v>
      </c>
      <c r="BS350" s="63">
        <f t="shared" si="73"/>
        <v>67200</v>
      </c>
    </row>
    <row r="351" spans="1:71">
      <c r="A351" s="28">
        <f t="shared" si="74"/>
        <v>350</v>
      </c>
      <c r="B351" s="31" t="s">
        <v>1137</v>
      </c>
      <c r="C351" s="31" t="s">
        <v>72</v>
      </c>
      <c r="D351" s="31" t="s">
        <v>1138</v>
      </c>
      <c r="E351" s="31" t="s">
        <v>93</v>
      </c>
      <c r="F351" s="31" t="s">
        <v>93</v>
      </c>
      <c r="G351" s="30"/>
      <c r="H351" s="35"/>
      <c r="I351" s="72"/>
      <c r="J351" s="63"/>
      <c r="K351" s="63"/>
      <c r="L351" s="63"/>
      <c r="M351" s="63"/>
      <c r="N351" s="63"/>
      <c r="O351" s="63"/>
      <c r="P351" s="63"/>
      <c r="Q351" s="88"/>
      <c r="R351" s="47">
        <f t="shared" si="75"/>
        <v>0</v>
      </c>
      <c r="S351" s="48">
        <v>0</v>
      </c>
      <c r="T351" s="48">
        <f t="shared" si="76"/>
        <v>0</v>
      </c>
      <c r="U351" s="63"/>
      <c r="V351" s="63"/>
      <c r="W351" s="63"/>
      <c r="X351" s="63"/>
      <c r="Y351" s="48"/>
      <c r="Z351" s="48"/>
      <c r="AA351" s="48"/>
      <c r="AB351" s="48"/>
      <c r="AC351" s="48"/>
      <c r="AD351" s="48"/>
      <c r="AE351" s="48"/>
      <c r="AF351" s="48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 t="s">
        <v>80</v>
      </c>
      <c r="AU351" s="30"/>
      <c r="AV351" s="63"/>
      <c r="AW351" s="63"/>
      <c r="AX351" s="63"/>
      <c r="AY351" s="63"/>
      <c r="AZ351" s="63"/>
      <c r="BA351" s="63"/>
      <c r="BB351" s="63"/>
      <c r="BC351" s="63"/>
      <c r="BD351" s="63"/>
      <c r="BE351" s="63"/>
      <c r="BF351" s="63"/>
      <c r="BG351" s="63"/>
      <c r="BH351" s="63"/>
      <c r="BI351" s="63"/>
      <c r="BJ351" s="63"/>
      <c r="BK351" s="63"/>
      <c r="BL351" s="63">
        <f t="shared" si="77"/>
        <v>0</v>
      </c>
      <c r="BM351" s="63">
        <f t="shared" si="67"/>
        <v>0</v>
      </c>
      <c r="BN351" s="63">
        <f t="shared" si="68"/>
        <v>0</v>
      </c>
      <c r="BO351" s="63">
        <f t="shared" si="69"/>
        <v>0</v>
      </c>
      <c r="BP351" s="63">
        <f t="shared" si="70"/>
        <v>0</v>
      </c>
      <c r="BQ351" s="63">
        <f t="shared" si="71"/>
        <v>0</v>
      </c>
      <c r="BR351" s="63">
        <f t="shared" si="72"/>
        <v>0</v>
      </c>
      <c r="BS351" s="63">
        <f t="shared" si="73"/>
        <v>0</v>
      </c>
    </row>
    <row r="352" spans="1:71">
      <c r="A352" s="28">
        <f t="shared" si="74"/>
        <v>351</v>
      </c>
      <c r="B352" s="31" t="s">
        <v>1139</v>
      </c>
      <c r="C352" s="31" t="s">
        <v>92</v>
      </c>
      <c r="D352" s="31" t="s">
        <v>1138</v>
      </c>
      <c r="E352" s="31" t="s">
        <v>93</v>
      </c>
      <c r="F352" s="31" t="s">
        <v>93</v>
      </c>
      <c r="G352" s="30" t="s">
        <v>175</v>
      </c>
      <c r="H352" s="35" t="s">
        <v>177</v>
      </c>
      <c r="I352" s="72"/>
      <c r="J352" s="63"/>
      <c r="K352" s="63"/>
      <c r="L352" s="63"/>
      <c r="M352" s="63"/>
      <c r="N352" s="63"/>
      <c r="O352" s="63"/>
      <c r="P352" s="63"/>
      <c r="Q352" s="88">
        <v>0.255</v>
      </c>
      <c r="R352" s="47">
        <f t="shared" si="75"/>
        <v>6247500</v>
      </c>
      <c r="S352" s="48">
        <v>0</v>
      </c>
      <c r="T352" s="48">
        <f t="shared" si="76"/>
        <v>24500000</v>
      </c>
      <c r="U352" s="63"/>
      <c r="V352" s="63"/>
      <c r="W352" s="63"/>
      <c r="X352" s="63"/>
      <c r="Y352" s="48"/>
      <c r="Z352" s="48">
        <v>3500000</v>
      </c>
      <c r="AA352" s="48">
        <v>3500000</v>
      </c>
      <c r="AB352" s="48">
        <v>3500000</v>
      </c>
      <c r="AC352" s="48">
        <v>3500000</v>
      </c>
      <c r="AD352" s="48">
        <v>3500000</v>
      </c>
      <c r="AE352" s="48">
        <v>3500000</v>
      </c>
      <c r="AF352" s="48">
        <v>3500000</v>
      </c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 t="s">
        <v>80</v>
      </c>
      <c r="AU352" s="30" t="s">
        <v>81</v>
      </c>
      <c r="AV352" s="63"/>
      <c r="AW352" s="63"/>
      <c r="AX352" s="63"/>
      <c r="AY352" s="63"/>
      <c r="AZ352" s="63"/>
      <c r="BA352" s="63"/>
      <c r="BB352" s="63"/>
      <c r="BC352" s="63"/>
      <c r="BD352" s="63"/>
      <c r="BE352" s="63"/>
      <c r="BF352" s="63"/>
      <c r="BG352" s="63"/>
      <c r="BH352" s="63"/>
      <c r="BI352" s="63"/>
      <c r="BJ352" s="63"/>
      <c r="BK352" s="63"/>
      <c r="BL352" s="63">
        <f t="shared" si="77"/>
        <v>0</v>
      </c>
      <c r="BM352" s="63">
        <f t="shared" si="67"/>
        <v>892500</v>
      </c>
      <c r="BN352" s="63">
        <f t="shared" si="68"/>
        <v>892500</v>
      </c>
      <c r="BO352" s="63">
        <f t="shared" si="69"/>
        <v>892500</v>
      </c>
      <c r="BP352" s="63">
        <f t="shared" si="70"/>
        <v>892500</v>
      </c>
      <c r="BQ352" s="63">
        <f t="shared" si="71"/>
        <v>892500</v>
      </c>
      <c r="BR352" s="63">
        <f t="shared" si="72"/>
        <v>892500</v>
      </c>
      <c r="BS352" s="63">
        <f t="shared" si="73"/>
        <v>892500</v>
      </c>
    </row>
    <row r="353" spans="1:71">
      <c r="A353" s="28">
        <f t="shared" si="74"/>
        <v>352</v>
      </c>
      <c r="B353" s="31" t="s">
        <v>1140</v>
      </c>
      <c r="C353" s="31" t="s">
        <v>72</v>
      </c>
      <c r="D353" s="31" t="s">
        <v>1138</v>
      </c>
      <c r="E353" s="31" t="s">
        <v>93</v>
      </c>
      <c r="F353" s="31" t="s">
        <v>93</v>
      </c>
      <c r="G353" s="30" t="s">
        <v>179</v>
      </c>
      <c r="H353" s="35" t="s">
        <v>181</v>
      </c>
      <c r="I353" s="72"/>
      <c r="J353" s="63"/>
      <c r="K353" s="63"/>
      <c r="L353" s="63"/>
      <c r="M353" s="63"/>
      <c r="N353" s="63"/>
      <c r="O353" s="63"/>
      <c r="P353" s="63"/>
      <c r="Q353" s="88">
        <v>0.255</v>
      </c>
      <c r="R353" s="47">
        <f t="shared" si="75"/>
        <v>5355000</v>
      </c>
      <c r="S353" s="48">
        <v>0</v>
      </c>
      <c r="T353" s="48">
        <f t="shared" si="76"/>
        <v>21000000</v>
      </c>
      <c r="U353" s="63"/>
      <c r="V353" s="63"/>
      <c r="W353" s="63"/>
      <c r="X353" s="63"/>
      <c r="Y353" s="48"/>
      <c r="Z353" s="48">
        <v>3000000</v>
      </c>
      <c r="AA353" s="48">
        <v>3000000</v>
      </c>
      <c r="AB353" s="48">
        <v>3000000</v>
      </c>
      <c r="AC353" s="48">
        <v>3000000</v>
      </c>
      <c r="AD353" s="48">
        <v>3000000</v>
      </c>
      <c r="AE353" s="48">
        <v>3000000</v>
      </c>
      <c r="AF353" s="48">
        <v>3000000</v>
      </c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 t="s">
        <v>80</v>
      </c>
      <c r="AU353" s="30" t="s">
        <v>81</v>
      </c>
      <c r="AV353" s="63"/>
      <c r="AW353" s="63"/>
      <c r="AX353" s="63"/>
      <c r="AY353" s="63"/>
      <c r="AZ353" s="63"/>
      <c r="BA353" s="63"/>
      <c r="BB353" s="63"/>
      <c r="BC353" s="63"/>
      <c r="BD353" s="63"/>
      <c r="BE353" s="63"/>
      <c r="BF353" s="63"/>
      <c r="BG353" s="63"/>
      <c r="BH353" s="63"/>
      <c r="BI353" s="63"/>
      <c r="BJ353" s="63"/>
      <c r="BK353" s="63"/>
      <c r="BL353" s="63">
        <f t="shared" si="77"/>
        <v>0</v>
      </c>
      <c r="BM353" s="63">
        <f t="shared" si="67"/>
        <v>765000</v>
      </c>
      <c r="BN353" s="63">
        <f t="shared" si="68"/>
        <v>765000</v>
      </c>
      <c r="BO353" s="63">
        <f t="shared" si="69"/>
        <v>765000</v>
      </c>
      <c r="BP353" s="63">
        <f t="shared" si="70"/>
        <v>765000</v>
      </c>
      <c r="BQ353" s="63">
        <f t="shared" si="71"/>
        <v>765000</v>
      </c>
      <c r="BR353" s="63">
        <f t="shared" si="72"/>
        <v>765000</v>
      </c>
      <c r="BS353" s="63">
        <f t="shared" si="73"/>
        <v>765000</v>
      </c>
    </row>
    <row r="354" spans="1:71">
      <c r="A354" s="28">
        <f t="shared" si="74"/>
        <v>353</v>
      </c>
      <c r="B354" s="31" t="s">
        <v>1141</v>
      </c>
      <c r="C354" s="31" t="s">
        <v>72</v>
      </c>
      <c r="D354" s="31" t="s">
        <v>1138</v>
      </c>
      <c r="E354" s="31" t="s">
        <v>93</v>
      </c>
      <c r="F354" s="31" t="s">
        <v>93</v>
      </c>
      <c r="G354" s="30" t="s">
        <v>193</v>
      </c>
      <c r="H354" s="35" t="s">
        <v>194</v>
      </c>
      <c r="I354" s="72"/>
      <c r="J354" s="63"/>
      <c r="K354" s="63"/>
      <c r="L354" s="63"/>
      <c r="M354" s="63"/>
      <c r="N354" s="63"/>
      <c r="O354" s="63"/>
      <c r="P354" s="63"/>
      <c r="Q354" s="88">
        <v>0.255</v>
      </c>
      <c r="R354" s="47">
        <f t="shared" si="75"/>
        <v>2677500</v>
      </c>
      <c r="S354" s="48">
        <v>0</v>
      </c>
      <c r="T354" s="48">
        <f t="shared" si="76"/>
        <v>10500000</v>
      </c>
      <c r="U354" s="63"/>
      <c r="V354" s="63"/>
      <c r="W354" s="63"/>
      <c r="X354" s="63"/>
      <c r="Y354" s="48"/>
      <c r="Z354" s="48">
        <v>1500000</v>
      </c>
      <c r="AA354" s="48">
        <v>1500000</v>
      </c>
      <c r="AB354" s="48">
        <v>1500000</v>
      </c>
      <c r="AC354" s="48">
        <v>1500000</v>
      </c>
      <c r="AD354" s="48">
        <v>1500000</v>
      </c>
      <c r="AE354" s="48">
        <v>1500000</v>
      </c>
      <c r="AF354" s="48">
        <v>1500000</v>
      </c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 t="s">
        <v>80</v>
      </c>
      <c r="AU354" s="30" t="s">
        <v>81</v>
      </c>
      <c r="AV354" s="63"/>
      <c r="AW354" s="63"/>
      <c r="AX354" s="63"/>
      <c r="AY354" s="63"/>
      <c r="AZ354" s="63"/>
      <c r="BA354" s="63"/>
      <c r="BB354" s="63"/>
      <c r="BC354" s="63"/>
      <c r="BD354" s="63"/>
      <c r="BE354" s="63"/>
      <c r="BF354" s="63"/>
      <c r="BG354" s="63"/>
      <c r="BH354" s="63"/>
      <c r="BI354" s="63"/>
      <c r="BJ354" s="63"/>
      <c r="BK354" s="63"/>
      <c r="BL354" s="63">
        <f t="shared" si="77"/>
        <v>0</v>
      </c>
      <c r="BM354" s="63">
        <f t="shared" si="67"/>
        <v>382500</v>
      </c>
      <c r="BN354" s="63">
        <f t="shared" si="68"/>
        <v>382500</v>
      </c>
      <c r="BO354" s="63">
        <f t="shared" si="69"/>
        <v>382500</v>
      </c>
      <c r="BP354" s="63">
        <f t="shared" si="70"/>
        <v>382500</v>
      </c>
      <c r="BQ354" s="63">
        <f t="shared" si="71"/>
        <v>382500</v>
      </c>
      <c r="BR354" s="63">
        <f t="shared" si="72"/>
        <v>382500</v>
      </c>
      <c r="BS354" s="63">
        <f t="shared" si="73"/>
        <v>382500</v>
      </c>
    </row>
    <row r="355" spans="1:71">
      <c r="A355" s="28">
        <f t="shared" si="74"/>
        <v>354</v>
      </c>
      <c r="B355" s="31" t="s">
        <v>91</v>
      </c>
      <c r="C355" s="31" t="s">
        <v>92</v>
      </c>
      <c r="D355" s="31" t="s">
        <v>91</v>
      </c>
      <c r="E355" s="31" t="s">
        <v>93</v>
      </c>
      <c r="F355" s="31" t="s">
        <v>93</v>
      </c>
      <c r="G355" s="30" t="s">
        <v>336</v>
      </c>
      <c r="H355" s="35" t="s">
        <v>337</v>
      </c>
      <c r="I355" s="72" t="s">
        <v>1142</v>
      </c>
      <c r="J355" s="63" t="s">
        <v>338</v>
      </c>
      <c r="K355" s="63"/>
      <c r="L355" s="63"/>
      <c r="M355" s="63"/>
      <c r="N355" s="63"/>
      <c r="O355" s="63"/>
      <c r="P355" s="63"/>
      <c r="Q355" s="89">
        <v>0.21</v>
      </c>
      <c r="R355" s="47">
        <f t="shared" si="75"/>
        <v>0</v>
      </c>
      <c r="S355" s="48">
        <v>0</v>
      </c>
      <c r="T355" s="48">
        <f t="shared" si="76"/>
        <v>0</v>
      </c>
      <c r="U355" s="63"/>
      <c r="V355" s="63"/>
      <c r="W355" s="63"/>
      <c r="X355" s="63"/>
      <c r="Y355" s="48"/>
      <c r="Z355" s="48"/>
      <c r="AA355" s="48"/>
      <c r="AB355" s="48"/>
      <c r="AC355" s="48"/>
      <c r="AD355" s="48"/>
      <c r="AE355" s="48"/>
      <c r="AF355" s="48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 t="s">
        <v>80</v>
      </c>
      <c r="AU355" s="30" t="s">
        <v>81</v>
      </c>
      <c r="AV355" s="63"/>
      <c r="AW355" s="63"/>
      <c r="AX355" s="63"/>
      <c r="AY355" s="63"/>
      <c r="AZ355" s="63"/>
      <c r="BA355" s="63"/>
      <c r="BB355" s="63"/>
      <c r="BC355" s="63"/>
      <c r="BD355" s="63"/>
      <c r="BE355" s="63"/>
      <c r="BF355" s="63"/>
      <c r="BG355" s="63"/>
      <c r="BH355" s="63"/>
      <c r="BI355" s="63"/>
      <c r="BJ355" s="63"/>
      <c r="BK355" s="63"/>
      <c r="BL355" s="63">
        <f t="shared" si="77"/>
        <v>0</v>
      </c>
      <c r="BM355" s="63">
        <f t="shared" si="67"/>
        <v>0</v>
      </c>
      <c r="BN355" s="63">
        <f t="shared" si="68"/>
        <v>0</v>
      </c>
      <c r="BO355" s="63">
        <f t="shared" si="69"/>
        <v>0</v>
      </c>
      <c r="BP355" s="63">
        <f t="shared" si="70"/>
        <v>0</v>
      </c>
      <c r="BQ355" s="63">
        <f t="shared" si="71"/>
        <v>0</v>
      </c>
      <c r="BR355" s="63">
        <f t="shared" si="72"/>
        <v>0</v>
      </c>
      <c r="BS355" s="63">
        <f t="shared" si="73"/>
        <v>0</v>
      </c>
    </row>
    <row r="356" spans="1:71">
      <c r="A356" s="28">
        <f t="shared" si="74"/>
        <v>355</v>
      </c>
      <c r="B356" s="31" t="s">
        <v>91</v>
      </c>
      <c r="C356" s="31" t="s">
        <v>92</v>
      </c>
      <c r="D356" s="31" t="s">
        <v>91</v>
      </c>
      <c r="E356" s="31" t="s">
        <v>93</v>
      </c>
      <c r="F356" s="31" t="s">
        <v>93</v>
      </c>
      <c r="G356" s="30" t="s">
        <v>187</v>
      </c>
      <c r="H356" s="35" t="s">
        <v>188</v>
      </c>
      <c r="I356" s="72" t="s">
        <v>1116</v>
      </c>
      <c r="J356" s="63"/>
      <c r="K356" s="63"/>
      <c r="L356" s="63"/>
      <c r="M356" s="63"/>
      <c r="N356" s="63"/>
      <c r="O356" s="63"/>
      <c r="P356" s="63"/>
      <c r="Q356" s="89">
        <v>0.255</v>
      </c>
      <c r="R356" s="47">
        <f t="shared" si="75"/>
        <v>0</v>
      </c>
      <c r="S356" s="48">
        <v>0</v>
      </c>
      <c r="T356" s="48">
        <f t="shared" si="76"/>
        <v>0</v>
      </c>
      <c r="U356" s="63"/>
      <c r="V356" s="63"/>
      <c r="W356" s="63"/>
      <c r="X356" s="63"/>
      <c r="Y356" s="48"/>
      <c r="Z356" s="48"/>
      <c r="AA356" s="48"/>
      <c r="AB356" s="48"/>
      <c r="AC356" s="48"/>
      <c r="AD356" s="48"/>
      <c r="AE356" s="48"/>
      <c r="AF356" s="48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 t="s">
        <v>80</v>
      </c>
      <c r="AU356" s="30" t="s">
        <v>81</v>
      </c>
      <c r="AV356" s="63"/>
      <c r="AW356" s="63"/>
      <c r="AX356" s="63"/>
      <c r="AY356" s="63"/>
      <c r="AZ356" s="63"/>
      <c r="BA356" s="63"/>
      <c r="BB356" s="63"/>
      <c r="BC356" s="63"/>
      <c r="BD356" s="63"/>
      <c r="BE356" s="63"/>
      <c r="BF356" s="63"/>
      <c r="BG356" s="63"/>
      <c r="BH356" s="63"/>
      <c r="BI356" s="63"/>
      <c r="BJ356" s="63"/>
      <c r="BK356" s="63"/>
      <c r="BL356" s="63">
        <f t="shared" si="77"/>
        <v>0</v>
      </c>
      <c r="BM356" s="63">
        <f t="shared" si="67"/>
        <v>0</v>
      </c>
      <c r="BN356" s="63">
        <f t="shared" si="68"/>
        <v>0</v>
      </c>
      <c r="BO356" s="63">
        <f t="shared" si="69"/>
        <v>0</v>
      </c>
      <c r="BP356" s="63">
        <f t="shared" si="70"/>
        <v>0</v>
      </c>
      <c r="BQ356" s="63">
        <f t="shared" si="71"/>
        <v>0</v>
      </c>
      <c r="BR356" s="63">
        <f t="shared" si="72"/>
        <v>0</v>
      </c>
      <c r="BS356" s="63">
        <f t="shared" si="73"/>
        <v>0</v>
      </c>
    </row>
    <row r="357" spans="1:71">
      <c r="A357" s="28">
        <f t="shared" si="74"/>
        <v>356</v>
      </c>
      <c r="B357" s="31" t="s">
        <v>91</v>
      </c>
      <c r="C357" s="31" t="s">
        <v>92</v>
      </c>
      <c r="D357" s="31" t="s">
        <v>91</v>
      </c>
      <c r="E357" s="31" t="s">
        <v>93</v>
      </c>
      <c r="F357" s="31" t="s">
        <v>93</v>
      </c>
      <c r="G357" s="30" t="s">
        <v>187</v>
      </c>
      <c r="H357" s="35" t="s">
        <v>189</v>
      </c>
      <c r="I357" s="72" t="s">
        <v>1143</v>
      </c>
      <c r="J357" s="63"/>
      <c r="K357" s="63"/>
      <c r="L357" s="63"/>
      <c r="M357" s="63"/>
      <c r="N357" s="63"/>
      <c r="O357" s="63"/>
      <c r="P357" s="63"/>
      <c r="Q357" s="89">
        <v>0.255</v>
      </c>
      <c r="R357" s="47">
        <f t="shared" si="75"/>
        <v>4462500</v>
      </c>
      <c r="S357" s="48">
        <v>5100000</v>
      </c>
      <c r="T357" s="48">
        <f t="shared" si="76"/>
        <v>17500000</v>
      </c>
      <c r="U357" s="63"/>
      <c r="V357" s="63"/>
      <c r="W357" s="63"/>
      <c r="X357" s="63"/>
      <c r="Y357" s="48">
        <v>2500000</v>
      </c>
      <c r="Z357" s="48">
        <v>2500000</v>
      </c>
      <c r="AA357" s="48">
        <v>2500000</v>
      </c>
      <c r="AB357" s="48">
        <v>2500000</v>
      </c>
      <c r="AC357" s="48">
        <v>2500000</v>
      </c>
      <c r="AD357" s="48">
        <v>2500000</v>
      </c>
      <c r="AE357" s="48">
        <v>2500000</v>
      </c>
      <c r="AF357" s="48">
        <v>2500000</v>
      </c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 t="s">
        <v>80</v>
      </c>
      <c r="AU357" s="30" t="s">
        <v>81</v>
      </c>
      <c r="AV357" s="63"/>
      <c r="AW357" s="63"/>
      <c r="AX357" s="63"/>
      <c r="AY357" s="63"/>
      <c r="AZ357" s="63"/>
      <c r="BA357" s="63"/>
      <c r="BB357" s="63"/>
      <c r="BC357" s="63"/>
      <c r="BD357" s="63"/>
      <c r="BE357" s="63"/>
      <c r="BF357" s="63"/>
      <c r="BG357" s="63"/>
      <c r="BH357" s="63"/>
      <c r="BI357" s="63"/>
      <c r="BJ357" s="63"/>
      <c r="BK357" s="63"/>
      <c r="BL357" s="63">
        <f t="shared" si="77"/>
        <v>637500</v>
      </c>
      <c r="BM357" s="63">
        <f t="shared" si="67"/>
        <v>637500</v>
      </c>
      <c r="BN357" s="63">
        <f t="shared" si="68"/>
        <v>637500</v>
      </c>
      <c r="BO357" s="63">
        <f t="shared" si="69"/>
        <v>637500</v>
      </c>
      <c r="BP357" s="63">
        <f t="shared" si="70"/>
        <v>637500</v>
      </c>
      <c r="BQ357" s="63">
        <f t="shared" si="71"/>
        <v>637500</v>
      </c>
      <c r="BR357" s="63">
        <f t="shared" si="72"/>
        <v>637500</v>
      </c>
      <c r="BS357" s="63">
        <f t="shared" si="73"/>
        <v>637500</v>
      </c>
    </row>
    <row r="358" spans="1:71">
      <c r="A358" s="28">
        <f t="shared" si="74"/>
        <v>357</v>
      </c>
      <c r="B358" s="31" t="s">
        <v>91</v>
      </c>
      <c r="C358" s="31" t="s">
        <v>92</v>
      </c>
      <c r="D358" s="31" t="s">
        <v>91</v>
      </c>
      <c r="E358" s="31" t="s">
        <v>93</v>
      </c>
      <c r="F358" s="31" t="s">
        <v>93</v>
      </c>
      <c r="G358" s="30" t="s">
        <v>184</v>
      </c>
      <c r="H358" s="35" t="s">
        <v>185</v>
      </c>
      <c r="I358" s="72" t="s">
        <v>1116</v>
      </c>
      <c r="J358" s="63"/>
      <c r="K358" s="63"/>
      <c r="L358" s="63"/>
      <c r="M358" s="63"/>
      <c r="N358" s="63"/>
      <c r="O358" s="63"/>
      <c r="P358" s="63"/>
      <c r="Q358" s="89">
        <v>0.255</v>
      </c>
      <c r="R358" s="47">
        <f t="shared" si="75"/>
        <v>0</v>
      </c>
      <c r="S358" s="48">
        <v>0</v>
      </c>
      <c r="T358" s="48">
        <f t="shared" si="76"/>
        <v>0</v>
      </c>
      <c r="U358" s="63"/>
      <c r="V358" s="63"/>
      <c r="W358" s="63"/>
      <c r="X358" s="63"/>
      <c r="Y358" s="48"/>
      <c r="Z358" s="48"/>
      <c r="AA358" s="48"/>
      <c r="AB358" s="48"/>
      <c r="AC358" s="48"/>
      <c r="AD358" s="48"/>
      <c r="AE358" s="48"/>
      <c r="AF358" s="48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 t="s">
        <v>80</v>
      </c>
      <c r="AU358" s="30" t="s">
        <v>81</v>
      </c>
      <c r="AV358" s="63"/>
      <c r="AW358" s="63"/>
      <c r="AX358" s="63"/>
      <c r="AY358" s="63"/>
      <c r="AZ358" s="63"/>
      <c r="BA358" s="63"/>
      <c r="BB358" s="63"/>
      <c r="BC358" s="63"/>
      <c r="BD358" s="63"/>
      <c r="BE358" s="63"/>
      <c r="BF358" s="63"/>
      <c r="BG358" s="63"/>
      <c r="BH358" s="63"/>
      <c r="BI358" s="63"/>
      <c r="BJ358" s="63"/>
      <c r="BK358" s="63"/>
      <c r="BL358" s="63">
        <f t="shared" si="77"/>
        <v>0</v>
      </c>
      <c r="BM358" s="63">
        <f t="shared" si="67"/>
        <v>0</v>
      </c>
      <c r="BN358" s="63">
        <f t="shared" si="68"/>
        <v>0</v>
      </c>
      <c r="BO358" s="63">
        <f t="shared" si="69"/>
        <v>0</v>
      </c>
      <c r="BP358" s="63">
        <f t="shared" si="70"/>
        <v>0</v>
      </c>
      <c r="BQ358" s="63">
        <f t="shared" si="71"/>
        <v>0</v>
      </c>
      <c r="BR358" s="63">
        <f t="shared" si="72"/>
        <v>0</v>
      </c>
      <c r="BS358" s="63">
        <f t="shared" si="73"/>
        <v>0</v>
      </c>
    </row>
    <row r="359" spans="1:71">
      <c r="A359" s="28">
        <f t="shared" si="74"/>
        <v>358</v>
      </c>
      <c r="B359" s="31" t="s">
        <v>91</v>
      </c>
      <c r="C359" s="31" t="s">
        <v>92</v>
      </c>
      <c r="D359" s="31" t="s">
        <v>91</v>
      </c>
      <c r="E359" s="31" t="s">
        <v>93</v>
      </c>
      <c r="F359" s="31" t="s">
        <v>93</v>
      </c>
      <c r="G359" s="30" t="s">
        <v>184</v>
      </c>
      <c r="H359" s="35" t="s">
        <v>186</v>
      </c>
      <c r="I359" s="72" t="s">
        <v>1143</v>
      </c>
      <c r="J359" s="63"/>
      <c r="K359" s="63"/>
      <c r="L359" s="63"/>
      <c r="M359" s="63"/>
      <c r="N359" s="63"/>
      <c r="O359" s="63"/>
      <c r="P359" s="63"/>
      <c r="Q359" s="89">
        <v>0.255</v>
      </c>
      <c r="R359" s="47">
        <f t="shared" si="75"/>
        <v>0</v>
      </c>
      <c r="S359" s="48">
        <v>0</v>
      </c>
      <c r="T359" s="48">
        <f t="shared" si="76"/>
        <v>0</v>
      </c>
      <c r="U359" s="63"/>
      <c r="V359" s="63"/>
      <c r="W359" s="63"/>
      <c r="X359" s="63"/>
      <c r="Y359" s="48"/>
      <c r="Z359" s="48"/>
      <c r="AA359" s="48"/>
      <c r="AB359" s="48"/>
      <c r="AC359" s="48"/>
      <c r="AD359" s="48"/>
      <c r="AE359" s="48"/>
      <c r="AF359" s="48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 t="s">
        <v>80</v>
      </c>
      <c r="AU359" s="30" t="s">
        <v>81</v>
      </c>
      <c r="AV359" s="63"/>
      <c r="AW359" s="63"/>
      <c r="AX359" s="63"/>
      <c r="AY359" s="63"/>
      <c r="AZ359" s="63"/>
      <c r="BA359" s="63"/>
      <c r="BB359" s="63"/>
      <c r="BC359" s="63"/>
      <c r="BD359" s="63"/>
      <c r="BE359" s="63"/>
      <c r="BF359" s="63"/>
      <c r="BG359" s="63"/>
      <c r="BH359" s="63"/>
      <c r="BI359" s="63"/>
      <c r="BJ359" s="63"/>
      <c r="BK359" s="63"/>
      <c r="BL359" s="63">
        <f t="shared" si="77"/>
        <v>0</v>
      </c>
      <c r="BM359" s="63">
        <f t="shared" si="67"/>
        <v>0</v>
      </c>
      <c r="BN359" s="63">
        <f t="shared" si="68"/>
        <v>0</v>
      </c>
      <c r="BO359" s="63">
        <f t="shared" si="69"/>
        <v>0</v>
      </c>
      <c r="BP359" s="63">
        <f t="shared" si="70"/>
        <v>0</v>
      </c>
      <c r="BQ359" s="63">
        <f t="shared" si="71"/>
        <v>0</v>
      </c>
      <c r="BR359" s="63">
        <f t="shared" si="72"/>
        <v>0</v>
      </c>
      <c r="BS359" s="63">
        <f t="shared" si="73"/>
        <v>0</v>
      </c>
    </row>
    <row r="360" spans="1:71">
      <c r="A360" s="28">
        <f t="shared" si="74"/>
        <v>359</v>
      </c>
      <c r="B360" s="31" t="s">
        <v>91</v>
      </c>
      <c r="C360" s="31" t="s">
        <v>92</v>
      </c>
      <c r="D360" s="31" t="s">
        <v>91</v>
      </c>
      <c r="E360" s="31" t="s">
        <v>93</v>
      </c>
      <c r="F360" s="31" t="s">
        <v>93</v>
      </c>
      <c r="G360" s="30" t="s">
        <v>182</v>
      </c>
      <c r="H360" s="35"/>
      <c r="I360" s="72" t="s">
        <v>1143</v>
      </c>
      <c r="J360" s="63"/>
      <c r="K360" s="63"/>
      <c r="L360" s="63"/>
      <c r="M360" s="63"/>
      <c r="N360" s="63"/>
      <c r="O360" s="63"/>
      <c r="P360" s="63"/>
      <c r="Q360" s="89">
        <v>0.255</v>
      </c>
      <c r="R360" s="47">
        <f t="shared" si="75"/>
        <v>0</v>
      </c>
      <c r="S360" s="48">
        <v>0</v>
      </c>
      <c r="T360" s="48">
        <f t="shared" si="76"/>
        <v>0</v>
      </c>
      <c r="U360" s="63"/>
      <c r="V360" s="63"/>
      <c r="W360" s="63"/>
      <c r="X360" s="63"/>
      <c r="Y360" s="48"/>
      <c r="Z360" s="48"/>
      <c r="AA360" s="48"/>
      <c r="AB360" s="48"/>
      <c r="AC360" s="48"/>
      <c r="AD360" s="48"/>
      <c r="AE360" s="48"/>
      <c r="AF360" s="48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 t="s">
        <v>80</v>
      </c>
      <c r="AU360" s="30" t="s">
        <v>81</v>
      </c>
      <c r="AV360" s="63"/>
      <c r="AW360" s="63"/>
      <c r="AX360" s="63"/>
      <c r="AY360" s="63"/>
      <c r="AZ360" s="63"/>
      <c r="BA360" s="63"/>
      <c r="BB360" s="63"/>
      <c r="BC360" s="63"/>
      <c r="BD360" s="63"/>
      <c r="BE360" s="63"/>
      <c r="BF360" s="63"/>
      <c r="BG360" s="63"/>
      <c r="BH360" s="63"/>
      <c r="BI360" s="63"/>
      <c r="BJ360" s="63"/>
      <c r="BK360" s="63"/>
      <c r="BL360" s="63">
        <f t="shared" si="77"/>
        <v>0</v>
      </c>
      <c r="BM360" s="63">
        <f t="shared" si="67"/>
        <v>0</v>
      </c>
      <c r="BN360" s="63">
        <f t="shared" si="68"/>
        <v>0</v>
      </c>
      <c r="BO360" s="63">
        <f t="shared" si="69"/>
        <v>0</v>
      </c>
      <c r="BP360" s="63">
        <f t="shared" si="70"/>
        <v>0</v>
      </c>
      <c r="BQ360" s="63">
        <f t="shared" si="71"/>
        <v>0</v>
      </c>
      <c r="BR360" s="63">
        <f t="shared" si="72"/>
        <v>0</v>
      </c>
      <c r="BS360" s="63">
        <f t="shared" si="73"/>
        <v>0</v>
      </c>
    </row>
    <row r="361" spans="1:71">
      <c r="A361" s="28">
        <f t="shared" si="74"/>
        <v>360</v>
      </c>
      <c r="B361" s="31" t="s">
        <v>91</v>
      </c>
      <c r="C361" s="31" t="s">
        <v>92</v>
      </c>
      <c r="D361" s="31" t="s">
        <v>91</v>
      </c>
      <c r="E361" s="31" t="s">
        <v>93</v>
      </c>
      <c r="F361" s="31" t="s">
        <v>93</v>
      </c>
      <c r="G361" s="30" t="s">
        <v>183</v>
      </c>
      <c r="H361" s="35"/>
      <c r="I361" s="72" t="s">
        <v>1143</v>
      </c>
      <c r="J361" s="63"/>
      <c r="K361" s="63"/>
      <c r="L361" s="63"/>
      <c r="M361" s="63"/>
      <c r="N361" s="63"/>
      <c r="O361" s="63"/>
      <c r="P361" s="63"/>
      <c r="Q361" s="89">
        <v>0.255</v>
      </c>
      <c r="R361" s="47">
        <f t="shared" si="75"/>
        <v>0</v>
      </c>
      <c r="S361" s="48">
        <v>0</v>
      </c>
      <c r="T361" s="48">
        <f t="shared" si="76"/>
        <v>0</v>
      </c>
      <c r="U361" s="63"/>
      <c r="V361" s="63"/>
      <c r="W361" s="63"/>
      <c r="X361" s="63"/>
      <c r="Y361" s="48"/>
      <c r="Z361" s="48"/>
      <c r="AA361" s="48"/>
      <c r="AB361" s="48"/>
      <c r="AC361" s="48"/>
      <c r="AD361" s="48"/>
      <c r="AE361" s="48"/>
      <c r="AF361" s="48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 t="s">
        <v>80</v>
      </c>
      <c r="AU361" s="30" t="s">
        <v>81</v>
      </c>
      <c r="AV361" s="63"/>
      <c r="AW361" s="63"/>
      <c r="AX361" s="63"/>
      <c r="AY361" s="63"/>
      <c r="AZ361" s="63"/>
      <c r="BA361" s="63"/>
      <c r="BB361" s="63"/>
      <c r="BC361" s="63"/>
      <c r="BD361" s="63"/>
      <c r="BE361" s="63"/>
      <c r="BF361" s="63"/>
      <c r="BG361" s="63"/>
      <c r="BH361" s="63"/>
      <c r="BI361" s="63"/>
      <c r="BJ361" s="63"/>
      <c r="BK361" s="63"/>
      <c r="BL361" s="63">
        <f t="shared" si="77"/>
        <v>0</v>
      </c>
      <c r="BM361" s="63">
        <f t="shared" si="67"/>
        <v>0</v>
      </c>
      <c r="BN361" s="63">
        <f t="shared" si="68"/>
        <v>0</v>
      </c>
      <c r="BO361" s="63">
        <f t="shared" si="69"/>
        <v>0</v>
      </c>
      <c r="BP361" s="63">
        <f t="shared" si="70"/>
        <v>0</v>
      </c>
      <c r="BQ361" s="63">
        <f t="shared" si="71"/>
        <v>0</v>
      </c>
      <c r="BR361" s="63">
        <f t="shared" si="72"/>
        <v>0</v>
      </c>
      <c r="BS361" s="63">
        <f t="shared" si="73"/>
        <v>0</v>
      </c>
    </row>
    <row r="362" spans="1:71">
      <c r="A362" s="28">
        <f t="shared" si="74"/>
        <v>361</v>
      </c>
      <c r="B362" s="31" t="s">
        <v>91</v>
      </c>
      <c r="C362" s="31" t="s">
        <v>92</v>
      </c>
      <c r="D362" s="31" t="s">
        <v>91</v>
      </c>
      <c r="E362" s="31" t="s">
        <v>93</v>
      </c>
      <c r="F362" s="31" t="s">
        <v>93</v>
      </c>
      <c r="G362" s="30" t="s">
        <v>160</v>
      </c>
      <c r="H362" s="35"/>
      <c r="I362" s="72" t="s">
        <v>1116</v>
      </c>
      <c r="J362" s="63"/>
      <c r="K362" s="63"/>
      <c r="L362" s="63"/>
      <c r="M362" s="63"/>
      <c r="N362" s="63"/>
      <c r="O362" s="63"/>
      <c r="P362" s="63"/>
      <c r="Q362" s="89">
        <v>0.16</v>
      </c>
      <c r="R362" s="47">
        <f t="shared" si="75"/>
        <v>0</v>
      </c>
      <c r="S362" s="48">
        <v>0</v>
      </c>
      <c r="T362" s="48">
        <f t="shared" si="76"/>
        <v>0</v>
      </c>
      <c r="U362" s="63"/>
      <c r="V362" s="63"/>
      <c r="W362" s="63"/>
      <c r="X362" s="63"/>
      <c r="Y362" s="48"/>
      <c r="Z362" s="48"/>
      <c r="AA362" s="48"/>
      <c r="AB362" s="48"/>
      <c r="AC362" s="48"/>
      <c r="AD362" s="48"/>
      <c r="AE362" s="48"/>
      <c r="AF362" s="48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 t="s">
        <v>80</v>
      </c>
      <c r="AU362" s="30" t="s">
        <v>81</v>
      </c>
      <c r="AV362" s="63"/>
      <c r="AW362" s="63"/>
      <c r="AX362" s="63"/>
      <c r="AY362" s="63"/>
      <c r="AZ362" s="63"/>
      <c r="BA362" s="63"/>
      <c r="BB362" s="63"/>
      <c r="BC362" s="63"/>
      <c r="BD362" s="63"/>
      <c r="BE362" s="63"/>
      <c r="BF362" s="63"/>
      <c r="BG362" s="63"/>
      <c r="BH362" s="63"/>
      <c r="BI362" s="63"/>
      <c r="BJ362" s="63"/>
      <c r="BK362" s="63"/>
      <c r="BL362" s="63">
        <f t="shared" si="77"/>
        <v>0</v>
      </c>
      <c r="BM362" s="63">
        <f t="shared" si="67"/>
        <v>0</v>
      </c>
      <c r="BN362" s="63">
        <f t="shared" si="68"/>
        <v>0</v>
      </c>
      <c r="BO362" s="63">
        <f t="shared" si="69"/>
        <v>0</v>
      </c>
      <c r="BP362" s="63">
        <f t="shared" si="70"/>
        <v>0</v>
      </c>
      <c r="BQ362" s="63">
        <f t="shared" si="71"/>
        <v>0</v>
      </c>
      <c r="BR362" s="63">
        <f t="shared" si="72"/>
        <v>0</v>
      </c>
      <c r="BS362" s="63">
        <f t="shared" si="73"/>
        <v>0</v>
      </c>
    </row>
    <row r="363" spans="1:71">
      <c r="A363" s="28">
        <f t="shared" si="74"/>
        <v>362</v>
      </c>
      <c r="B363" s="31" t="s">
        <v>91</v>
      </c>
      <c r="C363" s="31" t="s">
        <v>92</v>
      </c>
      <c r="D363" s="31" t="s">
        <v>91</v>
      </c>
      <c r="E363" s="31" t="s">
        <v>93</v>
      </c>
      <c r="F363" s="31" t="s">
        <v>93</v>
      </c>
      <c r="G363" s="30" t="s">
        <v>158</v>
      </c>
      <c r="H363" s="35" t="s">
        <v>159</v>
      </c>
      <c r="I363" s="72" t="s">
        <v>1144</v>
      </c>
      <c r="J363" s="63"/>
      <c r="K363" s="63"/>
      <c r="L363" s="63"/>
      <c r="M363" s="63"/>
      <c r="N363" s="63"/>
      <c r="O363" s="63"/>
      <c r="P363" s="63"/>
      <c r="Q363" s="89">
        <v>0.16</v>
      </c>
      <c r="R363" s="47">
        <f t="shared" si="75"/>
        <v>0</v>
      </c>
      <c r="S363" s="48">
        <v>80000</v>
      </c>
      <c r="T363" s="48">
        <f t="shared" si="76"/>
        <v>0</v>
      </c>
      <c r="U363" s="63"/>
      <c r="V363" s="63"/>
      <c r="W363" s="63"/>
      <c r="X363" s="63"/>
      <c r="Y363" s="48">
        <v>500000</v>
      </c>
      <c r="Z363" s="48"/>
      <c r="AA363" s="48"/>
      <c r="AB363" s="48"/>
      <c r="AC363" s="48"/>
      <c r="AD363" s="48"/>
      <c r="AE363" s="48"/>
      <c r="AF363" s="48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 t="s">
        <v>80</v>
      </c>
      <c r="AU363" s="30" t="s">
        <v>81</v>
      </c>
      <c r="AV363" s="63"/>
      <c r="AW363" s="63"/>
      <c r="AX363" s="63"/>
      <c r="AY363" s="63"/>
      <c r="AZ363" s="63"/>
      <c r="BA363" s="63"/>
      <c r="BB363" s="63"/>
      <c r="BC363" s="63"/>
      <c r="BD363" s="63"/>
      <c r="BE363" s="63"/>
      <c r="BF363" s="63"/>
      <c r="BG363" s="63"/>
      <c r="BH363" s="63"/>
      <c r="BI363" s="63"/>
      <c r="BJ363" s="63"/>
      <c r="BK363" s="63"/>
      <c r="BL363" s="63">
        <f t="shared" si="77"/>
        <v>80000</v>
      </c>
      <c r="BM363" s="63">
        <f t="shared" si="67"/>
        <v>0</v>
      </c>
      <c r="BN363" s="63">
        <f t="shared" si="68"/>
        <v>0</v>
      </c>
      <c r="BO363" s="63">
        <f t="shared" si="69"/>
        <v>0</v>
      </c>
      <c r="BP363" s="63">
        <f t="shared" si="70"/>
        <v>0</v>
      </c>
      <c r="BQ363" s="63">
        <f t="shared" si="71"/>
        <v>0</v>
      </c>
      <c r="BR363" s="63">
        <f t="shared" si="72"/>
        <v>0</v>
      </c>
      <c r="BS363" s="63">
        <f t="shared" si="73"/>
        <v>0</v>
      </c>
    </row>
    <row r="364" spans="1:71">
      <c r="A364" s="28">
        <f t="shared" si="74"/>
        <v>363</v>
      </c>
      <c r="B364" s="31" t="s">
        <v>91</v>
      </c>
      <c r="C364" s="31" t="s">
        <v>92</v>
      </c>
      <c r="D364" s="31" t="s">
        <v>91</v>
      </c>
      <c r="E364" s="31" t="s">
        <v>93</v>
      </c>
      <c r="F364" s="31" t="s">
        <v>93</v>
      </c>
      <c r="G364" s="30" t="s">
        <v>76</v>
      </c>
      <c r="H364" s="35" t="s">
        <v>94</v>
      </c>
      <c r="I364" s="72" t="s">
        <v>95</v>
      </c>
      <c r="J364" s="63" t="s">
        <v>96</v>
      </c>
      <c r="K364" s="63"/>
      <c r="L364" s="63"/>
      <c r="M364" s="63"/>
      <c r="N364" s="63"/>
      <c r="O364" s="63"/>
      <c r="P364" s="63"/>
      <c r="Q364" s="89">
        <v>0.265</v>
      </c>
      <c r="R364" s="47">
        <f t="shared" si="75"/>
        <v>704900</v>
      </c>
      <c r="S364" s="48">
        <v>805600</v>
      </c>
      <c r="T364" s="48">
        <f t="shared" si="76"/>
        <v>2660000</v>
      </c>
      <c r="U364" s="63"/>
      <c r="V364" s="63"/>
      <c r="W364" s="63"/>
      <c r="X364" s="63"/>
      <c r="Y364" s="48">
        <v>380000</v>
      </c>
      <c r="Z364" s="48">
        <v>380000</v>
      </c>
      <c r="AA364" s="48">
        <v>380000</v>
      </c>
      <c r="AB364" s="48">
        <v>380000</v>
      </c>
      <c r="AC364" s="48">
        <v>380000</v>
      </c>
      <c r="AD364" s="48">
        <v>380000</v>
      </c>
      <c r="AE364" s="48">
        <v>380000</v>
      </c>
      <c r="AF364" s="48">
        <v>380000</v>
      </c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 t="s">
        <v>80</v>
      </c>
      <c r="AU364" s="30" t="s">
        <v>81</v>
      </c>
      <c r="AV364" s="63"/>
      <c r="AW364" s="63"/>
      <c r="AX364" s="63"/>
      <c r="AY364" s="63"/>
      <c r="AZ364" s="63"/>
      <c r="BA364" s="63"/>
      <c r="BB364" s="63"/>
      <c r="BC364" s="63"/>
      <c r="BD364" s="63"/>
      <c r="BE364" s="63"/>
      <c r="BF364" s="63"/>
      <c r="BG364" s="63"/>
      <c r="BH364" s="63"/>
      <c r="BI364" s="63"/>
      <c r="BJ364" s="63"/>
      <c r="BK364" s="63"/>
      <c r="BL364" s="63">
        <f t="shared" si="77"/>
        <v>100700</v>
      </c>
      <c r="BM364" s="63">
        <f t="shared" si="67"/>
        <v>100700</v>
      </c>
      <c r="BN364" s="63">
        <f t="shared" si="68"/>
        <v>100700</v>
      </c>
      <c r="BO364" s="63">
        <f t="shared" si="69"/>
        <v>100700</v>
      </c>
      <c r="BP364" s="63">
        <f t="shared" si="70"/>
        <v>100700</v>
      </c>
      <c r="BQ364" s="63">
        <f t="shared" si="71"/>
        <v>100700</v>
      </c>
      <c r="BR364" s="63">
        <f t="shared" si="72"/>
        <v>100700</v>
      </c>
      <c r="BS364" s="63">
        <f t="shared" si="73"/>
        <v>100700</v>
      </c>
    </row>
    <row r="365" spans="1:71">
      <c r="A365" s="28">
        <f t="shared" si="74"/>
        <v>364</v>
      </c>
      <c r="B365" s="31" t="s">
        <v>91</v>
      </c>
      <c r="C365" s="31" t="s">
        <v>92</v>
      </c>
      <c r="D365" s="31" t="s">
        <v>91</v>
      </c>
      <c r="E365" s="31" t="s">
        <v>93</v>
      </c>
      <c r="F365" s="31" t="s">
        <v>93</v>
      </c>
      <c r="G365" s="30" t="s">
        <v>218</v>
      </c>
      <c r="H365" s="35" t="s">
        <v>222</v>
      </c>
      <c r="I365" s="72" t="s">
        <v>1145</v>
      </c>
      <c r="J365" s="63" t="s">
        <v>217</v>
      </c>
      <c r="K365" s="63"/>
      <c r="L365" s="63"/>
      <c r="M365" s="63"/>
      <c r="N365" s="63"/>
      <c r="O365" s="63"/>
      <c r="P365" s="63"/>
      <c r="Q365" s="89">
        <v>0.155</v>
      </c>
      <c r="R365" s="47">
        <f t="shared" si="75"/>
        <v>155000</v>
      </c>
      <c r="S365" s="48">
        <v>310000</v>
      </c>
      <c r="T365" s="48">
        <f t="shared" si="76"/>
        <v>1000000</v>
      </c>
      <c r="U365" s="63"/>
      <c r="V365" s="63"/>
      <c r="W365" s="63"/>
      <c r="X365" s="63"/>
      <c r="Y365" s="48">
        <v>1000000</v>
      </c>
      <c r="Z365" s="48"/>
      <c r="AA365" s="48">
        <v>1000000</v>
      </c>
      <c r="AB365" s="48"/>
      <c r="AC365" s="48"/>
      <c r="AD365" s="48"/>
      <c r="AE365" s="48"/>
      <c r="AF365" s="48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 t="s">
        <v>80</v>
      </c>
      <c r="AU365" s="30" t="s">
        <v>81</v>
      </c>
      <c r="AV365" s="63"/>
      <c r="AW365" s="63"/>
      <c r="AX365" s="63"/>
      <c r="AY365" s="63"/>
      <c r="AZ365" s="63"/>
      <c r="BA365" s="63"/>
      <c r="BB365" s="63"/>
      <c r="BC365" s="63"/>
      <c r="BD365" s="63"/>
      <c r="BE365" s="63"/>
      <c r="BF365" s="63"/>
      <c r="BG365" s="63"/>
      <c r="BH365" s="63"/>
      <c r="BI365" s="63"/>
      <c r="BJ365" s="63"/>
      <c r="BK365" s="63"/>
      <c r="BL365" s="63">
        <f t="shared" si="77"/>
        <v>155000</v>
      </c>
      <c r="BM365" s="63">
        <f t="shared" si="67"/>
        <v>0</v>
      </c>
      <c r="BN365" s="63">
        <f t="shared" si="68"/>
        <v>155000</v>
      </c>
      <c r="BO365" s="63">
        <f t="shared" si="69"/>
        <v>0</v>
      </c>
      <c r="BP365" s="63">
        <f t="shared" si="70"/>
        <v>0</v>
      </c>
      <c r="BQ365" s="63">
        <f t="shared" si="71"/>
        <v>0</v>
      </c>
      <c r="BR365" s="63">
        <f t="shared" si="72"/>
        <v>0</v>
      </c>
      <c r="BS365" s="63">
        <f t="shared" si="73"/>
        <v>0</v>
      </c>
    </row>
    <row r="366" spans="1:71">
      <c r="A366" s="28">
        <f t="shared" si="74"/>
        <v>365</v>
      </c>
      <c r="B366" s="31" t="s">
        <v>91</v>
      </c>
      <c r="C366" s="31" t="s">
        <v>92</v>
      </c>
      <c r="D366" s="31" t="s">
        <v>91</v>
      </c>
      <c r="E366" s="31" t="s">
        <v>93</v>
      </c>
      <c r="F366" s="31" t="s">
        <v>93</v>
      </c>
      <c r="G366" s="30" t="s">
        <v>210</v>
      </c>
      <c r="H366" s="35" t="s">
        <v>213</v>
      </c>
      <c r="I366" s="72">
        <v>6571</v>
      </c>
      <c r="J366" s="63" t="s">
        <v>214</v>
      </c>
      <c r="K366" s="63"/>
      <c r="L366" s="63"/>
      <c r="M366" s="63"/>
      <c r="N366" s="63"/>
      <c r="O366" s="63"/>
      <c r="P366" s="63"/>
      <c r="Q366" s="89">
        <v>0.155</v>
      </c>
      <c r="R366" s="47">
        <f t="shared" si="75"/>
        <v>0</v>
      </c>
      <c r="S366" s="48">
        <v>0</v>
      </c>
      <c r="T366" s="48">
        <f t="shared" si="76"/>
        <v>0</v>
      </c>
      <c r="U366" s="63"/>
      <c r="V366" s="63"/>
      <c r="W366" s="63"/>
      <c r="X366" s="63"/>
      <c r="Y366" s="48"/>
      <c r="Z366" s="48"/>
      <c r="AA366" s="48"/>
      <c r="AB366" s="48"/>
      <c r="AC366" s="48"/>
      <c r="AD366" s="48"/>
      <c r="AE366" s="48"/>
      <c r="AF366" s="48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 t="s">
        <v>80</v>
      </c>
      <c r="AU366" s="30" t="s">
        <v>81</v>
      </c>
      <c r="AV366" s="63"/>
      <c r="AW366" s="63"/>
      <c r="AX366" s="63"/>
      <c r="AY366" s="63"/>
      <c r="AZ366" s="63"/>
      <c r="BA366" s="63"/>
      <c r="BB366" s="63"/>
      <c r="BC366" s="63"/>
      <c r="BD366" s="63"/>
      <c r="BE366" s="63"/>
      <c r="BF366" s="63"/>
      <c r="BG366" s="63"/>
      <c r="BH366" s="63"/>
      <c r="BI366" s="63"/>
      <c r="BJ366" s="63"/>
      <c r="BK366" s="63"/>
      <c r="BL366" s="63">
        <f t="shared" si="77"/>
        <v>0</v>
      </c>
      <c r="BM366" s="63">
        <f t="shared" si="67"/>
        <v>0</v>
      </c>
      <c r="BN366" s="63">
        <f t="shared" si="68"/>
        <v>0</v>
      </c>
      <c r="BO366" s="63">
        <f t="shared" si="69"/>
        <v>0</v>
      </c>
      <c r="BP366" s="63">
        <f t="shared" si="70"/>
        <v>0</v>
      </c>
      <c r="BQ366" s="63">
        <f t="shared" si="71"/>
        <v>0</v>
      </c>
      <c r="BR366" s="63">
        <f t="shared" si="72"/>
        <v>0</v>
      </c>
      <c r="BS366" s="63">
        <f t="shared" si="73"/>
        <v>0</v>
      </c>
    </row>
    <row r="367" spans="1:71">
      <c r="A367" s="28">
        <f t="shared" si="74"/>
        <v>366</v>
      </c>
      <c r="B367" s="31" t="s">
        <v>91</v>
      </c>
      <c r="C367" s="31" t="s">
        <v>92</v>
      </c>
      <c r="D367" s="31" t="s">
        <v>91</v>
      </c>
      <c r="E367" s="31" t="s">
        <v>93</v>
      </c>
      <c r="F367" s="31" t="s">
        <v>93</v>
      </c>
      <c r="G367" s="30" t="s">
        <v>218</v>
      </c>
      <c r="H367" s="68"/>
      <c r="I367" s="72">
        <v>6501</v>
      </c>
      <c r="J367" s="63" t="s">
        <v>217</v>
      </c>
      <c r="K367" s="63"/>
      <c r="L367" s="63"/>
      <c r="M367" s="63"/>
      <c r="N367" s="63"/>
      <c r="O367" s="63"/>
      <c r="P367" s="63"/>
      <c r="Q367" s="89">
        <v>0.155</v>
      </c>
      <c r="R367" s="47">
        <f t="shared" si="75"/>
        <v>0</v>
      </c>
      <c r="S367" s="48">
        <v>0</v>
      </c>
      <c r="T367" s="48">
        <f t="shared" si="76"/>
        <v>0</v>
      </c>
      <c r="U367" s="63"/>
      <c r="V367" s="63"/>
      <c r="W367" s="63"/>
      <c r="X367" s="63"/>
      <c r="Y367" s="48"/>
      <c r="Z367" s="48"/>
      <c r="AA367" s="48"/>
      <c r="AB367" s="48"/>
      <c r="AC367" s="48"/>
      <c r="AD367" s="48"/>
      <c r="AE367" s="48"/>
      <c r="AF367" s="48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 t="s">
        <v>80</v>
      </c>
      <c r="AU367" s="30" t="s">
        <v>81</v>
      </c>
      <c r="AV367" s="63"/>
      <c r="AW367" s="63"/>
      <c r="AX367" s="63"/>
      <c r="AY367" s="63"/>
      <c r="AZ367" s="63"/>
      <c r="BA367" s="63"/>
      <c r="BB367" s="63"/>
      <c r="BC367" s="63"/>
      <c r="BD367" s="63"/>
      <c r="BE367" s="63"/>
      <c r="BF367" s="63"/>
      <c r="BG367" s="63"/>
      <c r="BH367" s="63"/>
      <c r="BI367" s="63"/>
      <c r="BJ367" s="63"/>
      <c r="BK367" s="63"/>
      <c r="BL367" s="63">
        <f t="shared" si="77"/>
        <v>0</v>
      </c>
      <c r="BM367" s="63">
        <f t="shared" si="67"/>
        <v>0</v>
      </c>
      <c r="BN367" s="63">
        <f t="shared" si="68"/>
        <v>0</v>
      </c>
      <c r="BO367" s="63">
        <f t="shared" si="69"/>
        <v>0</v>
      </c>
      <c r="BP367" s="63">
        <f t="shared" si="70"/>
        <v>0</v>
      </c>
      <c r="BQ367" s="63">
        <f t="shared" si="71"/>
        <v>0</v>
      </c>
      <c r="BR367" s="63">
        <f t="shared" si="72"/>
        <v>0</v>
      </c>
      <c r="BS367" s="63">
        <f t="shared" si="73"/>
        <v>0</v>
      </c>
    </row>
    <row r="368" spans="1:71">
      <c r="A368" s="28">
        <f t="shared" si="74"/>
        <v>367</v>
      </c>
      <c r="B368" s="31" t="s">
        <v>91</v>
      </c>
      <c r="C368" s="31" t="s">
        <v>92</v>
      </c>
      <c r="D368" s="31" t="s">
        <v>91</v>
      </c>
      <c r="E368" s="31" t="s">
        <v>93</v>
      </c>
      <c r="F368" s="31" t="s">
        <v>93</v>
      </c>
      <c r="G368" s="30" t="s">
        <v>210</v>
      </c>
      <c r="H368" s="35"/>
      <c r="I368" s="72">
        <v>6501</v>
      </c>
      <c r="J368" s="63" t="s">
        <v>217</v>
      </c>
      <c r="K368" s="63"/>
      <c r="L368" s="63"/>
      <c r="M368" s="63"/>
      <c r="N368" s="63"/>
      <c r="O368" s="63"/>
      <c r="P368" s="63"/>
      <c r="Q368" s="89">
        <v>0.155</v>
      </c>
      <c r="R368" s="47">
        <f t="shared" si="75"/>
        <v>0</v>
      </c>
      <c r="S368" s="48">
        <v>0</v>
      </c>
      <c r="T368" s="48">
        <f t="shared" si="76"/>
        <v>0</v>
      </c>
      <c r="U368" s="63"/>
      <c r="V368" s="63"/>
      <c r="W368" s="63"/>
      <c r="X368" s="63"/>
      <c r="Y368" s="48"/>
      <c r="Z368" s="48"/>
      <c r="AA368" s="48"/>
      <c r="AB368" s="48"/>
      <c r="AC368" s="48"/>
      <c r="AD368" s="48"/>
      <c r="AE368" s="48"/>
      <c r="AF368" s="48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 t="s">
        <v>80</v>
      </c>
      <c r="AU368" s="30" t="s">
        <v>81</v>
      </c>
      <c r="AV368" s="63"/>
      <c r="AW368" s="63"/>
      <c r="AX368" s="63"/>
      <c r="AY368" s="63"/>
      <c r="AZ368" s="63"/>
      <c r="BA368" s="63"/>
      <c r="BB368" s="63"/>
      <c r="BC368" s="63"/>
      <c r="BD368" s="63"/>
      <c r="BE368" s="63"/>
      <c r="BF368" s="63"/>
      <c r="BG368" s="63"/>
      <c r="BH368" s="63"/>
      <c r="BI368" s="63"/>
      <c r="BJ368" s="63"/>
      <c r="BK368" s="63"/>
      <c r="BL368" s="63">
        <f t="shared" si="77"/>
        <v>0</v>
      </c>
      <c r="BM368" s="63">
        <f t="shared" si="67"/>
        <v>0</v>
      </c>
      <c r="BN368" s="63">
        <f t="shared" si="68"/>
        <v>0</v>
      </c>
      <c r="BO368" s="63">
        <f t="shared" si="69"/>
        <v>0</v>
      </c>
      <c r="BP368" s="63">
        <f t="shared" si="70"/>
        <v>0</v>
      </c>
      <c r="BQ368" s="63">
        <f t="shared" si="71"/>
        <v>0</v>
      </c>
      <c r="BR368" s="63">
        <f t="shared" si="72"/>
        <v>0</v>
      </c>
      <c r="BS368" s="63">
        <f t="shared" si="73"/>
        <v>0</v>
      </c>
    </row>
    <row r="369" spans="1:71">
      <c r="A369" s="28">
        <f t="shared" si="74"/>
        <v>368</v>
      </c>
      <c r="B369" s="31" t="s">
        <v>91</v>
      </c>
      <c r="C369" s="31" t="s">
        <v>92</v>
      </c>
      <c r="D369" s="31" t="s">
        <v>91</v>
      </c>
      <c r="E369" s="31" t="s">
        <v>93</v>
      </c>
      <c r="F369" s="31" t="s">
        <v>93</v>
      </c>
      <c r="G369" s="30" t="s">
        <v>243</v>
      </c>
      <c r="H369" s="35" t="s">
        <v>244</v>
      </c>
      <c r="I369" s="72">
        <v>6210</v>
      </c>
      <c r="J369" s="63"/>
      <c r="K369" s="63"/>
      <c r="L369" s="63"/>
      <c r="M369" s="63"/>
      <c r="N369" s="63"/>
      <c r="O369" s="63"/>
      <c r="P369" s="63"/>
      <c r="Q369" s="89">
        <v>0.31</v>
      </c>
      <c r="R369" s="47">
        <f t="shared" si="75"/>
        <v>248000</v>
      </c>
      <c r="S369" s="48">
        <v>372000</v>
      </c>
      <c r="T369" s="48">
        <f t="shared" si="76"/>
        <v>800000</v>
      </c>
      <c r="U369" s="63"/>
      <c r="V369" s="63"/>
      <c r="W369" s="63"/>
      <c r="X369" s="63"/>
      <c r="Y369" s="48">
        <v>400000</v>
      </c>
      <c r="Z369" s="48"/>
      <c r="AA369" s="48">
        <v>400000</v>
      </c>
      <c r="AB369" s="48"/>
      <c r="AC369" s="48">
        <v>400000</v>
      </c>
      <c r="AD369" s="48"/>
      <c r="AE369" s="48"/>
      <c r="AF369" s="48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 t="s">
        <v>80</v>
      </c>
      <c r="AU369" s="30" t="s">
        <v>81</v>
      </c>
      <c r="AV369" s="63"/>
      <c r="AW369" s="63"/>
      <c r="AX369" s="63"/>
      <c r="AY369" s="63"/>
      <c r="AZ369" s="63"/>
      <c r="BA369" s="63"/>
      <c r="BB369" s="63"/>
      <c r="BC369" s="63"/>
      <c r="BD369" s="63"/>
      <c r="BE369" s="63"/>
      <c r="BF369" s="63"/>
      <c r="BG369" s="63"/>
      <c r="BH369" s="63"/>
      <c r="BI369" s="63"/>
      <c r="BJ369" s="63"/>
      <c r="BK369" s="63"/>
      <c r="BL369" s="63">
        <f t="shared" si="77"/>
        <v>124000</v>
      </c>
      <c r="BM369" s="63">
        <f t="shared" si="67"/>
        <v>0</v>
      </c>
      <c r="BN369" s="63">
        <f t="shared" si="68"/>
        <v>124000</v>
      </c>
      <c r="BO369" s="63">
        <f t="shared" si="69"/>
        <v>0</v>
      </c>
      <c r="BP369" s="63">
        <f t="shared" si="70"/>
        <v>124000</v>
      </c>
      <c r="BQ369" s="63">
        <f t="shared" si="71"/>
        <v>0</v>
      </c>
      <c r="BR369" s="63">
        <f t="shared" si="72"/>
        <v>0</v>
      </c>
      <c r="BS369" s="63">
        <f t="shared" si="73"/>
        <v>0</v>
      </c>
    </row>
    <row r="370" spans="1:71">
      <c r="A370" s="28">
        <f t="shared" si="74"/>
        <v>369</v>
      </c>
      <c r="B370" s="31" t="s">
        <v>91</v>
      </c>
      <c r="C370" s="31" t="s">
        <v>92</v>
      </c>
      <c r="D370" s="31" t="s">
        <v>91</v>
      </c>
      <c r="E370" s="31" t="s">
        <v>93</v>
      </c>
      <c r="F370" s="31" t="s">
        <v>93</v>
      </c>
      <c r="G370" s="30" t="s">
        <v>320</v>
      </c>
      <c r="H370" s="35" t="s">
        <v>321</v>
      </c>
      <c r="I370" s="72" t="s">
        <v>1146</v>
      </c>
      <c r="J370" s="63"/>
      <c r="K370" s="63"/>
      <c r="L370" s="63"/>
      <c r="M370" s="63"/>
      <c r="N370" s="63"/>
      <c r="O370" s="63"/>
      <c r="P370" s="63"/>
      <c r="Q370" s="89">
        <v>0.285</v>
      </c>
      <c r="R370" s="47">
        <f t="shared" si="75"/>
        <v>0</v>
      </c>
      <c r="S370" s="48">
        <v>320625</v>
      </c>
      <c r="T370" s="48">
        <f t="shared" si="76"/>
        <v>0</v>
      </c>
      <c r="U370" s="63"/>
      <c r="V370" s="63"/>
      <c r="W370" s="63"/>
      <c r="X370" s="63"/>
      <c r="Y370" s="48">
        <v>1125000</v>
      </c>
      <c r="Z370" s="48"/>
      <c r="AA370" s="48"/>
      <c r="AB370" s="48"/>
      <c r="AC370" s="48"/>
      <c r="AD370" s="48"/>
      <c r="AE370" s="48"/>
      <c r="AF370" s="48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 t="s">
        <v>80</v>
      </c>
      <c r="AU370" s="30" t="s">
        <v>81</v>
      </c>
      <c r="AV370" s="63"/>
      <c r="AW370" s="63"/>
      <c r="AX370" s="63"/>
      <c r="AY370" s="63"/>
      <c r="AZ370" s="63"/>
      <c r="BA370" s="63"/>
      <c r="BB370" s="63"/>
      <c r="BC370" s="63"/>
      <c r="BD370" s="63"/>
      <c r="BE370" s="63"/>
      <c r="BF370" s="63"/>
      <c r="BG370" s="63"/>
      <c r="BH370" s="63"/>
      <c r="BI370" s="63"/>
      <c r="BJ370" s="63"/>
      <c r="BK370" s="63"/>
      <c r="BL370" s="63">
        <f t="shared" si="77"/>
        <v>320625</v>
      </c>
      <c r="BM370" s="63">
        <f t="shared" si="67"/>
        <v>0</v>
      </c>
      <c r="BN370" s="63">
        <f t="shared" si="68"/>
        <v>0</v>
      </c>
      <c r="BO370" s="63">
        <f t="shared" si="69"/>
        <v>0</v>
      </c>
      <c r="BP370" s="63">
        <f t="shared" si="70"/>
        <v>0</v>
      </c>
      <c r="BQ370" s="63">
        <f t="shared" si="71"/>
        <v>0</v>
      </c>
      <c r="BR370" s="63">
        <f t="shared" si="72"/>
        <v>0</v>
      </c>
      <c r="BS370" s="63">
        <f t="shared" si="73"/>
        <v>0</v>
      </c>
    </row>
    <row r="371" spans="1:71">
      <c r="A371" s="28">
        <f t="shared" si="74"/>
        <v>370</v>
      </c>
      <c r="B371" s="31" t="s">
        <v>91</v>
      </c>
      <c r="C371" s="31" t="s">
        <v>92</v>
      </c>
      <c r="D371" s="31" t="s">
        <v>91</v>
      </c>
      <c r="E371" s="31" t="s">
        <v>93</v>
      </c>
      <c r="F371" s="31" t="s">
        <v>93</v>
      </c>
      <c r="G371" s="30" t="s">
        <v>322</v>
      </c>
      <c r="H371" s="35" t="s">
        <v>323</v>
      </c>
      <c r="I371" s="72" t="s">
        <v>1147</v>
      </c>
      <c r="J371" s="63"/>
      <c r="K371" s="63"/>
      <c r="L371" s="63"/>
      <c r="M371" s="63"/>
      <c r="N371" s="63"/>
      <c r="O371" s="63"/>
      <c r="P371" s="63"/>
      <c r="Q371" s="89">
        <v>0.285</v>
      </c>
      <c r="R371" s="47">
        <f t="shared" si="75"/>
        <v>0</v>
      </c>
      <c r="S371" s="48">
        <v>0</v>
      </c>
      <c r="T371" s="48">
        <f t="shared" si="76"/>
        <v>0</v>
      </c>
      <c r="U371" s="63"/>
      <c r="V371" s="63"/>
      <c r="W371" s="63"/>
      <c r="X371" s="63"/>
      <c r="Y371" s="48"/>
      <c r="Z371" s="48"/>
      <c r="AA371" s="48"/>
      <c r="AB371" s="48"/>
      <c r="AC371" s="48"/>
      <c r="AD371" s="48"/>
      <c r="AE371" s="48"/>
      <c r="AF371" s="48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 t="s">
        <v>80</v>
      </c>
      <c r="AU371" s="30" t="s">
        <v>81</v>
      </c>
      <c r="AV371" s="63"/>
      <c r="AW371" s="63"/>
      <c r="AX371" s="63"/>
      <c r="AY371" s="63"/>
      <c r="AZ371" s="63"/>
      <c r="BA371" s="63"/>
      <c r="BB371" s="63"/>
      <c r="BC371" s="63"/>
      <c r="BD371" s="63"/>
      <c r="BE371" s="63"/>
      <c r="BF371" s="63"/>
      <c r="BG371" s="63"/>
      <c r="BH371" s="63"/>
      <c r="BI371" s="63"/>
      <c r="BJ371" s="63"/>
      <c r="BK371" s="63"/>
      <c r="BL371" s="63">
        <f t="shared" si="77"/>
        <v>0</v>
      </c>
      <c r="BM371" s="63">
        <f t="shared" si="67"/>
        <v>0</v>
      </c>
      <c r="BN371" s="63">
        <f t="shared" si="68"/>
        <v>0</v>
      </c>
      <c r="BO371" s="63">
        <f t="shared" si="69"/>
        <v>0</v>
      </c>
      <c r="BP371" s="63">
        <f t="shared" si="70"/>
        <v>0</v>
      </c>
      <c r="BQ371" s="63">
        <f t="shared" si="71"/>
        <v>0</v>
      </c>
      <c r="BR371" s="63">
        <f t="shared" si="72"/>
        <v>0</v>
      </c>
      <c r="BS371" s="63">
        <f t="shared" si="73"/>
        <v>0</v>
      </c>
    </row>
    <row r="372" spans="1:71">
      <c r="A372" s="28">
        <f t="shared" si="74"/>
        <v>371</v>
      </c>
      <c r="B372" s="31" t="s">
        <v>91</v>
      </c>
      <c r="C372" s="31" t="s">
        <v>92</v>
      </c>
      <c r="D372" s="31" t="s">
        <v>91</v>
      </c>
      <c r="E372" s="31" t="s">
        <v>93</v>
      </c>
      <c r="F372" s="31" t="s">
        <v>93</v>
      </c>
      <c r="G372" s="30" t="s">
        <v>391</v>
      </c>
      <c r="H372" s="35" t="s">
        <v>392</v>
      </c>
      <c r="I372" s="72">
        <v>6388</v>
      </c>
      <c r="J372" s="63"/>
      <c r="K372" s="63"/>
      <c r="L372" s="63"/>
      <c r="M372" s="63"/>
      <c r="N372" s="63"/>
      <c r="O372" s="63"/>
      <c r="P372" s="63"/>
      <c r="Q372" s="89">
        <v>1.9</v>
      </c>
      <c r="R372" s="47">
        <f t="shared" si="75"/>
        <v>0</v>
      </c>
      <c r="S372" s="48">
        <v>0</v>
      </c>
      <c r="T372" s="48">
        <f t="shared" si="76"/>
        <v>0</v>
      </c>
      <c r="U372" s="63"/>
      <c r="V372" s="63"/>
      <c r="W372" s="63"/>
      <c r="X372" s="63"/>
      <c r="Y372" s="48"/>
      <c r="Z372" s="48"/>
      <c r="AA372" s="48"/>
      <c r="AB372" s="48"/>
      <c r="AC372" s="48"/>
      <c r="AD372" s="48"/>
      <c r="AE372" s="48"/>
      <c r="AF372" s="48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 t="s">
        <v>80</v>
      </c>
      <c r="AU372" s="30" t="s">
        <v>545</v>
      </c>
      <c r="AV372" s="63"/>
      <c r="AW372" s="63"/>
      <c r="AX372" s="63"/>
      <c r="AY372" s="63"/>
      <c r="AZ372" s="63"/>
      <c r="BA372" s="63"/>
      <c r="BB372" s="63"/>
      <c r="BC372" s="63"/>
      <c r="BD372" s="63"/>
      <c r="BE372" s="63"/>
      <c r="BF372" s="63"/>
      <c r="BG372" s="63"/>
      <c r="BH372" s="63"/>
      <c r="BI372" s="63"/>
      <c r="BJ372" s="63"/>
      <c r="BK372" s="63"/>
      <c r="BL372" s="63">
        <f t="shared" si="77"/>
        <v>0</v>
      </c>
      <c r="BM372" s="63">
        <f t="shared" si="67"/>
        <v>0</v>
      </c>
      <c r="BN372" s="63">
        <f t="shared" si="68"/>
        <v>0</v>
      </c>
      <c r="BO372" s="63">
        <f t="shared" si="69"/>
        <v>0</v>
      </c>
      <c r="BP372" s="63">
        <f t="shared" si="70"/>
        <v>0</v>
      </c>
      <c r="BQ372" s="63">
        <f t="shared" si="71"/>
        <v>0</v>
      </c>
      <c r="BR372" s="63">
        <f t="shared" si="72"/>
        <v>0</v>
      </c>
      <c r="BS372" s="63">
        <f t="shared" si="73"/>
        <v>0</v>
      </c>
    </row>
    <row r="373" spans="1:71">
      <c r="A373" s="28">
        <f t="shared" si="74"/>
        <v>372</v>
      </c>
      <c r="B373" s="31" t="s">
        <v>91</v>
      </c>
      <c r="C373" s="31" t="s">
        <v>92</v>
      </c>
      <c r="D373" s="31" t="s">
        <v>91</v>
      </c>
      <c r="E373" s="31" t="s">
        <v>93</v>
      </c>
      <c r="F373" s="31" t="s">
        <v>93</v>
      </c>
      <c r="G373" s="30" t="s">
        <v>233</v>
      </c>
      <c r="H373" s="35" t="s">
        <v>234</v>
      </c>
      <c r="I373" s="72">
        <v>6232</v>
      </c>
      <c r="J373" s="63"/>
      <c r="K373" s="63"/>
      <c r="L373" s="63"/>
      <c r="M373" s="63"/>
      <c r="N373" s="63"/>
      <c r="O373" s="63"/>
      <c r="P373" s="63"/>
      <c r="Q373" s="89">
        <v>0.3</v>
      </c>
      <c r="R373" s="47">
        <f t="shared" si="75"/>
        <v>0</v>
      </c>
      <c r="S373" s="48">
        <v>0</v>
      </c>
      <c r="T373" s="48">
        <f t="shared" si="76"/>
        <v>0</v>
      </c>
      <c r="U373" s="63"/>
      <c r="V373" s="63"/>
      <c r="W373" s="63"/>
      <c r="X373" s="63"/>
      <c r="Y373" s="48"/>
      <c r="Z373" s="48"/>
      <c r="AA373" s="48"/>
      <c r="AB373" s="48"/>
      <c r="AC373" s="48"/>
      <c r="AD373" s="48"/>
      <c r="AE373" s="48"/>
      <c r="AF373" s="48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 t="s">
        <v>80</v>
      </c>
      <c r="AU373" s="30" t="s">
        <v>81</v>
      </c>
      <c r="AV373" s="63"/>
      <c r="AW373" s="63"/>
      <c r="AX373" s="63"/>
      <c r="AY373" s="63"/>
      <c r="AZ373" s="63"/>
      <c r="BA373" s="63"/>
      <c r="BB373" s="63"/>
      <c r="BC373" s="63"/>
      <c r="BD373" s="63"/>
      <c r="BE373" s="63"/>
      <c r="BF373" s="63"/>
      <c r="BG373" s="63"/>
      <c r="BH373" s="63"/>
      <c r="BI373" s="63"/>
      <c r="BJ373" s="63"/>
      <c r="BK373" s="63"/>
      <c r="BL373" s="63">
        <f t="shared" si="77"/>
        <v>0</v>
      </c>
      <c r="BM373" s="63">
        <f t="shared" si="67"/>
        <v>0</v>
      </c>
      <c r="BN373" s="63">
        <f t="shared" si="68"/>
        <v>0</v>
      </c>
      <c r="BO373" s="63">
        <f t="shared" si="69"/>
        <v>0</v>
      </c>
      <c r="BP373" s="63">
        <f t="shared" si="70"/>
        <v>0</v>
      </c>
      <c r="BQ373" s="63">
        <f t="shared" si="71"/>
        <v>0</v>
      </c>
      <c r="BR373" s="63">
        <f t="shared" si="72"/>
        <v>0</v>
      </c>
      <c r="BS373" s="63">
        <f t="shared" si="73"/>
        <v>0</v>
      </c>
    </row>
    <row r="374" spans="1:71">
      <c r="A374" s="28">
        <f t="shared" si="74"/>
        <v>373</v>
      </c>
      <c r="B374" s="31" t="s">
        <v>91</v>
      </c>
      <c r="C374" s="31" t="s">
        <v>92</v>
      </c>
      <c r="D374" s="31" t="s">
        <v>91</v>
      </c>
      <c r="E374" s="31" t="s">
        <v>93</v>
      </c>
      <c r="F374" s="31" t="s">
        <v>93</v>
      </c>
      <c r="G374" s="30" t="s">
        <v>287</v>
      </c>
      <c r="H374" s="35" t="s">
        <v>289</v>
      </c>
      <c r="I374" s="72">
        <v>6472</v>
      </c>
      <c r="J374" s="63"/>
      <c r="K374" s="63"/>
      <c r="L374" s="63"/>
      <c r="M374" s="63"/>
      <c r="N374" s="63"/>
      <c r="O374" s="63"/>
      <c r="P374" s="63"/>
      <c r="Q374" s="89">
        <v>0.26</v>
      </c>
      <c r="R374" s="47">
        <f t="shared" si="75"/>
        <v>312000</v>
      </c>
      <c r="S374" s="48">
        <v>312000</v>
      </c>
      <c r="T374" s="48">
        <f t="shared" si="76"/>
        <v>1200000</v>
      </c>
      <c r="U374" s="63"/>
      <c r="V374" s="63"/>
      <c r="W374" s="63"/>
      <c r="X374" s="63"/>
      <c r="Y374" s="48"/>
      <c r="Z374" s="48">
        <v>400000</v>
      </c>
      <c r="AA374" s="48">
        <v>400000</v>
      </c>
      <c r="AB374" s="48">
        <v>400000</v>
      </c>
      <c r="AC374" s="48"/>
      <c r="AD374" s="48"/>
      <c r="AE374" s="48"/>
      <c r="AF374" s="48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 t="s">
        <v>80</v>
      </c>
      <c r="AU374" s="30" t="s">
        <v>81</v>
      </c>
      <c r="AV374" s="63"/>
      <c r="AW374" s="63"/>
      <c r="AX374" s="63"/>
      <c r="AY374" s="63"/>
      <c r="AZ374" s="63"/>
      <c r="BA374" s="63"/>
      <c r="BB374" s="63"/>
      <c r="BC374" s="63"/>
      <c r="BD374" s="63"/>
      <c r="BE374" s="63"/>
      <c r="BF374" s="63"/>
      <c r="BG374" s="63"/>
      <c r="BH374" s="63"/>
      <c r="BI374" s="63"/>
      <c r="BJ374" s="63"/>
      <c r="BK374" s="63"/>
      <c r="BL374" s="63">
        <f t="shared" si="77"/>
        <v>0</v>
      </c>
      <c r="BM374" s="63">
        <f t="shared" si="67"/>
        <v>104000</v>
      </c>
      <c r="BN374" s="63">
        <f t="shared" si="68"/>
        <v>104000</v>
      </c>
      <c r="BO374" s="63">
        <f t="shared" si="69"/>
        <v>104000</v>
      </c>
      <c r="BP374" s="63">
        <f t="shared" si="70"/>
        <v>0</v>
      </c>
      <c r="BQ374" s="63">
        <f t="shared" si="71"/>
        <v>0</v>
      </c>
      <c r="BR374" s="63">
        <f t="shared" si="72"/>
        <v>0</v>
      </c>
      <c r="BS374" s="63">
        <f t="shared" si="73"/>
        <v>0</v>
      </c>
    </row>
    <row r="375" spans="1:71">
      <c r="A375" s="28">
        <f t="shared" si="74"/>
        <v>374</v>
      </c>
      <c r="B375" s="31" t="s">
        <v>1148</v>
      </c>
      <c r="C375" s="31" t="s">
        <v>72</v>
      </c>
      <c r="D375" s="31" t="s">
        <v>1148</v>
      </c>
      <c r="E375" s="31" t="s">
        <v>93</v>
      </c>
      <c r="F375" s="31" t="s">
        <v>93</v>
      </c>
      <c r="G375" s="30"/>
      <c r="H375" s="35"/>
      <c r="I375" s="72"/>
      <c r="J375" s="63"/>
      <c r="K375" s="63"/>
      <c r="L375" s="63"/>
      <c r="M375" s="63"/>
      <c r="N375" s="63"/>
      <c r="O375" s="63"/>
      <c r="P375" s="63"/>
      <c r="Q375" s="42"/>
      <c r="R375" s="47">
        <f t="shared" si="75"/>
        <v>0</v>
      </c>
      <c r="S375" s="48">
        <v>0</v>
      </c>
      <c r="T375" s="48">
        <f t="shared" si="76"/>
        <v>0</v>
      </c>
      <c r="U375" s="63"/>
      <c r="V375" s="63"/>
      <c r="W375" s="63"/>
      <c r="X375" s="63"/>
      <c r="Y375" s="48"/>
      <c r="Z375" s="48"/>
      <c r="AA375" s="48"/>
      <c r="AB375" s="48"/>
      <c r="AC375" s="48"/>
      <c r="AD375" s="48"/>
      <c r="AE375" s="48"/>
      <c r="AF375" s="48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 t="s">
        <v>80</v>
      </c>
      <c r="AU375" s="30"/>
      <c r="AV375" s="63"/>
      <c r="AW375" s="63"/>
      <c r="AX375" s="63"/>
      <c r="AY375" s="63"/>
      <c r="AZ375" s="63"/>
      <c r="BA375" s="63"/>
      <c r="BB375" s="63"/>
      <c r="BC375" s="63"/>
      <c r="BD375" s="63"/>
      <c r="BE375" s="63"/>
      <c r="BF375" s="63"/>
      <c r="BG375" s="63"/>
      <c r="BH375" s="63"/>
      <c r="BI375" s="63"/>
      <c r="BJ375" s="63"/>
      <c r="BK375" s="63"/>
      <c r="BL375" s="63">
        <f t="shared" si="77"/>
        <v>0</v>
      </c>
      <c r="BM375" s="63">
        <f t="shared" si="67"/>
        <v>0</v>
      </c>
      <c r="BN375" s="63">
        <f t="shared" si="68"/>
        <v>0</v>
      </c>
      <c r="BO375" s="63">
        <f t="shared" si="69"/>
        <v>0</v>
      </c>
      <c r="BP375" s="63">
        <f t="shared" si="70"/>
        <v>0</v>
      </c>
      <c r="BQ375" s="63">
        <f t="shared" si="71"/>
        <v>0</v>
      </c>
      <c r="BR375" s="63">
        <f t="shared" si="72"/>
        <v>0</v>
      </c>
      <c r="BS375" s="63">
        <f t="shared" si="73"/>
        <v>0</v>
      </c>
    </row>
    <row r="376" spans="1:71">
      <c r="A376" s="28">
        <f t="shared" si="74"/>
        <v>375</v>
      </c>
      <c r="B376" s="29" t="s">
        <v>1149</v>
      </c>
      <c r="C376" s="30" t="s">
        <v>72</v>
      </c>
      <c r="D376" s="30" t="s">
        <v>816</v>
      </c>
      <c r="E376" s="30" t="s">
        <v>1150</v>
      </c>
      <c r="F376" s="30"/>
      <c r="G376" s="30" t="s">
        <v>396</v>
      </c>
      <c r="H376" s="35" t="s">
        <v>397</v>
      </c>
      <c r="I376" s="72">
        <v>4689</v>
      </c>
      <c r="J376" s="72"/>
      <c r="K376" s="30"/>
      <c r="L376" s="30" t="s">
        <v>1151</v>
      </c>
      <c r="M376" s="39">
        <v>3000000</v>
      </c>
      <c r="N376" s="31" t="s">
        <v>89</v>
      </c>
      <c r="O376" s="30" t="s">
        <v>1152</v>
      </c>
      <c r="P376" s="42" t="s">
        <v>115</v>
      </c>
      <c r="Q376" s="42">
        <v>2.4</v>
      </c>
      <c r="R376" s="47">
        <f t="shared" si="75"/>
        <v>1320000</v>
      </c>
      <c r="S376" s="48">
        <v>1320000</v>
      </c>
      <c r="T376" s="48">
        <f t="shared" si="76"/>
        <v>550000</v>
      </c>
      <c r="U376" s="39">
        <v>0</v>
      </c>
      <c r="V376" s="39">
        <v>0</v>
      </c>
      <c r="W376" s="39">
        <v>0</v>
      </c>
      <c r="X376" s="39">
        <v>0</v>
      </c>
      <c r="Y376" s="39">
        <v>0</v>
      </c>
      <c r="Z376" s="39">
        <v>50000</v>
      </c>
      <c r="AA376" s="39">
        <v>50000</v>
      </c>
      <c r="AB376" s="39">
        <v>50000</v>
      </c>
      <c r="AC376" s="39">
        <v>100000</v>
      </c>
      <c r="AD376" s="39">
        <v>100000</v>
      </c>
      <c r="AE376" s="39">
        <v>100000</v>
      </c>
      <c r="AF376" s="39">
        <v>100000</v>
      </c>
      <c r="AG376" s="39"/>
      <c r="AH376" s="39"/>
      <c r="AI376" s="39"/>
      <c r="AJ376" s="39"/>
      <c r="AK376" s="39"/>
      <c r="AL376" s="39"/>
      <c r="AM376" s="39"/>
      <c r="AN376" s="39"/>
      <c r="AO376" s="39"/>
      <c r="AP376" s="39"/>
      <c r="AQ376" s="39"/>
      <c r="AR376" s="39"/>
      <c r="AS376" s="30" t="s">
        <v>1150</v>
      </c>
      <c r="AT376" s="30" t="s">
        <v>116</v>
      </c>
      <c r="AU376" s="30" t="s">
        <v>545</v>
      </c>
      <c r="AV376" s="29" t="s">
        <v>117</v>
      </c>
      <c r="AW376" s="30" t="s">
        <v>1153</v>
      </c>
      <c r="AX376" s="30" t="s">
        <v>1154</v>
      </c>
      <c r="AY376" s="30"/>
      <c r="AZ376" s="30" t="s">
        <v>1155</v>
      </c>
      <c r="BA376" s="30" t="s">
        <v>1156</v>
      </c>
      <c r="BB376" s="30"/>
      <c r="BC376" s="58">
        <v>2</v>
      </c>
      <c r="BD376" s="55"/>
      <c r="BE376" s="55">
        <v>45219</v>
      </c>
      <c r="BF376" s="55">
        <v>45224</v>
      </c>
      <c r="BG376" s="55">
        <v>45324</v>
      </c>
      <c r="BH376" s="55">
        <v>45384</v>
      </c>
      <c r="BI376" s="55">
        <v>45414</v>
      </c>
      <c r="BJ376" s="59">
        <v>0.8</v>
      </c>
      <c r="BK376" s="63"/>
      <c r="BL376" s="63">
        <f t="shared" si="77"/>
        <v>0</v>
      </c>
      <c r="BM376" s="63">
        <f t="shared" si="67"/>
        <v>120000</v>
      </c>
      <c r="BN376" s="63">
        <f t="shared" si="68"/>
        <v>120000</v>
      </c>
      <c r="BO376" s="63">
        <f t="shared" si="69"/>
        <v>120000</v>
      </c>
      <c r="BP376" s="63">
        <f t="shared" si="70"/>
        <v>240000</v>
      </c>
      <c r="BQ376" s="63">
        <f t="shared" si="71"/>
        <v>240000</v>
      </c>
      <c r="BR376" s="63">
        <f t="shared" si="72"/>
        <v>240000</v>
      </c>
      <c r="BS376" s="63">
        <f t="shared" si="73"/>
        <v>240000</v>
      </c>
    </row>
    <row r="377" spans="1:71">
      <c r="A377" s="28">
        <f t="shared" si="74"/>
        <v>376</v>
      </c>
      <c r="B377" s="29" t="s">
        <v>1157</v>
      </c>
      <c r="C377" s="30" t="s">
        <v>72</v>
      </c>
      <c r="D377" s="30" t="s">
        <v>816</v>
      </c>
      <c r="E377" s="30" t="s">
        <v>1150</v>
      </c>
      <c r="F377" s="30"/>
      <c r="G377" s="30" t="s">
        <v>358</v>
      </c>
      <c r="H377" s="35" t="s">
        <v>359</v>
      </c>
      <c r="I377" s="72">
        <v>4616</v>
      </c>
      <c r="J377" s="72"/>
      <c r="K377" s="30"/>
      <c r="L377" s="30" t="s">
        <v>1158</v>
      </c>
      <c r="M377" s="39">
        <v>20000000</v>
      </c>
      <c r="N377" s="31" t="s">
        <v>1159</v>
      </c>
      <c r="O377" s="30" t="s">
        <v>89</v>
      </c>
      <c r="P377" s="42" t="s">
        <v>89</v>
      </c>
      <c r="Q377" s="42">
        <v>0.54</v>
      </c>
      <c r="R377" s="47">
        <f t="shared" si="75"/>
        <v>1512000</v>
      </c>
      <c r="S377" s="48">
        <v>1517400</v>
      </c>
      <c r="T377" s="48">
        <f t="shared" si="76"/>
        <v>2800000</v>
      </c>
      <c r="U377" s="39">
        <v>0</v>
      </c>
      <c r="V377" s="39">
        <v>0</v>
      </c>
      <c r="W377" s="39">
        <v>10000</v>
      </c>
      <c r="X377" s="39">
        <v>10000</v>
      </c>
      <c r="Y377" s="39">
        <v>10000</v>
      </c>
      <c r="Z377" s="39">
        <v>400000</v>
      </c>
      <c r="AA377" s="39">
        <v>400000</v>
      </c>
      <c r="AB377" s="39">
        <v>400000</v>
      </c>
      <c r="AC377" s="39">
        <v>400000</v>
      </c>
      <c r="AD377" s="39">
        <v>400000</v>
      </c>
      <c r="AE377" s="39">
        <v>400000</v>
      </c>
      <c r="AF377" s="39">
        <v>400000</v>
      </c>
      <c r="AG377" s="39"/>
      <c r="AH377" s="39"/>
      <c r="AI377" s="39"/>
      <c r="AJ377" s="39"/>
      <c r="AK377" s="39"/>
      <c r="AL377" s="39"/>
      <c r="AM377" s="39"/>
      <c r="AN377" s="39"/>
      <c r="AO377" s="39"/>
      <c r="AP377" s="39"/>
      <c r="AQ377" s="39"/>
      <c r="AR377" s="39"/>
      <c r="AS377" s="30" t="s">
        <v>1150</v>
      </c>
      <c r="AT377" s="30" t="s">
        <v>116</v>
      </c>
      <c r="AU377" s="30" t="s">
        <v>532</v>
      </c>
      <c r="AV377" s="29" t="s">
        <v>106</v>
      </c>
      <c r="AW377" s="30" t="s">
        <v>1160</v>
      </c>
      <c r="AX377" s="30"/>
      <c r="AY377" s="30"/>
      <c r="AZ377" s="30" t="s">
        <v>1161</v>
      </c>
      <c r="BA377" s="30"/>
      <c r="BB377" s="30" t="s">
        <v>115</v>
      </c>
      <c r="BC377" s="58">
        <v>192</v>
      </c>
      <c r="BD377" s="55"/>
      <c r="BE377" s="55">
        <v>45165</v>
      </c>
      <c r="BF377" s="55">
        <v>45187</v>
      </c>
      <c r="BG377" s="55">
        <v>45240</v>
      </c>
      <c r="BH377" s="55">
        <v>45290</v>
      </c>
      <c r="BI377" s="55">
        <v>45473</v>
      </c>
      <c r="BJ377" s="59">
        <v>1</v>
      </c>
      <c r="BK377" s="63"/>
      <c r="BL377" s="63">
        <f t="shared" si="77"/>
        <v>5400</v>
      </c>
      <c r="BM377" s="63">
        <f t="shared" si="67"/>
        <v>216000</v>
      </c>
      <c r="BN377" s="63">
        <f t="shared" si="68"/>
        <v>216000</v>
      </c>
      <c r="BO377" s="63">
        <f t="shared" si="69"/>
        <v>216000</v>
      </c>
      <c r="BP377" s="63">
        <f t="shared" si="70"/>
        <v>216000</v>
      </c>
      <c r="BQ377" s="63">
        <f t="shared" si="71"/>
        <v>216000</v>
      </c>
      <c r="BR377" s="63">
        <f t="shared" si="72"/>
        <v>216000</v>
      </c>
      <c r="BS377" s="63">
        <f t="shared" si="73"/>
        <v>216000</v>
      </c>
    </row>
    <row r="378" spans="1:71">
      <c r="A378" s="28">
        <f t="shared" si="74"/>
        <v>377</v>
      </c>
      <c r="B378" s="29" t="s">
        <v>1162</v>
      </c>
      <c r="C378" s="30" t="s">
        <v>92</v>
      </c>
      <c r="D378" s="30" t="s">
        <v>1162</v>
      </c>
      <c r="E378" s="30" t="s">
        <v>1150</v>
      </c>
      <c r="F378" s="30"/>
      <c r="G378" s="30" t="s">
        <v>497</v>
      </c>
      <c r="H378" s="35" t="s">
        <v>498</v>
      </c>
      <c r="I378" s="72" t="s">
        <v>1163</v>
      </c>
      <c r="J378" s="72"/>
      <c r="K378" s="30"/>
      <c r="L378" s="30" t="s">
        <v>1164</v>
      </c>
      <c r="M378" s="39">
        <v>500000</v>
      </c>
      <c r="N378" s="31" t="s">
        <v>1165</v>
      </c>
      <c r="O378" s="30" t="s">
        <v>1166</v>
      </c>
      <c r="P378" s="42">
        <v>1.4</v>
      </c>
      <c r="Q378" s="42">
        <v>1.2</v>
      </c>
      <c r="R378" s="47">
        <f t="shared" si="75"/>
        <v>21600</v>
      </c>
      <c r="S378" s="48">
        <v>21600</v>
      </c>
      <c r="T378" s="48">
        <f t="shared" si="76"/>
        <v>18000</v>
      </c>
      <c r="U378" s="39">
        <v>0</v>
      </c>
      <c r="V378" s="39">
        <v>0</v>
      </c>
      <c r="W378" s="39">
        <v>0</v>
      </c>
      <c r="X378" s="39">
        <v>0</v>
      </c>
      <c r="Y378" s="39">
        <v>0</v>
      </c>
      <c r="Z378" s="39">
        <v>0</v>
      </c>
      <c r="AA378" s="39">
        <v>1000</v>
      </c>
      <c r="AB378" s="39">
        <v>1000</v>
      </c>
      <c r="AC378" s="39">
        <v>1000</v>
      </c>
      <c r="AD378" s="39">
        <v>5000</v>
      </c>
      <c r="AE378" s="39">
        <v>5000</v>
      </c>
      <c r="AF378" s="39">
        <v>5000</v>
      </c>
      <c r="AG378" s="39"/>
      <c r="AH378" s="39"/>
      <c r="AI378" s="39"/>
      <c r="AJ378" s="39"/>
      <c r="AK378" s="39"/>
      <c r="AL378" s="39"/>
      <c r="AM378" s="39"/>
      <c r="AN378" s="39"/>
      <c r="AO378" s="39"/>
      <c r="AP378" s="39"/>
      <c r="AQ378" s="39"/>
      <c r="AR378" s="39"/>
      <c r="AS378" s="30" t="s">
        <v>1167</v>
      </c>
      <c r="AT378" s="30" t="s">
        <v>116</v>
      </c>
      <c r="AU378" s="30" t="s">
        <v>788</v>
      </c>
      <c r="AV378" s="29" t="s">
        <v>117</v>
      </c>
      <c r="AW378" s="30" t="s">
        <v>1153</v>
      </c>
      <c r="AX378" s="30" t="s">
        <v>120</v>
      </c>
      <c r="AY378" s="30"/>
      <c r="AZ378" s="30"/>
      <c r="BA378" s="30"/>
      <c r="BB378" s="30"/>
      <c r="BC378" s="58">
        <v>1</v>
      </c>
      <c r="BD378" s="55"/>
      <c r="BE378" s="55"/>
      <c r="BF378" s="55"/>
      <c r="BG378" s="55"/>
      <c r="BH378" s="55"/>
      <c r="BI378" s="55"/>
      <c r="BJ378" s="59" t="s">
        <v>115</v>
      </c>
      <c r="BK378" s="63"/>
      <c r="BL378" s="63">
        <f t="shared" si="77"/>
        <v>0</v>
      </c>
      <c r="BM378" s="63">
        <f t="shared" si="67"/>
        <v>0</v>
      </c>
      <c r="BN378" s="63">
        <f t="shared" si="68"/>
        <v>1200</v>
      </c>
      <c r="BO378" s="63">
        <f t="shared" si="69"/>
        <v>1200</v>
      </c>
      <c r="BP378" s="63">
        <f t="shared" si="70"/>
        <v>1200</v>
      </c>
      <c r="BQ378" s="63">
        <f t="shared" si="71"/>
        <v>6000</v>
      </c>
      <c r="BR378" s="63">
        <f t="shared" si="72"/>
        <v>6000</v>
      </c>
      <c r="BS378" s="63">
        <f t="shared" si="73"/>
        <v>6000</v>
      </c>
    </row>
    <row r="379" spans="1:71">
      <c r="A379" s="28">
        <f t="shared" si="74"/>
        <v>378</v>
      </c>
      <c r="B379" s="29" t="s">
        <v>1162</v>
      </c>
      <c r="C379" s="30" t="s">
        <v>92</v>
      </c>
      <c r="D379" s="30" t="s">
        <v>1162</v>
      </c>
      <c r="E379" s="30" t="s">
        <v>1150</v>
      </c>
      <c r="F379" s="30"/>
      <c r="G379" s="30" t="s">
        <v>421</v>
      </c>
      <c r="H379" s="35" t="s">
        <v>422</v>
      </c>
      <c r="I379" s="72">
        <v>69401</v>
      </c>
      <c r="J379" s="72"/>
      <c r="K379" s="30"/>
      <c r="L379" s="30" t="s">
        <v>1168</v>
      </c>
      <c r="M379" s="39">
        <v>1000000</v>
      </c>
      <c r="N379" s="31" t="s">
        <v>1169</v>
      </c>
      <c r="O379" s="30"/>
      <c r="P379" s="42">
        <v>6.9</v>
      </c>
      <c r="Q379" s="42">
        <v>6.5</v>
      </c>
      <c r="R379" s="47">
        <f t="shared" si="75"/>
        <v>39000</v>
      </c>
      <c r="S379" s="48">
        <v>39000</v>
      </c>
      <c r="T379" s="48">
        <f t="shared" si="76"/>
        <v>6000</v>
      </c>
      <c r="U379" s="39">
        <v>0</v>
      </c>
      <c r="V379" s="39">
        <v>0</v>
      </c>
      <c r="W379" s="39">
        <v>0</v>
      </c>
      <c r="X379" s="39">
        <v>0</v>
      </c>
      <c r="Y379" s="39">
        <v>0</v>
      </c>
      <c r="Z379" s="39">
        <v>0</v>
      </c>
      <c r="AA379" s="39">
        <v>1000</v>
      </c>
      <c r="AB379" s="39">
        <v>1000</v>
      </c>
      <c r="AC379" s="39">
        <v>1000</v>
      </c>
      <c r="AD379" s="39">
        <v>1000</v>
      </c>
      <c r="AE379" s="39">
        <v>1000</v>
      </c>
      <c r="AF379" s="39">
        <v>1000</v>
      </c>
      <c r="AG379" s="39"/>
      <c r="AH379" s="39"/>
      <c r="AI379" s="39"/>
      <c r="AJ379" s="39"/>
      <c r="AK379" s="39"/>
      <c r="AL379" s="39"/>
      <c r="AM379" s="39"/>
      <c r="AN379" s="39"/>
      <c r="AO379" s="39"/>
      <c r="AP379" s="39"/>
      <c r="AQ379" s="39"/>
      <c r="AR379" s="39"/>
      <c r="AS379" s="30" t="s">
        <v>705</v>
      </c>
      <c r="AT379" s="30" t="s">
        <v>116</v>
      </c>
      <c r="AU379" s="30" t="s">
        <v>545</v>
      </c>
      <c r="AV379" s="29" t="s">
        <v>117</v>
      </c>
      <c r="AW379" s="30" t="s">
        <v>1153</v>
      </c>
      <c r="AX379" s="30" t="s">
        <v>1154</v>
      </c>
      <c r="AY379" s="30"/>
      <c r="AZ379" s="30" t="s">
        <v>1170</v>
      </c>
      <c r="BA379" s="30"/>
      <c r="BB379" s="30"/>
      <c r="BC379" s="58">
        <v>1</v>
      </c>
      <c r="BD379" s="55"/>
      <c r="BE379" s="55">
        <v>45401</v>
      </c>
      <c r="BF379" s="55">
        <v>45401</v>
      </c>
      <c r="BG379" s="55">
        <v>45523</v>
      </c>
      <c r="BH379" s="55">
        <v>45645</v>
      </c>
      <c r="BI379" s="55">
        <v>45735</v>
      </c>
      <c r="BJ379" s="59" t="s">
        <v>115</v>
      </c>
      <c r="BK379" s="63"/>
      <c r="BL379" s="63">
        <f t="shared" si="77"/>
        <v>0</v>
      </c>
      <c r="BM379" s="63">
        <f t="shared" si="67"/>
        <v>0</v>
      </c>
      <c r="BN379" s="63">
        <f t="shared" si="68"/>
        <v>6500</v>
      </c>
      <c r="BO379" s="63">
        <f t="shared" si="69"/>
        <v>6500</v>
      </c>
      <c r="BP379" s="63">
        <f t="shared" si="70"/>
        <v>6500</v>
      </c>
      <c r="BQ379" s="63">
        <f t="shared" si="71"/>
        <v>6500</v>
      </c>
      <c r="BR379" s="63">
        <f t="shared" si="72"/>
        <v>6500</v>
      </c>
      <c r="BS379" s="63">
        <f t="shared" si="73"/>
        <v>6500</v>
      </c>
    </row>
    <row r="380" spans="1:71">
      <c r="A380" s="28">
        <f t="shared" si="74"/>
        <v>379</v>
      </c>
      <c r="B380" s="29" t="s">
        <v>1162</v>
      </c>
      <c r="C380" s="30" t="s">
        <v>92</v>
      </c>
      <c r="D380" s="30" t="s">
        <v>1162</v>
      </c>
      <c r="E380" s="30" t="s">
        <v>1150</v>
      </c>
      <c r="F380" s="30"/>
      <c r="G380" s="30" t="s">
        <v>415</v>
      </c>
      <c r="H380" s="35" t="s">
        <v>416</v>
      </c>
      <c r="I380" s="72">
        <v>69401</v>
      </c>
      <c r="J380" s="72"/>
      <c r="K380" s="30"/>
      <c r="L380" s="30" t="s">
        <v>1171</v>
      </c>
      <c r="M380" s="39">
        <v>100000</v>
      </c>
      <c r="N380" s="31" t="s">
        <v>1172</v>
      </c>
      <c r="O380" s="30" t="s">
        <v>1173</v>
      </c>
      <c r="P380" s="42"/>
      <c r="Q380" s="42">
        <v>4.5</v>
      </c>
      <c r="R380" s="47">
        <f t="shared" si="75"/>
        <v>27000</v>
      </c>
      <c r="S380" s="48">
        <v>27000</v>
      </c>
      <c r="T380" s="48">
        <f t="shared" si="76"/>
        <v>6000</v>
      </c>
      <c r="U380" s="39">
        <v>0</v>
      </c>
      <c r="V380" s="39">
        <v>0</v>
      </c>
      <c r="W380" s="39">
        <v>0</v>
      </c>
      <c r="X380" s="39">
        <v>0</v>
      </c>
      <c r="Y380" s="39">
        <v>0</v>
      </c>
      <c r="Z380" s="39">
        <v>0</v>
      </c>
      <c r="AA380" s="39">
        <v>1000</v>
      </c>
      <c r="AB380" s="39">
        <v>1000</v>
      </c>
      <c r="AC380" s="39">
        <v>1000</v>
      </c>
      <c r="AD380" s="39">
        <v>1000</v>
      </c>
      <c r="AE380" s="39">
        <v>1000</v>
      </c>
      <c r="AF380" s="39">
        <v>1000</v>
      </c>
      <c r="AG380" s="39"/>
      <c r="AH380" s="39"/>
      <c r="AI380" s="39"/>
      <c r="AJ380" s="39"/>
      <c r="AK380" s="39"/>
      <c r="AL380" s="39"/>
      <c r="AM380" s="39"/>
      <c r="AN380" s="39"/>
      <c r="AO380" s="39"/>
      <c r="AP380" s="39"/>
      <c r="AQ380" s="39"/>
      <c r="AR380" s="39"/>
      <c r="AS380" s="30" t="s">
        <v>705</v>
      </c>
      <c r="AT380" s="30" t="s">
        <v>116</v>
      </c>
      <c r="AU380" s="30" t="s">
        <v>545</v>
      </c>
      <c r="AV380" s="29" t="s">
        <v>117</v>
      </c>
      <c r="AW380" s="30" t="s">
        <v>1174</v>
      </c>
      <c r="AX380" s="30" t="s">
        <v>548</v>
      </c>
      <c r="AY380" s="30"/>
      <c r="AZ380" s="30" t="s">
        <v>1175</v>
      </c>
      <c r="BA380" s="30"/>
      <c r="BB380" s="30"/>
      <c r="BC380" s="58">
        <v>1</v>
      </c>
      <c r="BD380" s="55"/>
      <c r="BE380" s="55">
        <v>45401</v>
      </c>
      <c r="BF380" s="55">
        <v>45401</v>
      </c>
      <c r="BG380" s="55">
        <v>45485</v>
      </c>
      <c r="BH380" s="55">
        <v>45608</v>
      </c>
      <c r="BI380" s="55">
        <v>45700</v>
      </c>
      <c r="BJ380" s="59" t="s">
        <v>115</v>
      </c>
      <c r="BK380" s="63"/>
      <c r="BL380" s="63">
        <f t="shared" si="77"/>
        <v>0</v>
      </c>
      <c r="BM380" s="63">
        <f t="shared" si="67"/>
        <v>0</v>
      </c>
      <c r="BN380" s="63">
        <f t="shared" si="68"/>
        <v>4500</v>
      </c>
      <c r="BO380" s="63">
        <f t="shared" si="69"/>
        <v>4500</v>
      </c>
      <c r="BP380" s="63">
        <f t="shared" si="70"/>
        <v>4500</v>
      </c>
      <c r="BQ380" s="63">
        <f t="shared" si="71"/>
        <v>4500</v>
      </c>
      <c r="BR380" s="63">
        <f t="shared" si="72"/>
        <v>4500</v>
      </c>
      <c r="BS380" s="63">
        <f t="shared" si="73"/>
        <v>4500</v>
      </c>
    </row>
    <row r="381" spans="1:71">
      <c r="A381" s="28">
        <f t="shared" si="74"/>
        <v>380</v>
      </c>
      <c r="B381" s="29" t="s">
        <v>1162</v>
      </c>
      <c r="C381" s="30" t="s">
        <v>92</v>
      </c>
      <c r="D381" s="30" t="s">
        <v>1162</v>
      </c>
      <c r="E381" s="30" t="s">
        <v>1150</v>
      </c>
      <c r="F381" s="30"/>
      <c r="G381" s="30" t="s">
        <v>396</v>
      </c>
      <c r="H381" s="35" t="s">
        <v>397</v>
      </c>
      <c r="I381" s="72">
        <v>4689</v>
      </c>
      <c r="J381" s="72"/>
      <c r="K381" s="30"/>
      <c r="L381" s="30" t="s">
        <v>1176</v>
      </c>
      <c r="M381" s="39">
        <v>4500000</v>
      </c>
      <c r="N381" s="31" t="s">
        <v>1177</v>
      </c>
      <c r="O381" s="30" t="s">
        <v>1152</v>
      </c>
      <c r="P381" s="42">
        <v>3.5</v>
      </c>
      <c r="Q381" s="42">
        <v>2.66</v>
      </c>
      <c r="R381" s="47">
        <f t="shared" si="75"/>
        <v>2660000</v>
      </c>
      <c r="S381" s="48">
        <v>2926000</v>
      </c>
      <c r="T381" s="48">
        <f t="shared" si="76"/>
        <v>1000000</v>
      </c>
      <c r="U381" s="39">
        <v>100000</v>
      </c>
      <c r="V381" s="39">
        <v>100000</v>
      </c>
      <c r="W381" s="39">
        <v>100000</v>
      </c>
      <c r="X381" s="39">
        <v>100000</v>
      </c>
      <c r="Y381" s="39">
        <v>100000</v>
      </c>
      <c r="Z381" s="39">
        <v>100000</v>
      </c>
      <c r="AA381" s="39">
        <v>150000</v>
      </c>
      <c r="AB381" s="39">
        <v>150000</v>
      </c>
      <c r="AC381" s="39">
        <v>150000</v>
      </c>
      <c r="AD381" s="39">
        <v>150000</v>
      </c>
      <c r="AE381" s="39">
        <v>150000</v>
      </c>
      <c r="AF381" s="39">
        <v>150000</v>
      </c>
      <c r="AG381" s="39"/>
      <c r="AH381" s="39"/>
      <c r="AI381" s="39"/>
      <c r="AJ381" s="39"/>
      <c r="AK381" s="39"/>
      <c r="AL381" s="39"/>
      <c r="AM381" s="39"/>
      <c r="AN381" s="39"/>
      <c r="AO381" s="39"/>
      <c r="AP381" s="39"/>
      <c r="AQ381" s="39"/>
      <c r="AR381" s="39"/>
      <c r="AS381" s="30" t="s">
        <v>1150</v>
      </c>
      <c r="AT381" s="30" t="s">
        <v>116</v>
      </c>
      <c r="AU381" s="30" t="s">
        <v>545</v>
      </c>
      <c r="AV381" s="29" t="s">
        <v>117</v>
      </c>
      <c r="AW381" s="30" t="s">
        <v>1153</v>
      </c>
      <c r="AX381" s="30" t="s">
        <v>1154</v>
      </c>
      <c r="AY381" s="30"/>
      <c r="AZ381" s="30"/>
      <c r="BA381" s="30"/>
      <c r="BB381" s="30"/>
      <c r="BC381" s="58">
        <v>2</v>
      </c>
      <c r="BD381" s="55"/>
      <c r="BE381" s="55">
        <v>45219</v>
      </c>
      <c r="BF381" s="55">
        <v>45224</v>
      </c>
      <c r="BG381" s="55">
        <v>45324</v>
      </c>
      <c r="BH381" s="55">
        <v>45384</v>
      </c>
      <c r="BI381" s="55">
        <v>45414</v>
      </c>
      <c r="BJ381" s="59" t="s">
        <v>115</v>
      </c>
      <c r="BK381" s="63"/>
      <c r="BL381" s="63">
        <f t="shared" si="77"/>
        <v>266000</v>
      </c>
      <c r="BM381" s="63">
        <f t="shared" si="67"/>
        <v>266000</v>
      </c>
      <c r="BN381" s="63">
        <f t="shared" si="68"/>
        <v>399000</v>
      </c>
      <c r="BO381" s="63">
        <f t="shared" si="69"/>
        <v>399000</v>
      </c>
      <c r="BP381" s="63">
        <f t="shared" si="70"/>
        <v>399000</v>
      </c>
      <c r="BQ381" s="63">
        <f t="shared" si="71"/>
        <v>399000</v>
      </c>
      <c r="BR381" s="63">
        <f t="shared" si="72"/>
        <v>399000</v>
      </c>
      <c r="BS381" s="63">
        <f t="shared" si="73"/>
        <v>399000</v>
      </c>
    </row>
    <row r="382" spans="1:71">
      <c r="A382" s="28">
        <f t="shared" si="74"/>
        <v>381</v>
      </c>
      <c r="B382" s="29" t="s">
        <v>1162</v>
      </c>
      <c r="C382" s="30" t="s">
        <v>92</v>
      </c>
      <c r="D382" s="30" t="s">
        <v>1162</v>
      </c>
      <c r="E382" s="30" t="s">
        <v>1150</v>
      </c>
      <c r="F382" s="30"/>
      <c r="G382" s="30" t="s">
        <v>281</v>
      </c>
      <c r="H382" s="35" t="s">
        <v>282</v>
      </c>
      <c r="I382" s="72">
        <v>2455</v>
      </c>
      <c r="J382" s="72"/>
      <c r="K382" s="30"/>
      <c r="L382" s="30" t="s">
        <v>1178</v>
      </c>
      <c r="M382" s="39">
        <v>200000</v>
      </c>
      <c r="N382" s="31" t="s">
        <v>89</v>
      </c>
      <c r="O382" s="30" t="s">
        <v>1179</v>
      </c>
      <c r="P382" s="42" t="s">
        <v>115</v>
      </c>
      <c r="Q382" s="42">
        <v>0.55</v>
      </c>
      <c r="R382" s="47">
        <f t="shared" si="75"/>
        <v>19800</v>
      </c>
      <c r="S382" s="48">
        <v>22550</v>
      </c>
      <c r="T382" s="48">
        <f t="shared" si="76"/>
        <v>36000</v>
      </c>
      <c r="U382" s="39">
        <v>0</v>
      </c>
      <c r="V382" s="39">
        <v>5000</v>
      </c>
      <c r="W382" s="39">
        <v>5000</v>
      </c>
      <c r="X382" s="39">
        <v>5000</v>
      </c>
      <c r="Y382" s="39">
        <v>5000</v>
      </c>
      <c r="Z382" s="39">
        <v>5000</v>
      </c>
      <c r="AA382" s="39">
        <v>6000</v>
      </c>
      <c r="AB382" s="39">
        <v>5000</v>
      </c>
      <c r="AC382" s="39">
        <v>5000</v>
      </c>
      <c r="AD382" s="39">
        <v>5000</v>
      </c>
      <c r="AE382" s="39">
        <v>5000</v>
      </c>
      <c r="AF382" s="39">
        <v>5000</v>
      </c>
      <c r="AG382" s="39"/>
      <c r="AH382" s="39"/>
      <c r="AI382" s="39"/>
      <c r="AJ382" s="39"/>
      <c r="AK382" s="39"/>
      <c r="AL382" s="39"/>
      <c r="AM382" s="39"/>
      <c r="AN382" s="39"/>
      <c r="AO382" s="39"/>
      <c r="AP382" s="39"/>
      <c r="AQ382" s="39"/>
      <c r="AR382" s="39"/>
      <c r="AS382" s="30" t="s">
        <v>1150</v>
      </c>
      <c r="AT382" s="30" t="s">
        <v>116</v>
      </c>
      <c r="AU382" s="30" t="s">
        <v>81</v>
      </c>
      <c r="AV382" s="29" t="s">
        <v>117</v>
      </c>
      <c r="AW382" s="30" t="s">
        <v>1153</v>
      </c>
      <c r="AX382" s="30" t="s">
        <v>120</v>
      </c>
      <c r="AY382" s="30"/>
      <c r="AZ382" s="30"/>
      <c r="BA382" s="30"/>
      <c r="BB382" s="30"/>
      <c r="BC382" s="58">
        <v>3</v>
      </c>
      <c r="BD382" s="55"/>
      <c r="BE382" s="55"/>
      <c r="BF382" s="55"/>
      <c r="BG382" s="55"/>
      <c r="BH382" s="55"/>
      <c r="BI382" s="55"/>
      <c r="BJ382" s="59" t="s">
        <v>115</v>
      </c>
      <c r="BK382" s="63"/>
      <c r="BL382" s="63">
        <f t="shared" si="77"/>
        <v>2750</v>
      </c>
      <c r="BM382" s="63">
        <f t="shared" si="67"/>
        <v>2750</v>
      </c>
      <c r="BN382" s="63">
        <f t="shared" si="68"/>
        <v>3300</v>
      </c>
      <c r="BO382" s="63">
        <f t="shared" si="69"/>
        <v>2750</v>
      </c>
      <c r="BP382" s="63">
        <f t="shared" si="70"/>
        <v>2750</v>
      </c>
      <c r="BQ382" s="63">
        <f t="shared" si="71"/>
        <v>2750</v>
      </c>
      <c r="BR382" s="63">
        <f t="shared" si="72"/>
        <v>2750</v>
      </c>
      <c r="BS382" s="63">
        <f t="shared" si="73"/>
        <v>2750</v>
      </c>
    </row>
    <row r="383" spans="1:71">
      <c r="A383" s="28">
        <f t="shared" si="74"/>
        <v>382</v>
      </c>
      <c r="B383" s="29" t="s">
        <v>1162</v>
      </c>
      <c r="C383" s="30" t="s">
        <v>92</v>
      </c>
      <c r="D383" s="30" t="s">
        <v>1162</v>
      </c>
      <c r="E383" s="30" t="s">
        <v>1150</v>
      </c>
      <c r="F383" s="30"/>
      <c r="G383" s="30" t="s">
        <v>240</v>
      </c>
      <c r="H383" s="35" t="s">
        <v>241</v>
      </c>
      <c r="I383" s="72">
        <v>2436</v>
      </c>
      <c r="J383" s="72"/>
      <c r="K383" s="30"/>
      <c r="L383" s="30" t="s">
        <v>1180</v>
      </c>
      <c r="M383" s="39">
        <v>200000</v>
      </c>
      <c r="N383" s="31" t="s">
        <v>89</v>
      </c>
      <c r="O383" s="30" t="s">
        <v>1179</v>
      </c>
      <c r="P383" s="42" t="s">
        <v>115</v>
      </c>
      <c r="Q383" s="42">
        <v>0.55</v>
      </c>
      <c r="R383" s="47">
        <f t="shared" si="75"/>
        <v>115500</v>
      </c>
      <c r="S383" s="48">
        <v>132000</v>
      </c>
      <c r="T383" s="48">
        <f t="shared" si="76"/>
        <v>210000</v>
      </c>
      <c r="U383" s="39">
        <v>30000</v>
      </c>
      <c r="V383" s="39">
        <v>30000</v>
      </c>
      <c r="W383" s="39">
        <v>30000</v>
      </c>
      <c r="X383" s="39">
        <v>30000</v>
      </c>
      <c r="Y383" s="39">
        <v>30000</v>
      </c>
      <c r="Z383" s="39">
        <v>30000</v>
      </c>
      <c r="AA383" s="39">
        <v>30000</v>
      </c>
      <c r="AB383" s="39">
        <v>30000</v>
      </c>
      <c r="AC383" s="39">
        <v>30000</v>
      </c>
      <c r="AD383" s="39">
        <v>30000</v>
      </c>
      <c r="AE383" s="39">
        <v>30000</v>
      </c>
      <c r="AF383" s="39">
        <v>30000</v>
      </c>
      <c r="AG383" s="39"/>
      <c r="AH383" s="39"/>
      <c r="AI383" s="39"/>
      <c r="AJ383" s="39"/>
      <c r="AK383" s="39"/>
      <c r="AL383" s="39"/>
      <c r="AM383" s="39"/>
      <c r="AN383" s="39"/>
      <c r="AO383" s="39"/>
      <c r="AP383" s="39"/>
      <c r="AQ383" s="39"/>
      <c r="AR383" s="39"/>
      <c r="AS383" s="30" t="s">
        <v>1150</v>
      </c>
      <c r="AT383" s="30" t="s">
        <v>116</v>
      </c>
      <c r="AU383" s="30" t="s">
        <v>81</v>
      </c>
      <c r="AV383" s="29" t="s">
        <v>117</v>
      </c>
      <c r="AW383" s="30" t="s">
        <v>1153</v>
      </c>
      <c r="AX383" s="30" t="s">
        <v>120</v>
      </c>
      <c r="AY383" s="30"/>
      <c r="AZ383" s="30"/>
      <c r="BA383" s="30"/>
      <c r="BB383" s="30"/>
      <c r="BC383" s="58">
        <v>3</v>
      </c>
      <c r="BD383" s="55"/>
      <c r="BE383" s="55"/>
      <c r="BF383" s="55"/>
      <c r="BG383" s="55"/>
      <c r="BH383" s="55"/>
      <c r="BI383" s="55"/>
      <c r="BJ383" s="59" t="s">
        <v>115</v>
      </c>
      <c r="BK383" s="63"/>
      <c r="BL383" s="63">
        <f t="shared" si="77"/>
        <v>16500</v>
      </c>
      <c r="BM383" s="63">
        <f t="shared" si="67"/>
        <v>16500</v>
      </c>
      <c r="BN383" s="63">
        <f t="shared" si="68"/>
        <v>16500</v>
      </c>
      <c r="BO383" s="63">
        <f t="shared" si="69"/>
        <v>16500</v>
      </c>
      <c r="BP383" s="63">
        <f t="shared" si="70"/>
        <v>16500</v>
      </c>
      <c r="BQ383" s="63">
        <f t="shared" si="71"/>
        <v>16500</v>
      </c>
      <c r="BR383" s="63">
        <f t="shared" si="72"/>
        <v>16500</v>
      </c>
      <c r="BS383" s="63">
        <f t="shared" si="73"/>
        <v>16500</v>
      </c>
    </row>
    <row r="384" spans="1:71">
      <c r="A384" s="28">
        <f t="shared" si="74"/>
        <v>383</v>
      </c>
      <c r="B384" s="29" t="s">
        <v>1181</v>
      </c>
      <c r="C384" s="30" t="s">
        <v>527</v>
      </c>
      <c r="D384" s="29" t="s">
        <v>1181</v>
      </c>
      <c r="E384" s="30" t="s">
        <v>1150</v>
      </c>
      <c r="F384" s="30"/>
      <c r="G384" s="30" t="s">
        <v>497</v>
      </c>
      <c r="H384" s="35" t="s">
        <v>498</v>
      </c>
      <c r="I384" s="72" t="s">
        <v>1163</v>
      </c>
      <c r="J384" s="72"/>
      <c r="K384" s="30"/>
      <c r="L384" s="30" t="s">
        <v>1164</v>
      </c>
      <c r="M384" s="39">
        <v>2000000</v>
      </c>
      <c r="N384" s="31" t="s">
        <v>1182</v>
      </c>
      <c r="O384" s="30" t="s">
        <v>1166</v>
      </c>
      <c r="P384" s="42">
        <v>0.9</v>
      </c>
      <c r="Q384" s="42">
        <v>0.8</v>
      </c>
      <c r="R384" s="47">
        <f t="shared" si="75"/>
        <v>408000</v>
      </c>
      <c r="S384" s="48">
        <v>416000</v>
      </c>
      <c r="T384" s="48">
        <f t="shared" si="76"/>
        <v>510000</v>
      </c>
      <c r="U384" s="39">
        <v>0</v>
      </c>
      <c r="V384" s="39">
        <v>0</v>
      </c>
      <c r="W384" s="39">
        <v>1000</v>
      </c>
      <c r="X384" s="39">
        <v>1000</v>
      </c>
      <c r="Y384" s="39">
        <v>10000</v>
      </c>
      <c r="Z384" s="39">
        <v>10000</v>
      </c>
      <c r="AA384" s="39">
        <v>50000</v>
      </c>
      <c r="AB384" s="39">
        <v>50000</v>
      </c>
      <c r="AC384" s="39">
        <v>100000</v>
      </c>
      <c r="AD384" s="39">
        <v>100000</v>
      </c>
      <c r="AE384" s="39">
        <v>100000</v>
      </c>
      <c r="AF384" s="39">
        <v>100000</v>
      </c>
      <c r="AG384" s="39"/>
      <c r="AH384" s="39"/>
      <c r="AI384" s="39"/>
      <c r="AJ384" s="39"/>
      <c r="AK384" s="39"/>
      <c r="AL384" s="39"/>
      <c r="AM384" s="39"/>
      <c r="AN384" s="39"/>
      <c r="AO384" s="39"/>
      <c r="AP384" s="39"/>
      <c r="AQ384" s="39"/>
      <c r="AR384" s="39"/>
      <c r="AS384" s="30" t="s">
        <v>1167</v>
      </c>
      <c r="AT384" s="30" t="s">
        <v>116</v>
      </c>
      <c r="AU384" s="30" t="s">
        <v>788</v>
      </c>
      <c r="AV384" s="29" t="s">
        <v>117</v>
      </c>
      <c r="AW384" s="30" t="s">
        <v>1153</v>
      </c>
      <c r="AX384" s="30" t="s">
        <v>120</v>
      </c>
      <c r="AY384" s="30"/>
      <c r="AZ384" s="30" t="s">
        <v>1183</v>
      </c>
      <c r="BA384" s="30"/>
      <c r="BB384" s="30"/>
      <c r="BC384" s="58">
        <v>1</v>
      </c>
      <c r="BD384" s="55"/>
      <c r="BE384" s="55">
        <v>45219</v>
      </c>
      <c r="BF384" s="55">
        <v>45224</v>
      </c>
      <c r="BG384" s="55">
        <v>45324</v>
      </c>
      <c r="BH384" s="55">
        <v>45718</v>
      </c>
      <c r="BI384" s="55">
        <v>45779</v>
      </c>
      <c r="BJ384" s="59" t="s">
        <v>115</v>
      </c>
      <c r="BK384" s="63"/>
      <c r="BL384" s="63">
        <f t="shared" ref="BL384:BL447" si="78">$Q384*Y384</f>
        <v>8000</v>
      </c>
      <c r="BM384" s="63">
        <f t="shared" si="67"/>
        <v>8000</v>
      </c>
      <c r="BN384" s="63">
        <f t="shared" si="68"/>
        <v>40000</v>
      </c>
      <c r="BO384" s="63">
        <f t="shared" si="69"/>
        <v>40000</v>
      </c>
      <c r="BP384" s="63">
        <f t="shared" si="70"/>
        <v>80000</v>
      </c>
      <c r="BQ384" s="63">
        <f t="shared" si="71"/>
        <v>80000</v>
      </c>
      <c r="BR384" s="63">
        <f t="shared" si="72"/>
        <v>80000</v>
      </c>
      <c r="BS384" s="63">
        <f t="shared" si="73"/>
        <v>80000</v>
      </c>
    </row>
    <row r="385" spans="1:71">
      <c r="A385" s="28">
        <f t="shared" si="74"/>
        <v>384</v>
      </c>
      <c r="B385" s="29" t="s">
        <v>1181</v>
      </c>
      <c r="C385" s="30" t="s">
        <v>527</v>
      </c>
      <c r="D385" s="29" t="s">
        <v>1181</v>
      </c>
      <c r="E385" s="30" t="s">
        <v>1150</v>
      </c>
      <c r="F385" s="30"/>
      <c r="G385" s="30" t="s">
        <v>421</v>
      </c>
      <c r="H385" s="35" t="s">
        <v>422</v>
      </c>
      <c r="I385" s="72">
        <v>69401</v>
      </c>
      <c r="J385" s="72"/>
      <c r="K385" s="30"/>
      <c r="L385" s="30" t="s">
        <v>1184</v>
      </c>
      <c r="M385" s="39">
        <v>1500000</v>
      </c>
      <c r="N385" s="31" t="s">
        <v>1185</v>
      </c>
      <c r="O385" s="30" t="s">
        <v>1186</v>
      </c>
      <c r="P385" s="42">
        <v>5.1</v>
      </c>
      <c r="Q385" s="42">
        <v>4.8</v>
      </c>
      <c r="R385" s="47">
        <f t="shared" si="75"/>
        <v>1680000</v>
      </c>
      <c r="S385" s="48">
        <v>1680000</v>
      </c>
      <c r="T385" s="48">
        <f t="shared" si="76"/>
        <v>350000</v>
      </c>
      <c r="U385" s="39">
        <v>0</v>
      </c>
      <c r="V385" s="39">
        <v>0</v>
      </c>
      <c r="W385" s="39">
        <v>0</v>
      </c>
      <c r="X385" s="39">
        <v>0</v>
      </c>
      <c r="Y385" s="39">
        <v>0</v>
      </c>
      <c r="Z385" s="39">
        <v>50000</v>
      </c>
      <c r="AA385" s="39">
        <v>50000</v>
      </c>
      <c r="AB385" s="39">
        <v>50000</v>
      </c>
      <c r="AC385" s="39">
        <v>50000</v>
      </c>
      <c r="AD385" s="39">
        <v>50000</v>
      </c>
      <c r="AE385" s="39">
        <v>50000</v>
      </c>
      <c r="AF385" s="39">
        <v>50000</v>
      </c>
      <c r="AG385" s="39"/>
      <c r="AH385" s="39"/>
      <c r="AI385" s="39"/>
      <c r="AJ385" s="39"/>
      <c r="AK385" s="39"/>
      <c r="AL385" s="39"/>
      <c r="AM385" s="39"/>
      <c r="AN385" s="39"/>
      <c r="AO385" s="39"/>
      <c r="AP385" s="39"/>
      <c r="AQ385" s="39"/>
      <c r="AR385" s="39"/>
      <c r="AS385" s="30" t="s">
        <v>705</v>
      </c>
      <c r="AT385" s="30" t="s">
        <v>116</v>
      </c>
      <c r="AU385" s="30" t="s">
        <v>545</v>
      </c>
      <c r="AV385" s="29" t="s">
        <v>117</v>
      </c>
      <c r="AW385" s="30" t="s">
        <v>1153</v>
      </c>
      <c r="AX385" s="30" t="s">
        <v>1154</v>
      </c>
      <c r="AY385" s="30"/>
      <c r="AZ385" s="30" t="s">
        <v>1187</v>
      </c>
      <c r="BA385" s="30"/>
      <c r="BB385" s="30"/>
      <c r="BC385" s="58">
        <v>1</v>
      </c>
      <c r="BD385" s="55"/>
      <c r="BE385" s="55">
        <v>45358</v>
      </c>
      <c r="BF385" s="55">
        <v>45358</v>
      </c>
      <c r="BG385" s="55">
        <v>45389</v>
      </c>
      <c r="BH385" s="55">
        <v>45511</v>
      </c>
      <c r="BI385" s="55">
        <v>45633</v>
      </c>
      <c r="BJ385" s="59" t="s">
        <v>115</v>
      </c>
      <c r="BK385" s="63"/>
      <c r="BL385" s="63">
        <f t="shared" si="78"/>
        <v>0</v>
      </c>
      <c r="BM385" s="63">
        <f t="shared" si="67"/>
        <v>240000</v>
      </c>
      <c r="BN385" s="63">
        <f t="shared" si="68"/>
        <v>240000</v>
      </c>
      <c r="BO385" s="63">
        <f t="shared" si="69"/>
        <v>240000</v>
      </c>
      <c r="BP385" s="63">
        <f t="shared" si="70"/>
        <v>240000</v>
      </c>
      <c r="BQ385" s="63">
        <f t="shared" si="71"/>
        <v>240000</v>
      </c>
      <c r="BR385" s="63">
        <f t="shared" si="72"/>
        <v>240000</v>
      </c>
      <c r="BS385" s="63">
        <f t="shared" si="73"/>
        <v>240000</v>
      </c>
    </row>
    <row r="386" spans="1:71">
      <c r="A386" s="28">
        <f t="shared" si="74"/>
        <v>385</v>
      </c>
      <c r="B386" s="29" t="s">
        <v>1181</v>
      </c>
      <c r="C386" s="30" t="s">
        <v>527</v>
      </c>
      <c r="D386" s="29" t="s">
        <v>1181</v>
      </c>
      <c r="E386" s="30" t="s">
        <v>1150</v>
      </c>
      <c r="F386" s="30"/>
      <c r="G386" s="30" t="s">
        <v>415</v>
      </c>
      <c r="H386" s="35" t="s">
        <v>416</v>
      </c>
      <c r="I386" s="72">
        <v>69401</v>
      </c>
      <c r="J386" s="72"/>
      <c r="K386" s="30"/>
      <c r="L386" s="30" t="s">
        <v>1188</v>
      </c>
      <c r="M386" s="39" t="s">
        <v>1189</v>
      </c>
      <c r="N386" s="31" t="s">
        <v>1190</v>
      </c>
      <c r="O386" s="30" t="s">
        <v>1186</v>
      </c>
      <c r="P386" s="42">
        <v>3.6</v>
      </c>
      <c r="Q386" s="42">
        <v>3.62</v>
      </c>
      <c r="R386" s="47">
        <f t="shared" si="75"/>
        <v>398200</v>
      </c>
      <c r="S386" s="48">
        <v>398200</v>
      </c>
      <c r="T386" s="48">
        <f t="shared" si="76"/>
        <v>110000</v>
      </c>
      <c r="U386" s="39">
        <v>0</v>
      </c>
      <c r="V386" s="39">
        <v>0</v>
      </c>
      <c r="W386" s="39">
        <v>0</v>
      </c>
      <c r="X386" s="39">
        <v>0</v>
      </c>
      <c r="Y386" s="39">
        <v>0</v>
      </c>
      <c r="Z386" s="39">
        <v>5000</v>
      </c>
      <c r="AA386" s="39">
        <v>5000</v>
      </c>
      <c r="AB386" s="39">
        <v>20000</v>
      </c>
      <c r="AC386" s="39">
        <v>20000</v>
      </c>
      <c r="AD386" s="39">
        <v>20000</v>
      </c>
      <c r="AE386" s="39">
        <v>20000</v>
      </c>
      <c r="AF386" s="39">
        <v>20000</v>
      </c>
      <c r="AG386" s="39"/>
      <c r="AH386" s="39"/>
      <c r="AI386" s="39"/>
      <c r="AJ386" s="39"/>
      <c r="AK386" s="39"/>
      <c r="AL386" s="39"/>
      <c r="AM386" s="39"/>
      <c r="AN386" s="39"/>
      <c r="AO386" s="39"/>
      <c r="AP386" s="39"/>
      <c r="AQ386" s="39"/>
      <c r="AR386" s="39"/>
      <c r="AS386" s="30"/>
      <c r="AT386" s="30" t="s">
        <v>116</v>
      </c>
      <c r="AU386" s="30" t="s">
        <v>545</v>
      </c>
      <c r="AV386" s="29"/>
      <c r="AW386" s="30"/>
      <c r="AX386" s="30"/>
      <c r="AY386" s="30"/>
      <c r="AZ386" s="30" t="s">
        <v>1155</v>
      </c>
      <c r="BA386" s="30"/>
      <c r="BB386" s="30"/>
      <c r="BC386" s="58">
        <v>1</v>
      </c>
      <c r="BD386" s="55"/>
      <c r="BE386" s="55">
        <v>45555</v>
      </c>
      <c r="BF386" s="55">
        <v>45556</v>
      </c>
      <c r="BG386" s="55">
        <v>45626</v>
      </c>
      <c r="BH386" s="55">
        <v>45745</v>
      </c>
      <c r="BI386" s="55">
        <v>45806</v>
      </c>
      <c r="BJ386" s="59" t="s">
        <v>115</v>
      </c>
      <c r="BK386" s="63"/>
      <c r="BL386" s="63">
        <f t="shared" si="78"/>
        <v>0</v>
      </c>
      <c r="BM386" s="63">
        <f t="shared" si="67"/>
        <v>18100</v>
      </c>
      <c r="BN386" s="63">
        <f t="shared" si="68"/>
        <v>18100</v>
      </c>
      <c r="BO386" s="63">
        <f t="shared" si="69"/>
        <v>72400</v>
      </c>
      <c r="BP386" s="63">
        <f t="shared" si="70"/>
        <v>72400</v>
      </c>
      <c r="BQ386" s="63">
        <f t="shared" si="71"/>
        <v>72400</v>
      </c>
      <c r="BR386" s="63">
        <f t="shared" si="72"/>
        <v>72400</v>
      </c>
      <c r="BS386" s="63">
        <f t="shared" si="73"/>
        <v>72400</v>
      </c>
    </row>
    <row r="387" spans="1:71">
      <c r="A387" s="28">
        <f t="shared" si="74"/>
        <v>386</v>
      </c>
      <c r="B387" s="29" t="s">
        <v>1181</v>
      </c>
      <c r="C387" s="30" t="s">
        <v>527</v>
      </c>
      <c r="D387" s="29" t="s">
        <v>1181</v>
      </c>
      <c r="E387" s="30" t="s">
        <v>1150</v>
      </c>
      <c r="F387" s="30"/>
      <c r="G387" s="30" t="s">
        <v>393</v>
      </c>
      <c r="H387" s="35" t="s">
        <v>395</v>
      </c>
      <c r="I387" s="72" t="s">
        <v>1191</v>
      </c>
      <c r="J387" s="72"/>
      <c r="K387" s="30"/>
      <c r="L387" s="30" t="s">
        <v>1192</v>
      </c>
      <c r="M387" s="39">
        <v>9000000</v>
      </c>
      <c r="N387" s="31" t="s">
        <v>1193</v>
      </c>
      <c r="O387" s="30" t="s">
        <v>1152</v>
      </c>
      <c r="P387" s="42">
        <v>3</v>
      </c>
      <c r="Q387" s="42">
        <v>2.42</v>
      </c>
      <c r="R387" s="47">
        <f t="shared" si="75"/>
        <v>8107000</v>
      </c>
      <c r="S387" s="48">
        <v>8833000</v>
      </c>
      <c r="T387" s="48">
        <f t="shared" si="76"/>
        <v>3350000</v>
      </c>
      <c r="U387" s="39">
        <v>450000</v>
      </c>
      <c r="V387" s="39">
        <v>300000</v>
      </c>
      <c r="W387" s="39">
        <v>300000</v>
      </c>
      <c r="X387" s="39">
        <v>300000</v>
      </c>
      <c r="Y387" s="39">
        <v>300000</v>
      </c>
      <c r="Z387" s="39">
        <v>450000</v>
      </c>
      <c r="AA387" s="39">
        <v>450000</v>
      </c>
      <c r="AB387" s="39">
        <v>450000</v>
      </c>
      <c r="AC387" s="39">
        <v>500000</v>
      </c>
      <c r="AD387" s="39">
        <v>500000</v>
      </c>
      <c r="AE387" s="39">
        <v>500000</v>
      </c>
      <c r="AF387" s="39">
        <v>500000</v>
      </c>
      <c r="AG387" s="39"/>
      <c r="AH387" s="39"/>
      <c r="AI387" s="39"/>
      <c r="AJ387" s="39"/>
      <c r="AK387" s="39"/>
      <c r="AL387" s="39"/>
      <c r="AM387" s="39"/>
      <c r="AN387" s="39"/>
      <c r="AO387" s="39"/>
      <c r="AP387" s="39"/>
      <c r="AQ387" s="39"/>
      <c r="AR387" s="39"/>
      <c r="AS387" s="30" t="s">
        <v>1150</v>
      </c>
      <c r="AT387" s="30" t="s">
        <v>116</v>
      </c>
      <c r="AU387" s="30" t="s">
        <v>545</v>
      </c>
      <c r="AV387" s="29" t="s">
        <v>117</v>
      </c>
      <c r="AW387" s="30" t="s">
        <v>1153</v>
      </c>
      <c r="AX387" s="30" t="s">
        <v>1154</v>
      </c>
      <c r="AY387" s="30"/>
      <c r="AZ387" s="30" t="s">
        <v>1194</v>
      </c>
      <c r="BA387" s="30"/>
      <c r="BB387" s="30"/>
      <c r="BC387" s="58">
        <v>2</v>
      </c>
      <c r="BD387" s="55">
        <v>44621</v>
      </c>
      <c r="BE387" s="55">
        <v>43891</v>
      </c>
      <c r="BF387" s="55">
        <v>43922</v>
      </c>
      <c r="BG387" s="55">
        <v>44105</v>
      </c>
      <c r="BH387" s="55">
        <v>44348</v>
      </c>
      <c r="BI387" s="55">
        <v>44593</v>
      </c>
      <c r="BJ387" s="59">
        <v>0.7</v>
      </c>
      <c r="BK387" s="63"/>
      <c r="BL387" s="63">
        <f t="shared" si="78"/>
        <v>726000</v>
      </c>
      <c r="BM387" s="63">
        <f t="shared" ref="BM387:BM450" si="79">$Q387*Z387</f>
        <v>1089000</v>
      </c>
      <c r="BN387" s="63">
        <f t="shared" ref="BN387:BN450" si="80">$Q387*AA387</f>
        <v>1089000</v>
      </c>
      <c r="BO387" s="63">
        <f t="shared" ref="BO387:BO450" si="81">$Q387*AB387</f>
        <v>1089000</v>
      </c>
      <c r="BP387" s="63">
        <f t="shared" ref="BP387:BP450" si="82">$Q387*AC387</f>
        <v>1210000</v>
      </c>
      <c r="BQ387" s="63">
        <f t="shared" ref="BQ387:BQ450" si="83">$Q387*AD387</f>
        <v>1210000</v>
      </c>
      <c r="BR387" s="63">
        <f t="shared" ref="BR387:BR450" si="84">$Q387*AE387</f>
        <v>1210000</v>
      </c>
      <c r="BS387" s="63">
        <f t="shared" ref="BS387:BS450" si="85">$Q387*AF387</f>
        <v>1210000</v>
      </c>
    </row>
    <row r="388" spans="1:71">
      <c r="A388" s="28">
        <f t="shared" ref="A388:A451" si="86">ROW()-1</f>
        <v>387</v>
      </c>
      <c r="B388" s="29" t="s">
        <v>1181</v>
      </c>
      <c r="C388" s="30" t="s">
        <v>527</v>
      </c>
      <c r="D388" s="29" t="s">
        <v>1181</v>
      </c>
      <c r="E388" s="30" t="s">
        <v>1150</v>
      </c>
      <c r="F388" s="30"/>
      <c r="G388" s="30" t="s">
        <v>100</v>
      </c>
      <c r="H388" s="35" t="s">
        <v>101</v>
      </c>
      <c r="I388" s="72">
        <v>1138</v>
      </c>
      <c r="J388" s="72" t="s">
        <v>96</v>
      </c>
      <c r="K388" s="30"/>
      <c r="L388" s="30" t="s">
        <v>1195</v>
      </c>
      <c r="M388" s="39">
        <v>2350000</v>
      </c>
      <c r="N388" s="31" t="s">
        <v>89</v>
      </c>
      <c r="O388" s="30" t="s">
        <v>89</v>
      </c>
      <c r="P388" s="42" t="s">
        <v>89</v>
      </c>
      <c r="Q388" s="42">
        <v>0.42</v>
      </c>
      <c r="R388" s="47">
        <f t="shared" ref="R388:R451" si="87">Q388*T388</f>
        <v>420000</v>
      </c>
      <c r="S388" s="48">
        <v>420000</v>
      </c>
      <c r="T388" s="48">
        <f t="shared" ref="T388:T451" si="88">SUM(Z388:AF388)</f>
        <v>1000000</v>
      </c>
      <c r="U388" s="39">
        <v>180000</v>
      </c>
      <c r="V388" s="39">
        <v>0</v>
      </c>
      <c r="W388" s="39">
        <v>180000</v>
      </c>
      <c r="X388" s="39">
        <v>180000</v>
      </c>
      <c r="Y388" s="39">
        <v>0</v>
      </c>
      <c r="Z388" s="39">
        <v>0</v>
      </c>
      <c r="AA388" s="39">
        <v>0</v>
      </c>
      <c r="AB388" s="39">
        <v>200000</v>
      </c>
      <c r="AC388" s="39">
        <v>200000</v>
      </c>
      <c r="AD388" s="39">
        <v>200000</v>
      </c>
      <c r="AE388" s="39">
        <v>200000</v>
      </c>
      <c r="AF388" s="39">
        <v>200000</v>
      </c>
      <c r="AG388" s="39"/>
      <c r="AH388" s="39"/>
      <c r="AI388" s="39"/>
      <c r="AJ388" s="39"/>
      <c r="AK388" s="39"/>
      <c r="AL388" s="39"/>
      <c r="AM388" s="39"/>
      <c r="AN388" s="39"/>
      <c r="AO388" s="39"/>
      <c r="AP388" s="39"/>
      <c r="AQ388" s="39"/>
      <c r="AR388" s="39"/>
      <c r="AS388" s="30" t="s">
        <v>1150</v>
      </c>
      <c r="AT388" s="30" t="s">
        <v>116</v>
      </c>
      <c r="AU388" s="30" t="s">
        <v>81</v>
      </c>
      <c r="AV388" s="29" t="s">
        <v>117</v>
      </c>
      <c r="AW388" s="30" t="s">
        <v>1153</v>
      </c>
      <c r="AX388" s="30" t="s">
        <v>120</v>
      </c>
      <c r="AY388" s="30"/>
      <c r="AZ388" s="30" t="s">
        <v>562</v>
      </c>
      <c r="BA388" s="30"/>
      <c r="BB388" s="30"/>
      <c r="BC388" s="58">
        <v>3</v>
      </c>
      <c r="BD388" s="55">
        <v>44621</v>
      </c>
      <c r="BE388" s="55">
        <v>43891</v>
      </c>
      <c r="BF388" s="55">
        <v>43922</v>
      </c>
      <c r="BG388" s="55">
        <v>44105</v>
      </c>
      <c r="BH388" s="55">
        <v>44348</v>
      </c>
      <c r="BI388" s="55">
        <v>44593</v>
      </c>
      <c r="BJ388" s="59" t="s">
        <v>115</v>
      </c>
      <c r="BK388" s="63"/>
      <c r="BL388" s="63">
        <f t="shared" si="78"/>
        <v>0</v>
      </c>
      <c r="BM388" s="63">
        <f t="shared" si="79"/>
        <v>0</v>
      </c>
      <c r="BN388" s="63">
        <f t="shared" si="80"/>
        <v>0</v>
      </c>
      <c r="BO388" s="63">
        <f t="shared" si="81"/>
        <v>84000</v>
      </c>
      <c r="BP388" s="63">
        <f t="shared" si="82"/>
        <v>84000</v>
      </c>
      <c r="BQ388" s="63">
        <f t="shared" si="83"/>
        <v>84000</v>
      </c>
      <c r="BR388" s="63">
        <f t="shared" si="84"/>
        <v>84000</v>
      </c>
      <c r="BS388" s="63">
        <f t="shared" si="85"/>
        <v>84000</v>
      </c>
    </row>
    <row r="389" spans="1:71">
      <c r="A389" s="28">
        <f t="shared" si="86"/>
        <v>388</v>
      </c>
      <c r="B389" s="29" t="s">
        <v>1181</v>
      </c>
      <c r="C389" s="30" t="s">
        <v>527</v>
      </c>
      <c r="D389" s="29" t="s">
        <v>1181</v>
      </c>
      <c r="E389" s="30" t="s">
        <v>1150</v>
      </c>
      <c r="F389" s="30"/>
      <c r="G389" s="30" t="s">
        <v>167</v>
      </c>
      <c r="H389" s="35" t="s">
        <v>168</v>
      </c>
      <c r="I389" s="72">
        <v>1134</v>
      </c>
      <c r="J389" s="72" t="s">
        <v>96</v>
      </c>
      <c r="K389" s="30"/>
      <c r="L389" s="30" t="s">
        <v>1195</v>
      </c>
      <c r="M389" s="39">
        <v>540000</v>
      </c>
      <c r="N389" s="31" t="s">
        <v>89</v>
      </c>
      <c r="O389" s="30" t="s">
        <v>89</v>
      </c>
      <c r="P389" s="42" t="s">
        <v>89</v>
      </c>
      <c r="Q389" s="42">
        <v>0.42</v>
      </c>
      <c r="R389" s="47">
        <f t="shared" si="87"/>
        <v>147000</v>
      </c>
      <c r="S389" s="48">
        <v>168000</v>
      </c>
      <c r="T389" s="48">
        <f t="shared" si="88"/>
        <v>350000</v>
      </c>
      <c r="U389" s="39">
        <v>0</v>
      </c>
      <c r="V389" s="39">
        <v>0</v>
      </c>
      <c r="W389" s="39">
        <v>50000</v>
      </c>
      <c r="X389" s="39">
        <v>50000</v>
      </c>
      <c r="Y389" s="39">
        <v>50000</v>
      </c>
      <c r="Z389" s="39">
        <v>50000</v>
      </c>
      <c r="AA389" s="39">
        <v>50000</v>
      </c>
      <c r="AB389" s="39">
        <v>50000</v>
      </c>
      <c r="AC389" s="39">
        <v>50000</v>
      </c>
      <c r="AD389" s="39">
        <v>50000</v>
      </c>
      <c r="AE389" s="39">
        <v>50000</v>
      </c>
      <c r="AF389" s="39">
        <v>50000</v>
      </c>
      <c r="AG389" s="39"/>
      <c r="AH389" s="39"/>
      <c r="AI389" s="39"/>
      <c r="AJ389" s="39"/>
      <c r="AK389" s="39"/>
      <c r="AL389" s="39"/>
      <c r="AM389" s="39"/>
      <c r="AN389" s="39"/>
      <c r="AO389" s="39"/>
      <c r="AP389" s="39"/>
      <c r="AQ389" s="39"/>
      <c r="AR389" s="39"/>
      <c r="AS389" s="30" t="s">
        <v>1150</v>
      </c>
      <c r="AT389" s="30" t="s">
        <v>116</v>
      </c>
      <c r="AU389" s="30" t="s">
        <v>81</v>
      </c>
      <c r="AV389" s="29" t="s">
        <v>117</v>
      </c>
      <c r="AW389" s="30" t="s">
        <v>1153</v>
      </c>
      <c r="AX389" s="30" t="s">
        <v>120</v>
      </c>
      <c r="AY389" s="30"/>
      <c r="AZ389" s="30" t="s">
        <v>562</v>
      </c>
      <c r="BA389" s="30"/>
      <c r="BB389" s="30"/>
      <c r="BC389" s="58">
        <v>2</v>
      </c>
      <c r="BD389" s="55">
        <v>44621</v>
      </c>
      <c r="BE389" s="55">
        <v>43891</v>
      </c>
      <c r="BF389" s="55">
        <v>43922</v>
      </c>
      <c r="BG389" s="55">
        <v>44105</v>
      </c>
      <c r="BH389" s="55">
        <v>44348</v>
      </c>
      <c r="BI389" s="55">
        <v>44593</v>
      </c>
      <c r="BJ389" s="59" t="s">
        <v>115</v>
      </c>
      <c r="BK389" s="63"/>
      <c r="BL389" s="63">
        <f t="shared" si="78"/>
        <v>21000</v>
      </c>
      <c r="BM389" s="63">
        <f t="shared" si="79"/>
        <v>21000</v>
      </c>
      <c r="BN389" s="63">
        <f t="shared" si="80"/>
        <v>21000</v>
      </c>
      <c r="BO389" s="63">
        <f t="shared" si="81"/>
        <v>21000</v>
      </c>
      <c r="BP389" s="63">
        <f t="shared" si="82"/>
        <v>21000</v>
      </c>
      <c r="BQ389" s="63">
        <f t="shared" si="83"/>
        <v>21000</v>
      </c>
      <c r="BR389" s="63">
        <f t="shared" si="84"/>
        <v>21000</v>
      </c>
      <c r="BS389" s="63">
        <f t="shared" si="85"/>
        <v>21000</v>
      </c>
    </row>
    <row r="390" spans="1:71">
      <c r="A390" s="28">
        <f t="shared" si="86"/>
        <v>389</v>
      </c>
      <c r="B390" s="72" t="s">
        <v>1196</v>
      </c>
      <c r="C390" s="30" t="s">
        <v>527</v>
      </c>
      <c r="D390" s="72" t="s">
        <v>1197</v>
      </c>
      <c r="E390" s="72" t="s">
        <v>1150</v>
      </c>
      <c r="F390" s="31"/>
      <c r="G390" s="30" t="s">
        <v>409</v>
      </c>
      <c r="H390" s="35" t="s">
        <v>410</v>
      </c>
      <c r="I390" s="72">
        <v>60370</v>
      </c>
      <c r="J390" s="72"/>
      <c r="K390" s="30"/>
      <c r="L390" s="31" t="s">
        <v>1198</v>
      </c>
      <c r="M390" s="39">
        <v>100000</v>
      </c>
      <c r="N390" s="31" t="s">
        <v>89</v>
      </c>
      <c r="O390" s="30" t="s">
        <v>89</v>
      </c>
      <c r="P390" s="42" t="s">
        <v>115</v>
      </c>
      <c r="Q390" s="42">
        <v>8.5</v>
      </c>
      <c r="R390" s="47">
        <f t="shared" si="87"/>
        <v>425000</v>
      </c>
      <c r="S390" s="48">
        <v>425000</v>
      </c>
      <c r="T390" s="48">
        <f t="shared" si="88"/>
        <v>50000</v>
      </c>
      <c r="U390" s="39">
        <v>50000</v>
      </c>
      <c r="V390" s="39">
        <v>0</v>
      </c>
      <c r="W390" s="39">
        <v>0</v>
      </c>
      <c r="X390" s="39">
        <v>0</v>
      </c>
      <c r="Y390" s="39">
        <v>0</v>
      </c>
      <c r="Z390" s="39">
        <v>0</v>
      </c>
      <c r="AA390" s="39">
        <v>0</v>
      </c>
      <c r="AB390" s="39">
        <v>0</v>
      </c>
      <c r="AC390" s="39">
        <v>0</v>
      </c>
      <c r="AD390" s="39">
        <v>0</v>
      </c>
      <c r="AE390" s="39">
        <v>0</v>
      </c>
      <c r="AF390" s="39">
        <v>50000</v>
      </c>
      <c r="AG390" s="39"/>
      <c r="AH390" s="39"/>
      <c r="AI390" s="39"/>
      <c r="AJ390" s="39"/>
      <c r="AK390" s="39"/>
      <c r="AL390" s="39"/>
      <c r="AM390" s="39"/>
      <c r="AN390" s="39"/>
      <c r="AO390" s="39"/>
      <c r="AP390" s="39"/>
      <c r="AQ390" s="39"/>
      <c r="AR390" s="39"/>
      <c r="AS390" s="30" t="s">
        <v>1150</v>
      </c>
      <c r="AT390" s="30" t="s">
        <v>116</v>
      </c>
      <c r="AU390" s="30" t="s">
        <v>956</v>
      </c>
      <c r="AV390" s="29" t="s">
        <v>106</v>
      </c>
      <c r="AW390" s="29" t="s">
        <v>140</v>
      </c>
      <c r="AX390" s="29" t="s">
        <v>141</v>
      </c>
      <c r="AY390" s="30" t="s">
        <v>142</v>
      </c>
      <c r="AZ390" s="30" t="s">
        <v>1199</v>
      </c>
      <c r="BA390" s="30"/>
      <c r="BB390" s="30"/>
      <c r="BC390" s="58">
        <v>1</v>
      </c>
      <c r="BD390" s="55"/>
      <c r="BE390" s="55"/>
      <c r="BF390" s="55"/>
      <c r="BG390" s="55"/>
      <c r="BH390" s="55"/>
      <c r="BI390" s="55"/>
      <c r="BJ390" s="59" t="s">
        <v>115</v>
      </c>
      <c r="BK390" s="63"/>
      <c r="BL390" s="63">
        <f t="shared" si="78"/>
        <v>0</v>
      </c>
      <c r="BM390" s="63">
        <f t="shared" si="79"/>
        <v>0</v>
      </c>
      <c r="BN390" s="63">
        <f t="shared" si="80"/>
        <v>0</v>
      </c>
      <c r="BO390" s="63">
        <f t="shared" si="81"/>
        <v>0</v>
      </c>
      <c r="BP390" s="63">
        <f t="shared" si="82"/>
        <v>0</v>
      </c>
      <c r="BQ390" s="63">
        <f t="shared" si="83"/>
        <v>0</v>
      </c>
      <c r="BR390" s="63">
        <f t="shared" si="84"/>
        <v>0</v>
      </c>
      <c r="BS390" s="63">
        <f t="shared" si="85"/>
        <v>425000</v>
      </c>
    </row>
    <row r="391" spans="1:71">
      <c r="A391" s="28">
        <f t="shared" si="86"/>
        <v>390</v>
      </c>
      <c r="B391" s="72" t="s">
        <v>1196</v>
      </c>
      <c r="C391" s="30" t="s">
        <v>527</v>
      </c>
      <c r="D391" s="72" t="s">
        <v>1197</v>
      </c>
      <c r="E391" s="72" t="s">
        <v>1150</v>
      </c>
      <c r="F391" s="31"/>
      <c r="G391" s="30" t="s">
        <v>256</v>
      </c>
      <c r="H391" s="35" t="s">
        <v>257</v>
      </c>
      <c r="I391" s="72">
        <v>2662</v>
      </c>
      <c r="J391" s="72"/>
      <c r="K391" s="30"/>
      <c r="L391" s="31" t="s">
        <v>1200</v>
      </c>
      <c r="M391" s="39" t="s">
        <v>1189</v>
      </c>
      <c r="N391" s="31" t="s">
        <v>1201</v>
      </c>
      <c r="O391" s="30" t="s">
        <v>89</v>
      </c>
      <c r="P391" s="42" t="s">
        <v>115</v>
      </c>
      <c r="Q391" s="42">
        <v>0.25</v>
      </c>
      <c r="R391" s="47">
        <f t="shared" si="87"/>
        <v>393500</v>
      </c>
      <c r="S391" s="48">
        <v>175000</v>
      </c>
      <c r="T391" s="48">
        <f t="shared" si="88"/>
        <v>1574000</v>
      </c>
      <c r="U391" s="39">
        <v>0</v>
      </c>
      <c r="V391" s="39">
        <v>0</v>
      </c>
      <c r="W391" s="39">
        <v>0</v>
      </c>
      <c r="X391" s="39">
        <v>0</v>
      </c>
      <c r="Y391" s="39">
        <v>0</v>
      </c>
      <c r="Z391" s="39">
        <v>212000</v>
      </c>
      <c r="AA391" s="39">
        <v>242000</v>
      </c>
      <c r="AB391" s="39">
        <v>212000</v>
      </c>
      <c r="AC391" s="39">
        <v>212000</v>
      </c>
      <c r="AD391" s="39">
        <v>242000</v>
      </c>
      <c r="AE391" s="39">
        <v>212000</v>
      </c>
      <c r="AF391" s="39">
        <v>242000</v>
      </c>
      <c r="AG391" s="39"/>
      <c r="AH391" s="39"/>
      <c r="AI391" s="39"/>
      <c r="AJ391" s="39"/>
      <c r="AK391" s="39"/>
      <c r="AL391" s="39"/>
      <c r="AM391" s="39"/>
      <c r="AN391" s="39"/>
      <c r="AO391" s="39"/>
      <c r="AP391" s="39"/>
      <c r="AQ391" s="39"/>
      <c r="AR391" s="39"/>
      <c r="AS391" s="30" t="s">
        <v>1150</v>
      </c>
      <c r="AT391" s="30" t="s">
        <v>116</v>
      </c>
      <c r="AU391" s="30" t="s">
        <v>81</v>
      </c>
      <c r="AV391" s="29" t="s">
        <v>106</v>
      </c>
      <c r="AW391" s="29" t="s">
        <v>140</v>
      </c>
      <c r="AX391" s="29" t="s">
        <v>141</v>
      </c>
      <c r="AY391" s="30" t="s">
        <v>142</v>
      </c>
      <c r="AZ391" s="30" t="s">
        <v>1199</v>
      </c>
      <c r="BA391" s="30"/>
      <c r="BB391" s="30"/>
      <c r="BC391" s="58">
        <v>3</v>
      </c>
      <c r="BD391" s="55"/>
      <c r="BE391" s="55"/>
      <c r="BF391" s="55"/>
      <c r="BG391" s="55"/>
      <c r="BH391" s="55"/>
      <c r="BI391" s="55"/>
      <c r="BJ391" s="59" t="s">
        <v>115</v>
      </c>
      <c r="BK391" s="63"/>
      <c r="BL391" s="63">
        <f t="shared" si="78"/>
        <v>0</v>
      </c>
      <c r="BM391" s="63">
        <f t="shared" si="79"/>
        <v>53000</v>
      </c>
      <c r="BN391" s="63">
        <f t="shared" si="80"/>
        <v>60500</v>
      </c>
      <c r="BO391" s="63">
        <f t="shared" si="81"/>
        <v>53000</v>
      </c>
      <c r="BP391" s="63">
        <f t="shared" si="82"/>
        <v>53000</v>
      </c>
      <c r="BQ391" s="63">
        <f t="shared" si="83"/>
        <v>60500</v>
      </c>
      <c r="BR391" s="63">
        <f t="shared" si="84"/>
        <v>53000</v>
      </c>
      <c r="BS391" s="63">
        <f t="shared" si="85"/>
        <v>60500</v>
      </c>
    </row>
    <row r="392" spans="1:71">
      <c r="A392" s="28">
        <f t="shared" si="86"/>
        <v>391</v>
      </c>
      <c r="B392" s="29" t="s">
        <v>1202</v>
      </c>
      <c r="C392" s="30" t="s">
        <v>72</v>
      </c>
      <c r="D392" s="30" t="s">
        <v>1203</v>
      </c>
      <c r="E392" s="30" t="s">
        <v>1150</v>
      </c>
      <c r="F392" s="30"/>
      <c r="G392" s="30" t="s">
        <v>393</v>
      </c>
      <c r="H392" s="35" t="s">
        <v>394</v>
      </c>
      <c r="I392" s="72">
        <v>4688</v>
      </c>
      <c r="J392" s="72"/>
      <c r="K392" s="30"/>
      <c r="L392" s="30" t="s">
        <v>1204</v>
      </c>
      <c r="M392" s="39">
        <v>500000</v>
      </c>
      <c r="N392" s="31" t="s">
        <v>1205</v>
      </c>
      <c r="O392" s="30" t="s">
        <v>1152</v>
      </c>
      <c r="P392" s="42">
        <v>4.2</v>
      </c>
      <c r="Q392" s="42">
        <v>2.66</v>
      </c>
      <c r="R392" s="47">
        <f t="shared" si="87"/>
        <v>372400</v>
      </c>
      <c r="S392" s="48">
        <v>425600</v>
      </c>
      <c r="T392" s="48">
        <f t="shared" si="88"/>
        <v>140000</v>
      </c>
      <c r="U392" s="39">
        <v>0</v>
      </c>
      <c r="V392" s="39">
        <v>0</v>
      </c>
      <c r="W392" s="39">
        <v>0</v>
      </c>
      <c r="X392" s="39">
        <v>20000</v>
      </c>
      <c r="Y392" s="39">
        <v>20000</v>
      </c>
      <c r="Z392" s="39">
        <v>20000</v>
      </c>
      <c r="AA392" s="39">
        <v>20000</v>
      </c>
      <c r="AB392" s="39">
        <v>20000</v>
      </c>
      <c r="AC392" s="39">
        <v>20000</v>
      </c>
      <c r="AD392" s="39">
        <v>20000</v>
      </c>
      <c r="AE392" s="39">
        <v>20000</v>
      </c>
      <c r="AF392" s="39">
        <v>20000</v>
      </c>
      <c r="AG392" s="39"/>
      <c r="AH392" s="39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0" t="s">
        <v>1150</v>
      </c>
      <c r="AT392" s="30" t="s">
        <v>116</v>
      </c>
      <c r="AU392" s="30" t="s">
        <v>545</v>
      </c>
      <c r="AV392" s="29"/>
      <c r="AW392" s="30"/>
      <c r="AX392" s="30"/>
      <c r="AY392" s="30"/>
      <c r="AZ392" s="30" t="s">
        <v>1206</v>
      </c>
      <c r="BA392" s="30"/>
      <c r="BB392" s="30"/>
      <c r="BC392" s="58">
        <v>2</v>
      </c>
      <c r="BD392" s="55"/>
      <c r="BE392" s="55">
        <v>44197</v>
      </c>
      <c r="BF392" s="55">
        <v>44197</v>
      </c>
      <c r="BG392" s="55">
        <v>44348</v>
      </c>
      <c r="BH392" s="55">
        <v>44562</v>
      </c>
      <c r="BI392" s="55">
        <v>45444</v>
      </c>
      <c r="BJ392" s="59" t="s">
        <v>115</v>
      </c>
      <c r="BK392" s="63"/>
      <c r="BL392" s="63">
        <f t="shared" si="78"/>
        <v>53200</v>
      </c>
      <c r="BM392" s="63">
        <f t="shared" si="79"/>
        <v>53200</v>
      </c>
      <c r="BN392" s="63">
        <f t="shared" si="80"/>
        <v>53200</v>
      </c>
      <c r="BO392" s="63">
        <f t="shared" si="81"/>
        <v>53200</v>
      </c>
      <c r="BP392" s="63">
        <f t="shared" si="82"/>
        <v>53200</v>
      </c>
      <c r="BQ392" s="63">
        <f t="shared" si="83"/>
        <v>53200</v>
      </c>
      <c r="BR392" s="63">
        <f t="shared" si="84"/>
        <v>53200</v>
      </c>
      <c r="BS392" s="63">
        <f t="shared" si="85"/>
        <v>53200</v>
      </c>
    </row>
    <row r="393" spans="1:71">
      <c r="A393" s="28">
        <f t="shared" si="86"/>
        <v>392</v>
      </c>
      <c r="B393" s="30" t="s">
        <v>679</v>
      </c>
      <c r="C393" s="30" t="s">
        <v>72</v>
      </c>
      <c r="D393" s="30" t="s">
        <v>679</v>
      </c>
      <c r="E393" s="30" t="s">
        <v>1150</v>
      </c>
      <c r="F393" s="30"/>
      <c r="G393" s="30" t="s">
        <v>389</v>
      </c>
      <c r="H393" s="35" t="s">
        <v>390</v>
      </c>
      <c r="I393" s="72">
        <v>2425</v>
      </c>
      <c r="J393" s="72"/>
      <c r="K393" s="30"/>
      <c r="L393" s="30"/>
      <c r="M393" s="39">
        <v>3000000</v>
      </c>
      <c r="N393" s="31" t="s">
        <v>1207</v>
      </c>
      <c r="O393" s="30" t="s">
        <v>620</v>
      </c>
      <c r="P393" s="42"/>
      <c r="Q393" s="42" t="s">
        <v>1208</v>
      </c>
      <c r="R393" s="47">
        <f t="shared" si="87"/>
        <v>3500000</v>
      </c>
      <c r="S393" s="48">
        <v>4000000</v>
      </c>
      <c r="T393" s="48">
        <f t="shared" si="88"/>
        <v>1400000</v>
      </c>
      <c r="U393" s="39">
        <v>200000</v>
      </c>
      <c r="V393" s="39">
        <v>200000</v>
      </c>
      <c r="W393" s="39">
        <v>200000</v>
      </c>
      <c r="X393" s="39">
        <v>200000</v>
      </c>
      <c r="Y393" s="39">
        <v>200000</v>
      </c>
      <c r="Z393" s="39">
        <v>200000</v>
      </c>
      <c r="AA393" s="39">
        <v>200000</v>
      </c>
      <c r="AB393" s="39">
        <v>200000</v>
      </c>
      <c r="AC393" s="39">
        <v>200000</v>
      </c>
      <c r="AD393" s="39">
        <v>200000</v>
      </c>
      <c r="AE393" s="39">
        <v>200000</v>
      </c>
      <c r="AF393" s="39">
        <v>200000</v>
      </c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0" t="s">
        <v>1150</v>
      </c>
      <c r="AT393" s="30" t="s">
        <v>116</v>
      </c>
      <c r="AU393" s="30" t="s">
        <v>545</v>
      </c>
      <c r="AV393" s="29" t="s">
        <v>581</v>
      </c>
      <c r="AW393" s="30" t="s">
        <v>582</v>
      </c>
      <c r="AX393" s="30" t="s">
        <v>1209</v>
      </c>
      <c r="AY393" s="30"/>
      <c r="AZ393" s="30"/>
      <c r="BA393" s="30"/>
      <c r="BB393" s="30"/>
      <c r="BC393" s="58"/>
      <c r="BD393" s="55"/>
      <c r="BE393" s="55"/>
      <c r="BF393" s="55"/>
      <c r="BG393" s="55"/>
      <c r="BH393" s="55"/>
      <c r="BI393" s="55"/>
      <c r="BJ393" s="59"/>
      <c r="BK393" s="63"/>
      <c r="BL393" s="63">
        <f t="shared" si="78"/>
        <v>500000</v>
      </c>
      <c r="BM393" s="63">
        <f t="shared" si="79"/>
        <v>500000</v>
      </c>
      <c r="BN393" s="63">
        <f t="shared" si="80"/>
        <v>500000</v>
      </c>
      <c r="BO393" s="63">
        <f t="shared" si="81"/>
        <v>500000</v>
      </c>
      <c r="BP393" s="63">
        <f t="shared" si="82"/>
        <v>500000</v>
      </c>
      <c r="BQ393" s="63">
        <f t="shared" si="83"/>
        <v>500000</v>
      </c>
      <c r="BR393" s="63">
        <f t="shared" si="84"/>
        <v>500000</v>
      </c>
      <c r="BS393" s="63">
        <f t="shared" si="85"/>
        <v>500000</v>
      </c>
    </row>
    <row r="394" spans="1:71">
      <c r="A394" s="28">
        <f t="shared" si="86"/>
        <v>393</v>
      </c>
      <c r="B394" s="29" t="s">
        <v>1210</v>
      </c>
      <c r="C394" s="30" t="s">
        <v>92</v>
      </c>
      <c r="D394" s="30" t="s">
        <v>1210</v>
      </c>
      <c r="E394" s="30" t="s">
        <v>1150</v>
      </c>
      <c r="F394" s="30"/>
      <c r="G394" s="30" t="s">
        <v>272</v>
      </c>
      <c r="H394" s="35" t="s">
        <v>273</v>
      </c>
      <c r="I394" s="72">
        <v>2443</v>
      </c>
      <c r="J394" s="72"/>
      <c r="K394" s="30"/>
      <c r="L394" s="30" t="s">
        <v>1211</v>
      </c>
      <c r="M394" s="39">
        <v>8000000</v>
      </c>
      <c r="N394" s="31" t="s">
        <v>1212</v>
      </c>
      <c r="O394" s="30" t="s">
        <v>1213</v>
      </c>
      <c r="P394" s="42" t="s">
        <v>115</v>
      </c>
      <c r="Q394" s="42">
        <v>0.65</v>
      </c>
      <c r="R394" s="47">
        <f t="shared" si="87"/>
        <v>3707530.45</v>
      </c>
      <c r="S394" s="48">
        <v>4160000</v>
      </c>
      <c r="T394" s="48">
        <f t="shared" si="88"/>
        <v>5703893</v>
      </c>
      <c r="U394" s="39">
        <v>288187</v>
      </c>
      <c r="V394" s="39">
        <v>212300</v>
      </c>
      <c r="W394" s="39">
        <v>536969</v>
      </c>
      <c r="X394" s="39">
        <v>529507</v>
      </c>
      <c r="Y394" s="39">
        <v>800000</v>
      </c>
      <c r="Z394" s="39">
        <v>800000</v>
      </c>
      <c r="AA394" s="39">
        <v>903893</v>
      </c>
      <c r="AB394" s="39">
        <v>800000</v>
      </c>
      <c r="AC394" s="39">
        <v>800000</v>
      </c>
      <c r="AD394" s="39">
        <v>800000</v>
      </c>
      <c r="AE394" s="39">
        <v>800000</v>
      </c>
      <c r="AF394" s="39">
        <v>800000</v>
      </c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0" t="s">
        <v>1150</v>
      </c>
      <c r="AT394" s="30" t="s">
        <v>116</v>
      </c>
      <c r="AU394" s="30" t="s">
        <v>81</v>
      </c>
      <c r="AV394" s="29" t="s">
        <v>117</v>
      </c>
      <c r="AW394" s="30" t="s">
        <v>706</v>
      </c>
      <c r="AX394" s="30" t="s">
        <v>834</v>
      </c>
      <c r="AY394" s="30"/>
      <c r="AZ394" s="30"/>
      <c r="BA394" s="30"/>
      <c r="BB394" s="30"/>
      <c r="BC394" s="58">
        <v>2</v>
      </c>
      <c r="BD394" s="55"/>
      <c r="BE394" s="55">
        <v>44621</v>
      </c>
      <c r="BF394" s="55">
        <v>44630</v>
      </c>
      <c r="BG394" s="55">
        <v>44691</v>
      </c>
      <c r="BH394" s="55">
        <v>44844</v>
      </c>
      <c r="BI394" s="55">
        <v>44896</v>
      </c>
      <c r="BJ394" s="59" t="s">
        <v>115</v>
      </c>
      <c r="BK394" s="63"/>
      <c r="BL394" s="63">
        <f t="shared" si="78"/>
        <v>520000</v>
      </c>
      <c r="BM394" s="63">
        <f t="shared" si="79"/>
        <v>520000</v>
      </c>
      <c r="BN394" s="63">
        <f t="shared" si="80"/>
        <v>587530.45</v>
      </c>
      <c r="BO394" s="63">
        <f t="shared" si="81"/>
        <v>520000</v>
      </c>
      <c r="BP394" s="63">
        <f t="shared" si="82"/>
        <v>520000</v>
      </c>
      <c r="BQ394" s="63">
        <f t="shared" si="83"/>
        <v>520000</v>
      </c>
      <c r="BR394" s="63">
        <f t="shared" si="84"/>
        <v>520000</v>
      </c>
      <c r="BS394" s="63">
        <f t="shared" si="85"/>
        <v>520000</v>
      </c>
    </row>
    <row r="395" spans="1:71">
      <c r="A395" s="28">
        <f t="shared" si="86"/>
        <v>394</v>
      </c>
      <c r="B395" s="29" t="s">
        <v>1210</v>
      </c>
      <c r="C395" s="30" t="s">
        <v>92</v>
      </c>
      <c r="D395" s="30" t="s">
        <v>1210</v>
      </c>
      <c r="E395" s="30" t="s">
        <v>1150</v>
      </c>
      <c r="F395" s="30"/>
      <c r="G395" s="30" t="s">
        <v>270</v>
      </c>
      <c r="H395" s="35" t="s">
        <v>271</v>
      </c>
      <c r="I395" s="72">
        <v>2443</v>
      </c>
      <c r="J395" s="72"/>
      <c r="K395" s="30"/>
      <c r="L395" s="30" t="s">
        <v>1211</v>
      </c>
      <c r="M395" s="39">
        <v>300000</v>
      </c>
      <c r="N395" s="31" t="s">
        <v>1214</v>
      </c>
      <c r="O395" s="30" t="s">
        <v>1213</v>
      </c>
      <c r="P395" s="42" t="s">
        <v>115</v>
      </c>
      <c r="Q395" s="42">
        <v>0.65</v>
      </c>
      <c r="R395" s="47">
        <f t="shared" si="87"/>
        <v>182000</v>
      </c>
      <c r="S395" s="48">
        <v>208000</v>
      </c>
      <c r="T395" s="48">
        <f t="shared" si="88"/>
        <v>280000</v>
      </c>
      <c r="U395" s="39">
        <v>33340</v>
      </c>
      <c r="V395" s="39">
        <v>15245</v>
      </c>
      <c r="W395" s="39">
        <v>23069</v>
      </c>
      <c r="X395" s="39">
        <v>31033</v>
      </c>
      <c r="Y395" s="39">
        <v>40000</v>
      </c>
      <c r="Z395" s="39">
        <v>40000</v>
      </c>
      <c r="AA395" s="39">
        <v>40000</v>
      </c>
      <c r="AB395" s="39">
        <v>40000</v>
      </c>
      <c r="AC395" s="39">
        <v>40000</v>
      </c>
      <c r="AD395" s="39">
        <v>40000</v>
      </c>
      <c r="AE395" s="39">
        <v>40000</v>
      </c>
      <c r="AF395" s="39">
        <v>40000</v>
      </c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0" t="s">
        <v>1150</v>
      </c>
      <c r="AT395" s="30" t="s">
        <v>116</v>
      </c>
      <c r="AU395" s="30" t="s">
        <v>81</v>
      </c>
      <c r="AV395" s="29" t="s">
        <v>117</v>
      </c>
      <c r="AW395" s="30" t="s">
        <v>706</v>
      </c>
      <c r="AX395" s="30" t="s">
        <v>834</v>
      </c>
      <c r="AY395" s="30"/>
      <c r="AZ395" s="30"/>
      <c r="BA395" s="30"/>
      <c r="BB395" s="30"/>
      <c r="BC395" s="58">
        <v>2</v>
      </c>
      <c r="BD395" s="55"/>
      <c r="BE395" s="55">
        <v>44621</v>
      </c>
      <c r="BF395" s="55">
        <v>44630</v>
      </c>
      <c r="BG395" s="55">
        <v>44691</v>
      </c>
      <c r="BH395" s="55">
        <v>44844</v>
      </c>
      <c r="BI395" s="55">
        <v>44896</v>
      </c>
      <c r="BJ395" s="59" t="s">
        <v>115</v>
      </c>
      <c r="BK395" s="63"/>
      <c r="BL395" s="63">
        <f t="shared" si="78"/>
        <v>26000</v>
      </c>
      <c r="BM395" s="63">
        <f t="shared" si="79"/>
        <v>26000</v>
      </c>
      <c r="BN395" s="63">
        <f t="shared" si="80"/>
        <v>26000</v>
      </c>
      <c r="BO395" s="63">
        <f t="shared" si="81"/>
        <v>26000</v>
      </c>
      <c r="BP395" s="63">
        <f t="shared" si="82"/>
        <v>26000</v>
      </c>
      <c r="BQ395" s="63">
        <f t="shared" si="83"/>
        <v>26000</v>
      </c>
      <c r="BR395" s="63">
        <f t="shared" si="84"/>
        <v>26000</v>
      </c>
      <c r="BS395" s="63">
        <f t="shared" si="85"/>
        <v>26000</v>
      </c>
    </row>
    <row r="396" spans="1:71">
      <c r="A396" s="28">
        <f t="shared" si="86"/>
        <v>395</v>
      </c>
      <c r="B396" s="29" t="s">
        <v>1215</v>
      </c>
      <c r="C396" s="30" t="s">
        <v>72</v>
      </c>
      <c r="D396" s="30" t="s">
        <v>1216</v>
      </c>
      <c r="E396" s="30" t="s">
        <v>1217</v>
      </c>
      <c r="F396" s="30"/>
      <c r="G396" s="30" t="s">
        <v>195</v>
      </c>
      <c r="H396" s="68" t="s">
        <v>196</v>
      </c>
      <c r="I396" s="30"/>
      <c r="J396" s="30"/>
      <c r="K396" s="30" t="s">
        <v>1218</v>
      </c>
      <c r="L396" s="39">
        <v>3000000</v>
      </c>
      <c r="M396" s="30" t="s">
        <v>79</v>
      </c>
      <c r="N396" s="31"/>
      <c r="O396" s="29" t="s">
        <v>89</v>
      </c>
      <c r="P396" s="43"/>
      <c r="Q396" s="42">
        <v>0.125</v>
      </c>
      <c r="R396" s="47">
        <f t="shared" si="87"/>
        <v>125000</v>
      </c>
      <c r="S396" s="91"/>
      <c r="T396" s="48">
        <f t="shared" si="88"/>
        <v>1000000</v>
      </c>
      <c r="U396" s="39"/>
      <c r="V396" s="39"/>
      <c r="W396" s="39">
        <v>1000000</v>
      </c>
      <c r="X396" s="39"/>
      <c r="Y396" s="39"/>
      <c r="Z396" s="39"/>
      <c r="AA396" s="39"/>
      <c r="AB396" s="39">
        <v>0</v>
      </c>
      <c r="AC396" s="39">
        <v>1000000</v>
      </c>
      <c r="AD396" s="39"/>
      <c r="AE396" s="39"/>
      <c r="AF396" s="39"/>
      <c r="AG396" s="31"/>
      <c r="AH396" s="31">
        <v>0</v>
      </c>
      <c r="AI396" s="31">
        <v>0</v>
      </c>
      <c r="AJ396" s="31">
        <v>0</v>
      </c>
      <c r="AK396" s="31"/>
      <c r="AL396" s="39"/>
      <c r="AM396" s="39">
        <v>0</v>
      </c>
      <c r="AN396" s="39"/>
      <c r="AO396" s="39"/>
      <c r="AP396" s="39"/>
      <c r="AQ396" s="39"/>
      <c r="AR396" s="39"/>
      <c r="AS396" s="30" t="s">
        <v>1217</v>
      </c>
      <c r="AT396" s="30" t="s">
        <v>80</v>
      </c>
      <c r="AU396" s="30" t="s">
        <v>81</v>
      </c>
      <c r="AV396" s="30" t="s">
        <v>581</v>
      </c>
      <c r="AW396" s="30" t="s">
        <v>588</v>
      </c>
      <c r="AX396" s="30" t="s">
        <v>1219</v>
      </c>
      <c r="AY396" s="33"/>
      <c r="AZ396" s="30"/>
      <c r="BA396" s="30"/>
      <c r="BB396" s="30"/>
      <c r="BC396" s="58"/>
      <c r="BD396" s="30"/>
      <c r="BE396" s="30"/>
      <c r="BF396" s="30"/>
      <c r="BG396" s="30"/>
      <c r="BH396" s="30"/>
      <c r="BI396" s="30"/>
      <c r="BJ396" s="29"/>
      <c r="BK396" s="29"/>
      <c r="BL396" s="63">
        <f t="shared" si="78"/>
        <v>0</v>
      </c>
      <c r="BM396" s="63">
        <f t="shared" si="79"/>
        <v>0</v>
      </c>
      <c r="BN396" s="63">
        <f t="shared" si="80"/>
        <v>0</v>
      </c>
      <c r="BO396" s="63">
        <f t="shared" si="81"/>
        <v>0</v>
      </c>
      <c r="BP396" s="63">
        <f t="shared" si="82"/>
        <v>125000</v>
      </c>
      <c r="BQ396" s="63">
        <f t="shared" si="83"/>
        <v>0</v>
      </c>
      <c r="BR396" s="63">
        <f t="shared" si="84"/>
        <v>0</v>
      </c>
      <c r="BS396" s="63">
        <f t="shared" si="85"/>
        <v>0</v>
      </c>
    </row>
    <row r="397" spans="1:71">
      <c r="A397" s="28">
        <f t="shared" si="86"/>
        <v>396</v>
      </c>
      <c r="B397" s="29" t="s">
        <v>1220</v>
      </c>
      <c r="C397" s="30" t="s">
        <v>72</v>
      </c>
      <c r="D397" s="30" t="s">
        <v>1216</v>
      </c>
      <c r="E397" s="30" t="s">
        <v>1217</v>
      </c>
      <c r="F397" s="30"/>
      <c r="G397" s="30" t="s">
        <v>165</v>
      </c>
      <c r="H397" s="35" t="s">
        <v>166</v>
      </c>
      <c r="I397" s="30"/>
      <c r="J397" s="30"/>
      <c r="K397" s="30" t="s">
        <v>655</v>
      </c>
      <c r="L397" s="39">
        <v>661230</v>
      </c>
      <c r="M397" s="30" t="s">
        <v>79</v>
      </c>
      <c r="N397" s="31"/>
      <c r="O397" s="29" t="s">
        <v>89</v>
      </c>
      <c r="P397" s="43"/>
      <c r="Q397" s="42">
        <v>0.23</v>
      </c>
      <c r="R397" s="47">
        <f t="shared" si="87"/>
        <v>69000</v>
      </c>
      <c r="S397" s="91"/>
      <c r="T397" s="48">
        <f t="shared" si="88"/>
        <v>300000</v>
      </c>
      <c r="U397" s="39">
        <v>60000</v>
      </c>
      <c r="V397" s="39">
        <v>60000</v>
      </c>
      <c r="W397" s="39">
        <v>60000</v>
      </c>
      <c r="X397" s="39">
        <v>60000</v>
      </c>
      <c r="Y397" s="39">
        <v>60000</v>
      </c>
      <c r="Z397" s="39">
        <v>60000</v>
      </c>
      <c r="AA397" s="39">
        <v>0</v>
      </c>
      <c r="AB397" s="39">
        <v>60000</v>
      </c>
      <c r="AC397" s="39">
        <v>0</v>
      </c>
      <c r="AD397" s="39">
        <v>60000</v>
      </c>
      <c r="AE397" s="39">
        <v>60000</v>
      </c>
      <c r="AF397" s="39">
        <v>60000</v>
      </c>
      <c r="AG397" s="39">
        <v>0</v>
      </c>
      <c r="AH397" s="39">
        <v>0</v>
      </c>
      <c r="AI397" s="39">
        <v>0</v>
      </c>
      <c r="AJ397" s="39">
        <v>0</v>
      </c>
      <c r="AK397" s="39">
        <v>0</v>
      </c>
      <c r="AL397" s="39">
        <v>0</v>
      </c>
      <c r="AM397" s="39">
        <v>0</v>
      </c>
      <c r="AN397" s="39"/>
      <c r="AO397" s="39"/>
      <c r="AP397" s="39"/>
      <c r="AQ397" s="39"/>
      <c r="AR397" s="39"/>
      <c r="AS397" s="30" t="s">
        <v>1217</v>
      </c>
      <c r="AT397" s="30" t="s">
        <v>80</v>
      </c>
      <c r="AU397" s="30" t="s">
        <v>81</v>
      </c>
      <c r="AV397" s="30" t="s">
        <v>106</v>
      </c>
      <c r="AW397" s="30" t="s">
        <v>638</v>
      </c>
      <c r="AX397" s="30" t="s">
        <v>649</v>
      </c>
      <c r="AY397" s="33" t="s">
        <v>655</v>
      </c>
      <c r="AZ397" s="30"/>
      <c r="BA397" s="30"/>
      <c r="BB397" s="30"/>
      <c r="BC397" s="58"/>
      <c r="BD397" s="30"/>
      <c r="BE397" s="30"/>
      <c r="BF397" s="30"/>
      <c r="BG397" s="30"/>
      <c r="BH397" s="30"/>
      <c r="BI397" s="30"/>
      <c r="BJ397" s="29"/>
      <c r="BK397" s="29"/>
      <c r="BL397" s="63">
        <f t="shared" si="78"/>
        <v>13800</v>
      </c>
      <c r="BM397" s="63">
        <f t="shared" si="79"/>
        <v>13800</v>
      </c>
      <c r="BN397" s="63">
        <f t="shared" si="80"/>
        <v>0</v>
      </c>
      <c r="BO397" s="63">
        <f t="shared" si="81"/>
        <v>13800</v>
      </c>
      <c r="BP397" s="63">
        <f t="shared" si="82"/>
        <v>0</v>
      </c>
      <c r="BQ397" s="63">
        <f t="shared" si="83"/>
        <v>13800</v>
      </c>
      <c r="BR397" s="63">
        <f t="shared" si="84"/>
        <v>13800</v>
      </c>
      <c r="BS397" s="63">
        <f t="shared" si="85"/>
        <v>13800</v>
      </c>
    </row>
    <row r="398" spans="1:71">
      <c r="A398" s="28">
        <f t="shared" si="86"/>
        <v>397</v>
      </c>
      <c r="B398" s="29" t="s">
        <v>1221</v>
      </c>
      <c r="C398" s="30" t="s">
        <v>72</v>
      </c>
      <c r="D398" s="30" t="s">
        <v>124</v>
      </c>
      <c r="E398" s="30" t="s">
        <v>125</v>
      </c>
      <c r="F398" s="30"/>
      <c r="G398" s="30" t="s">
        <v>330</v>
      </c>
      <c r="H398" s="35" t="s">
        <v>332</v>
      </c>
      <c r="I398" s="30"/>
      <c r="J398" s="30"/>
      <c r="K398" s="30" t="s">
        <v>1222</v>
      </c>
      <c r="L398" s="39">
        <v>300000</v>
      </c>
      <c r="M398" s="30" t="s">
        <v>79</v>
      </c>
      <c r="N398" s="31"/>
      <c r="O398" s="29" t="s">
        <v>620</v>
      </c>
      <c r="P398" s="43"/>
      <c r="Q398" s="42">
        <v>0.495</v>
      </c>
      <c r="R398" s="47">
        <f t="shared" si="87"/>
        <v>89100</v>
      </c>
      <c r="S398" s="91"/>
      <c r="T398" s="48">
        <f t="shared" si="88"/>
        <v>180000</v>
      </c>
      <c r="U398" s="39"/>
      <c r="V398" s="39">
        <v>0</v>
      </c>
      <c r="W398" s="39"/>
      <c r="X398" s="39">
        <v>0</v>
      </c>
      <c r="Y398" s="39">
        <v>0</v>
      </c>
      <c r="Z398" s="39">
        <v>0</v>
      </c>
      <c r="AA398" s="39">
        <v>30000</v>
      </c>
      <c r="AB398" s="39">
        <v>30000</v>
      </c>
      <c r="AC398" s="39">
        <v>30000</v>
      </c>
      <c r="AD398" s="39">
        <v>30000</v>
      </c>
      <c r="AE398" s="39">
        <v>30000</v>
      </c>
      <c r="AF398" s="39">
        <v>30000</v>
      </c>
      <c r="AG398" s="39"/>
      <c r="AH398" s="39">
        <v>0</v>
      </c>
      <c r="AI398" s="39"/>
      <c r="AJ398" s="39">
        <v>0</v>
      </c>
      <c r="AK398" s="39">
        <v>0</v>
      </c>
      <c r="AL398" s="39"/>
      <c r="AM398" s="39">
        <v>0</v>
      </c>
      <c r="AN398" s="39"/>
      <c r="AO398" s="39"/>
      <c r="AP398" s="39"/>
      <c r="AQ398" s="39"/>
      <c r="AR398" s="39"/>
      <c r="AS398" s="30" t="s">
        <v>93</v>
      </c>
      <c r="AT398" s="30" t="s">
        <v>127</v>
      </c>
      <c r="AU398" s="30" t="s">
        <v>81</v>
      </c>
      <c r="AV398" s="30" t="s">
        <v>106</v>
      </c>
      <c r="AW398" s="30" t="s">
        <v>107</v>
      </c>
      <c r="AX398" s="30" t="s">
        <v>1223</v>
      </c>
      <c r="AY398" s="30" t="s">
        <v>646</v>
      </c>
      <c r="AZ398" s="30"/>
      <c r="BA398" s="30"/>
      <c r="BB398" s="30"/>
      <c r="BC398" s="58"/>
      <c r="BD398" s="30"/>
      <c r="BE398" s="30"/>
      <c r="BF398" s="30"/>
      <c r="BG398" s="30"/>
      <c r="BH398" s="30"/>
      <c r="BI398" s="30"/>
      <c r="BJ398" s="29"/>
      <c r="BK398" s="29"/>
      <c r="BL398" s="63">
        <f t="shared" si="78"/>
        <v>0</v>
      </c>
      <c r="BM398" s="63">
        <f t="shared" si="79"/>
        <v>0</v>
      </c>
      <c r="BN398" s="63">
        <f t="shared" si="80"/>
        <v>14850</v>
      </c>
      <c r="BO398" s="63">
        <f t="shared" si="81"/>
        <v>14850</v>
      </c>
      <c r="BP398" s="63">
        <f t="shared" si="82"/>
        <v>14850</v>
      </c>
      <c r="BQ398" s="63">
        <f t="shared" si="83"/>
        <v>14850</v>
      </c>
      <c r="BR398" s="63">
        <f t="shared" si="84"/>
        <v>14850</v>
      </c>
      <c r="BS398" s="63">
        <f t="shared" si="85"/>
        <v>14850</v>
      </c>
    </row>
    <row r="399" spans="1:71">
      <c r="A399" s="28">
        <f t="shared" si="86"/>
        <v>398</v>
      </c>
      <c r="B399" s="29" t="s">
        <v>1221</v>
      </c>
      <c r="C399" s="30" t="s">
        <v>72</v>
      </c>
      <c r="D399" s="30" t="s">
        <v>124</v>
      </c>
      <c r="E399" s="30" t="s">
        <v>125</v>
      </c>
      <c r="F399" s="30"/>
      <c r="G399" s="30" t="s">
        <v>100</v>
      </c>
      <c r="H399" s="35" t="s">
        <v>101</v>
      </c>
      <c r="I399" s="30"/>
      <c r="J399" s="30" t="s">
        <v>169</v>
      </c>
      <c r="K399" s="30" t="s">
        <v>1222</v>
      </c>
      <c r="L399" s="39">
        <v>600000</v>
      </c>
      <c r="M399" s="30" t="s">
        <v>79</v>
      </c>
      <c r="N399" s="31"/>
      <c r="O399" s="29" t="s">
        <v>620</v>
      </c>
      <c r="P399" s="43"/>
      <c r="Q399" s="42">
        <v>0.4</v>
      </c>
      <c r="R399" s="47">
        <f t="shared" si="87"/>
        <v>7200</v>
      </c>
      <c r="S399" s="91"/>
      <c r="T399" s="48">
        <f t="shared" si="88"/>
        <v>18000</v>
      </c>
      <c r="U399" s="39">
        <v>0</v>
      </c>
      <c r="V399" s="39"/>
      <c r="W399" s="39"/>
      <c r="X399" s="39"/>
      <c r="Y399" s="39"/>
      <c r="Z399" s="39"/>
      <c r="AA399" s="39">
        <v>3000</v>
      </c>
      <c r="AB399" s="39">
        <v>3000</v>
      </c>
      <c r="AC399" s="39">
        <v>3000</v>
      </c>
      <c r="AD399" s="39">
        <v>3000</v>
      </c>
      <c r="AE399" s="39">
        <v>3000</v>
      </c>
      <c r="AF399" s="39">
        <v>3000</v>
      </c>
      <c r="AG399" s="39">
        <v>0</v>
      </c>
      <c r="AH399" s="39">
        <v>0</v>
      </c>
      <c r="AI399" s="39">
        <v>0</v>
      </c>
      <c r="AJ399" s="39">
        <v>0</v>
      </c>
      <c r="AK399" s="39">
        <v>0</v>
      </c>
      <c r="AL399" s="39"/>
      <c r="AM399" s="39">
        <v>0</v>
      </c>
      <c r="AN399" s="39"/>
      <c r="AO399" s="39"/>
      <c r="AP399" s="39"/>
      <c r="AQ399" s="39"/>
      <c r="AR399" s="39"/>
      <c r="AS399" s="30" t="s">
        <v>93</v>
      </c>
      <c r="AT399" s="30" t="s">
        <v>127</v>
      </c>
      <c r="AU399" s="30" t="s">
        <v>81</v>
      </c>
      <c r="AV399" s="30" t="s">
        <v>106</v>
      </c>
      <c r="AW399" s="30" t="s">
        <v>107</v>
      </c>
      <c r="AX399" s="30" t="s">
        <v>1223</v>
      </c>
      <c r="AY399" s="30" t="s">
        <v>646</v>
      </c>
      <c r="AZ399" s="30"/>
      <c r="BA399" s="30"/>
      <c r="BB399" s="30"/>
      <c r="BC399" s="58"/>
      <c r="BD399" s="30"/>
      <c r="BE399" s="30"/>
      <c r="BF399" s="30"/>
      <c r="BG399" s="30"/>
      <c r="BH399" s="30"/>
      <c r="BI399" s="30"/>
      <c r="BJ399" s="29"/>
      <c r="BK399" s="29"/>
      <c r="BL399" s="63">
        <f t="shared" si="78"/>
        <v>0</v>
      </c>
      <c r="BM399" s="63">
        <f t="shared" si="79"/>
        <v>0</v>
      </c>
      <c r="BN399" s="63">
        <f t="shared" si="80"/>
        <v>1200</v>
      </c>
      <c r="BO399" s="63">
        <f t="shared" si="81"/>
        <v>1200</v>
      </c>
      <c r="BP399" s="63">
        <f t="shared" si="82"/>
        <v>1200</v>
      </c>
      <c r="BQ399" s="63">
        <f t="shared" si="83"/>
        <v>1200</v>
      </c>
      <c r="BR399" s="63">
        <f t="shared" si="84"/>
        <v>1200</v>
      </c>
      <c r="BS399" s="63">
        <f t="shared" si="85"/>
        <v>1200</v>
      </c>
    </row>
    <row r="400" spans="1:71">
      <c r="A400" s="28">
        <f t="shared" si="86"/>
        <v>399</v>
      </c>
      <c r="B400" s="29" t="s">
        <v>1221</v>
      </c>
      <c r="C400" s="30" t="s">
        <v>72</v>
      </c>
      <c r="D400" s="30" t="s">
        <v>124</v>
      </c>
      <c r="E400" s="30" t="s">
        <v>125</v>
      </c>
      <c r="F400" s="30"/>
      <c r="G400" s="30" t="s">
        <v>393</v>
      </c>
      <c r="H400" s="35" t="s">
        <v>394</v>
      </c>
      <c r="I400" s="30"/>
      <c r="J400" s="30"/>
      <c r="K400" s="30" t="s">
        <v>1222</v>
      </c>
      <c r="L400" s="39">
        <v>20000</v>
      </c>
      <c r="M400" s="30" t="s">
        <v>79</v>
      </c>
      <c r="N400" s="31"/>
      <c r="O400" s="29"/>
      <c r="P400" s="43"/>
      <c r="Q400" s="42">
        <v>2.6</v>
      </c>
      <c r="R400" s="47">
        <f t="shared" si="87"/>
        <v>156000</v>
      </c>
      <c r="S400" s="91"/>
      <c r="T400" s="48">
        <f t="shared" si="88"/>
        <v>60000</v>
      </c>
      <c r="U400" s="39"/>
      <c r="V400" s="39"/>
      <c r="W400" s="39"/>
      <c r="X400" s="39"/>
      <c r="Y400" s="39"/>
      <c r="Z400" s="39"/>
      <c r="AA400" s="39">
        <v>10000</v>
      </c>
      <c r="AB400" s="39">
        <v>10000</v>
      </c>
      <c r="AC400" s="39">
        <v>10000</v>
      </c>
      <c r="AD400" s="39">
        <v>10000</v>
      </c>
      <c r="AE400" s="39">
        <v>10000</v>
      </c>
      <c r="AF400" s="39">
        <v>10000</v>
      </c>
      <c r="AG400" s="39"/>
      <c r="AH400" s="39"/>
      <c r="AI400" s="39"/>
      <c r="AJ400" s="39"/>
      <c r="AK400" s="39"/>
      <c r="AL400" s="39"/>
      <c r="AM400" s="39"/>
      <c r="AN400" s="39"/>
      <c r="AO400" s="39"/>
      <c r="AP400" s="39"/>
      <c r="AQ400" s="39"/>
      <c r="AR400" s="39"/>
      <c r="AS400" s="30" t="s">
        <v>1217</v>
      </c>
      <c r="AT400" s="30" t="s">
        <v>127</v>
      </c>
      <c r="AU400" s="30" t="s">
        <v>545</v>
      </c>
      <c r="AV400" s="30" t="s">
        <v>106</v>
      </c>
      <c r="AW400" s="30" t="s">
        <v>107</v>
      </c>
      <c r="AX400" s="30" t="s">
        <v>1223</v>
      </c>
      <c r="AY400" s="30" t="s">
        <v>646</v>
      </c>
      <c r="AZ400" s="30"/>
      <c r="BA400" s="30"/>
      <c r="BB400" s="30"/>
      <c r="BC400" s="58"/>
      <c r="BD400" s="30"/>
      <c r="BE400" s="30"/>
      <c r="BF400" s="30"/>
      <c r="BG400" s="30"/>
      <c r="BH400" s="30"/>
      <c r="BI400" s="30"/>
      <c r="BJ400" s="29"/>
      <c r="BK400" s="29"/>
      <c r="BL400" s="63">
        <f t="shared" si="78"/>
        <v>0</v>
      </c>
      <c r="BM400" s="63">
        <f t="shared" si="79"/>
        <v>0</v>
      </c>
      <c r="BN400" s="63">
        <f t="shared" si="80"/>
        <v>26000</v>
      </c>
      <c r="BO400" s="63">
        <f t="shared" si="81"/>
        <v>26000</v>
      </c>
      <c r="BP400" s="63">
        <f t="shared" si="82"/>
        <v>26000</v>
      </c>
      <c r="BQ400" s="63">
        <f t="shared" si="83"/>
        <v>26000</v>
      </c>
      <c r="BR400" s="63">
        <f t="shared" si="84"/>
        <v>26000</v>
      </c>
      <c r="BS400" s="63">
        <f t="shared" si="85"/>
        <v>26000</v>
      </c>
    </row>
    <row r="401" spans="1:71">
      <c r="A401" s="28">
        <f t="shared" si="86"/>
        <v>400</v>
      </c>
      <c r="B401" s="29" t="s">
        <v>1221</v>
      </c>
      <c r="C401" s="30" t="s">
        <v>72</v>
      </c>
      <c r="D401" s="30" t="s">
        <v>124</v>
      </c>
      <c r="E401" s="30" t="s">
        <v>125</v>
      </c>
      <c r="F401" s="30"/>
      <c r="G401" s="30" t="s">
        <v>391</v>
      </c>
      <c r="H401" s="35" t="s">
        <v>392</v>
      </c>
      <c r="I401" s="30"/>
      <c r="J401" s="30"/>
      <c r="K401" s="30" t="s">
        <v>1222</v>
      </c>
      <c r="L401" s="39"/>
      <c r="M401" s="30" t="s">
        <v>56</v>
      </c>
      <c r="N401" s="31" t="s">
        <v>1224</v>
      </c>
      <c r="O401" s="29"/>
      <c r="P401" s="43"/>
      <c r="Q401" s="42"/>
      <c r="R401" s="47">
        <f t="shared" si="87"/>
        <v>0</v>
      </c>
      <c r="S401" s="91"/>
      <c r="T401" s="48">
        <f t="shared" si="88"/>
        <v>0</v>
      </c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  <c r="AP401" s="39"/>
      <c r="AQ401" s="39"/>
      <c r="AR401" s="39"/>
      <c r="AS401" s="30" t="s">
        <v>1217</v>
      </c>
      <c r="AT401" s="30" t="s">
        <v>127</v>
      </c>
      <c r="AU401" s="30" t="s">
        <v>545</v>
      </c>
      <c r="AV401" s="30" t="s">
        <v>106</v>
      </c>
      <c r="AW401" s="30" t="s">
        <v>107</v>
      </c>
      <c r="AX401" s="30" t="s">
        <v>1223</v>
      </c>
      <c r="AY401" s="30" t="s">
        <v>646</v>
      </c>
      <c r="AZ401" s="30"/>
      <c r="BA401" s="30"/>
      <c r="BB401" s="30"/>
      <c r="BC401" s="58"/>
      <c r="BD401" s="30"/>
      <c r="BE401" s="30"/>
      <c r="BF401" s="30"/>
      <c r="BG401" s="30"/>
      <c r="BH401" s="30"/>
      <c r="BI401" s="30"/>
      <c r="BJ401" s="29"/>
      <c r="BK401" s="29"/>
      <c r="BL401" s="63">
        <f t="shared" si="78"/>
        <v>0</v>
      </c>
      <c r="BM401" s="63">
        <f t="shared" si="79"/>
        <v>0</v>
      </c>
      <c r="BN401" s="63">
        <f t="shared" si="80"/>
        <v>0</v>
      </c>
      <c r="BO401" s="63">
        <f t="shared" si="81"/>
        <v>0</v>
      </c>
      <c r="BP401" s="63">
        <f t="shared" si="82"/>
        <v>0</v>
      </c>
      <c r="BQ401" s="63">
        <f t="shared" si="83"/>
        <v>0</v>
      </c>
      <c r="BR401" s="63">
        <f t="shared" si="84"/>
        <v>0</v>
      </c>
      <c r="BS401" s="63">
        <f t="shared" si="85"/>
        <v>0</v>
      </c>
    </row>
    <row r="402" spans="1:71">
      <c r="A402" s="28">
        <f t="shared" si="86"/>
        <v>401</v>
      </c>
      <c r="B402" s="29" t="s">
        <v>1221</v>
      </c>
      <c r="C402" s="30" t="s">
        <v>72</v>
      </c>
      <c r="D402" s="30" t="s">
        <v>124</v>
      </c>
      <c r="E402" s="30" t="s">
        <v>125</v>
      </c>
      <c r="F402" s="30"/>
      <c r="G402" s="31" t="s">
        <v>406</v>
      </c>
      <c r="H402" s="35" t="s">
        <v>407</v>
      </c>
      <c r="I402" s="30"/>
      <c r="J402" s="30"/>
      <c r="K402" s="30" t="s">
        <v>1222</v>
      </c>
      <c r="L402" s="39"/>
      <c r="M402" s="30" t="s">
        <v>79</v>
      </c>
      <c r="N402" s="31"/>
      <c r="O402" s="29"/>
      <c r="P402" s="43"/>
      <c r="Q402" s="42"/>
      <c r="R402" s="47">
        <f t="shared" si="87"/>
        <v>0</v>
      </c>
      <c r="S402" s="91"/>
      <c r="T402" s="48">
        <f t="shared" si="88"/>
        <v>0</v>
      </c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  <c r="AN402" s="39"/>
      <c r="AO402" s="39"/>
      <c r="AP402" s="39"/>
      <c r="AQ402" s="39"/>
      <c r="AR402" s="39"/>
      <c r="AS402" s="30" t="s">
        <v>1217</v>
      </c>
      <c r="AT402" s="30" t="s">
        <v>127</v>
      </c>
      <c r="AU402" s="30" t="s">
        <v>956</v>
      </c>
      <c r="AV402" s="30" t="s">
        <v>106</v>
      </c>
      <c r="AW402" s="30" t="s">
        <v>107</v>
      </c>
      <c r="AX402" s="30" t="s">
        <v>1223</v>
      </c>
      <c r="AY402" s="30" t="s">
        <v>646</v>
      </c>
      <c r="AZ402" s="30"/>
      <c r="BA402" s="30"/>
      <c r="BB402" s="30"/>
      <c r="BC402" s="58"/>
      <c r="BD402" s="30"/>
      <c r="BE402" s="30"/>
      <c r="BF402" s="30"/>
      <c r="BG402" s="30"/>
      <c r="BH402" s="30"/>
      <c r="BI402" s="30"/>
      <c r="BJ402" s="29"/>
      <c r="BK402" s="29"/>
      <c r="BL402" s="63">
        <f t="shared" si="78"/>
        <v>0</v>
      </c>
      <c r="BM402" s="63">
        <f t="shared" si="79"/>
        <v>0</v>
      </c>
      <c r="BN402" s="63">
        <f t="shared" si="80"/>
        <v>0</v>
      </c>
      <c r="BO402" s="63">
        <f t="shared" si="81"/>
        <v>0</v>
      </c>
      <c r="BP402" s="63">
        <f t="shared" si="82"/>
        <v>0</v>
      </c>
      <c r="BQ402" s="63">
        <f t="shared" si="83"/>
        <v>0</v>
      </c>
      <c r="BR402" s="63">
        <f t="shared" si="84"/>
        <v>0</v>
      </c>
      <c r="BS402" s="63">
        <f t="shared" si="85"/>
        <v>0</v>
      </c>
    </row>
    <row r="403" spans="1:71">
      <c r="A403" s="28">
        <f t="shared" si="86"/>
        <v>402</v>
      </c>
      <c r="B403" s="29" t="s">
        <v>1221</v>
      </c>
      <c r="C403" s="30" t="s">
        <v>72</v>
      </c>
      <c r="D403" s="30" t="s">
        <v>124</v>
      </c>
      <c r="E403" s="30" t="s">
        <v>125</v>
      </c>
      <c r="F403" s="30"/>
      <c r="G403" s="30" t="s">
        <v>405</v>
      </c>
      <c r="H403" s="35"/>
      <c r="I403" s="30"/>
      <c r="J403" s="30"/>
      <c r="K403" s="30" t="s">
        <v>1222</v>
      </c>
      <c r="L403" s="39">
        <v>10000</v>
      </c>
      <c r="M403" s="30" t="s">
        <v>114</v>
      </c>
      <c r="N403" s="31"/>
      <c r="O403" s="29"/>
      <c r="P403" s="43"/>
      <c r="Q403" s="42"/>
      <c r="R403" s="47">
        <f t="shared" si="87"/>
        <v>0</v>
      </c>
      <c r="S403" s="91"/>
      <c r="T403" s="48">
        <f t="shared" si="88"/>
        <v>0</v>
      </c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  <c r="AL403" s="39"/>
      <c r="AM403" s="39"/>
      <c r="AN403" s="39"/>
      <c r="AO403" s="39"/>
      <c r="AP403" s="39"/>
      <c r="AQ403" s="39"/>
      <c r="AR403" s="39"/>
      <c r="AS403" s="30" t="s">
        <v>1217</v>
      </c>
      <c r="AT403" s="30" t="s">
        <v>127</v>
      </c>
      <c r="AU403" s="30" t="s">
        <v>956</v>
      </c>
      <c r="AV403" s="30" t="s">
        <v>106</v>
      </c>
      <c r="AW403" s="30" t="s">
        <v>107</v>
      </c>
      <c r="AX403" s="30" t="s">
        <v>1223</v>
      </c>
      <c r="AY403" s="30" t="s">
        <v>646</v>
      </c>
      <c r="AZ403" s="30"/>
      <c r="BA403" s="30"/>
      <c r="BB403" s="30"/>
      <c r="BC403" s="58"/>
      <c r="BD403" s="30"/>
      <c r="BE403" s="30"/>
      <c r="BF403" s="30"/>
      <c r="BG403" s="30"/>
      <c r="BH403" s="30"/>
      <c r="BI403" s="30"/>
      <c r="BJ403" s="29"/>
      <c r="BK403" s="29"/>
      <c r="BL403" s="63">
        <f t="shared" si="78"/>
        <v>0</v>
      </c>
      <c r="BM403" s="63">
        <f t="shared" si="79"/>
        <v>0</v>
      </c>
      <c r="BN403" s="63">
        <f t="shared" si="80"/>
        <v>0</v>
      </c>
      <c r="BO403" s="63">
        <f t="shared" si="81"/>
        <v>0</v>
      </c>
      <c r="BP403" s="63">
        <f t="shared" si="82"/>
        <v>0</v>
      </c>
      <c r="BQ403" s="63">
        <f t="shared" si="83"/>
        <v>0</v>
      </c>
      <c r="BR403" s="63">
        <f t="shared" si="84"/>
        <v>0</v>
      </c>
      <c r="BS403" s="63">
        <f t="shared" si="85"/>
        <v>0</v>
      </c>
    </row>
    <row r="404" spans="1:71">
      <c r="A404" s="28">
        <f t="shared" si="86"/>
        <v>403</v>
      </c>
      <c r="B404" s="29" t="s">
        <v>1225</v>
      </c>
      <c r="C404" s="30" t="s">
        <v>72</v>
      </c>
      <c r="D404" s="30" t="s">
        <v>1226</v>
      </c>
      <c r="E404" s="30" t="s">
        <v>1217</v>
      </c>
      <c r="F404" s="30"/>
      <c r="G404" s="30" t="s">
        <v>488</v>
      </c>
      <c r="H404" s="35" t="s">
        <v>489</v>
      </c>
      <c r="I404" s="30"/>
      <c r="J404" s="30"/>
      <c r="K404" s="30" t="s">
        <v>1227</v>
      </c>
      <c r="L404" s="39">
        <v>1000000</v>
      </c>
      <c r="M404" s="30" t="s">
        <v>79</v>
      </c>
      <c r="N404" s="31"/>
      <c r="O404" s="29" t="s">
        <v>1228</v>
      </c>
      <c r="P404" s="43"/>
      <c r="Q404" s="42">
        <v>0.17</v>
      </c>
      <c r="R404" s="47">
        <f t="shared" si="87"/>
        <v>110500</v>
      </c>
      <c r="S404" s="91"/>
      <c r="T404" s="48">
        <f t="shared" si="88"/>
        <v>650000</v>
      </c>
      <c r="U404" s="39">
        <v>0</v>
      </c>
      <c r="V404" s="39">
        <v>0</v>
      </c>
      <c r="W404" s="39">
        <v>150000</v>
      </c>
      <c r="X404" s="39">
        <v>100000</v>
      </c>
      <c r="Y404" s="39">
        <v>200000</v>
      </c>
      <c r="Z404" s="39">
        <v>50000</v>
      </c>
      <c r="AA404" s="39">
        <v>0</v>
      </c>
      <c r="AB404" s="39">
        <v>0</v>
      </c>
      <c r="AC404" s="39">
        <v>200000</v>
      </c>
      <c r="AD404" s="39">
        <v>100000</v>
      </c>
      <c r="AE404" s="39">
        <v>100000</v>
      </c>
      <c r="AF404" s="39">
        <v>200000</v>
      </c>
      <c r="AG404" s="39">
        <v>0</v>
      </c>
      <c r="AH404" s="39">
        <v>0</v>
      </c>
      <c r="AI404" s="39">
        <v>0</v>
      </c>
      <c r="AJ404" s="39">
        <v>0</v>
      </c>
      <c r="AK404" s="39">
        <v>0</v>
      </c>
      <c r="AL404" s="39">
        <v>0</v>
      </c>
      <c r="AM404" s="39">
        <v>0</v>
      </c>
      <c r="AN404" s="39"/>
      <c r="AO404" s="39"/>
      <c r="AP404" s="39"/>
      <c r="AQ404" s="39"/>
      <c r="AR404" s="39"/>
      <c r="AS404" s="30" t="s">
        <v>1217</v>
      </c>
      <c r="AT404" s="30" t="s">
        <v>80</v>
      </c>
      <c r="AU404" s="30" t="s">
        <v>532</v>
      </c>
      <c r="AV404" s="30" t="s">
        <v>106</v>
      </c>
      <c r="AW404" s="30" t="s">
        <v>638</v>
      </c>
      <c r="AX404" s="30" t="s">
        <v>649</v>
      </c>
      <c r="AY404" s="30" t="s">
        <v>655</v>
      </c>
      <c r="AZ404" s="30"/>
      <c r="BA404" s="30"/>
      <c r="BB404" s="30"/>
      <c r="BC404" s="58"/>
      <c r="BD404" s="30"/>
      <c r="BE404" s="30"/>
      <c r="BF404" s="30"/>
      <c r="BG404" s="30"/>
      <c r="BH404" s="30"/>
      <c r="BI404" s="30"/>
      <c r="BJ404" s="29"/>
      <c r="BK404" s="29"/>
      <c r="BL404" s="63">
        <f t="shared" si="78"/>
        <v>34000</v>
      </c>
      <c r="BM404" s="63">
        <f t="shared" si="79"/>
        <v>8500</v>
      </c>
      <c r="BN404" s="63">
        <f t="shared" si="80"/>
        <v>0</v>
      </c>
      <c r="BO404" s="63">
        <f t="shared" si="81"/>
        <v>0</v>
      </c>
      <c r="BP404" s="63">
        <f t="shared" si="82"/>
        <v>34000</v>
      </c>
      <c r="BQ404" s="63">
        <f t="shared" si="83"/>
        <v>17000</v>
      </c>
      <c r="BR404" s="63">
        <f t="shared" si="84"/>
        <v>17000</v>
      </c>
      <c r="BS404" s="63">
        <f t="shared" si="85"/>
        <v>34000</v>
      </c>
    </row>
    <row r="405" spans="1:71">
      <c r="A405" s="28">
        <f t="shared" si="86"/>
        <v>404</v>
      </c>
      <c r="B405" s="29" t="s">
        <v>1229</v>
      </c>
      <c r="C405" s="30" t="s">
        <v>72</v>
      </c>
      <c r="D405" s="30" t="s">
        <v>1226</v>
      </c>
      <c r="E405" s="30" t="s">
        <v>1217</v>
      </c>
      <c r="F405" s="30"/>
      <c r="G405" s="30" t="s">
        <v>483</v>
      </c>
      <c r="H405" s="35" t="s">
        <v>484</v>
      </c>
      <c r="I405" s="30"/>
      <c r="J405" s="30"/>
      <c r="K405" s="30" t="s">
        <v>643</v>
      </c>
      <c r="L405" s="39"/>
      <c r="M405" s="30" t="s">
        <v>79</v>
      </c>
      <c r="N405" s="31"/>
      <c r="O405" s="29" t="s">
        <v>1230</v>
      </c>
      <c r="P405" s="43"/>
      <c r="Q405" s="42">
        <v>0.18</v>
      </c>
      <c r="R405" s="47">
        <f t="shared" si="87"/>
        <v>0</v>
      </c>
      <c r="S405" s="91"/>
      <c r="T405" s="48">
        <f t="shared" si="88"/>
        <v>0</v>
      </c>
      <c r="U405" s="39">
        <v>0</v>
      </c>
      <c r="V405" s="39">
        <v>0</v>
      </c>
      <c r="W405" s="39">
        <v>500000</v>
      </c>
      <c r="X405" s="39"/>
      <c r="Y405" s="39"/>
      <c r="Z405" s="39"/>
      <c r="AA405" s="39"/>
      <c r="AB405" s="39"/>
      <c r="AC405" s="39"/>
      <c r="AD405" s="39"/>
      <c r="AE405" s="39"/>
      <c r="AF405" s="39"/>
      <c r="AG405" s="39">
        <v>0</v>
      </c>
      <c r="AH405" s="39">
        <v>0</v>
      </c>
      <c r="AI405" s="39">
        <v>0</v>
      </c>
      <c r="AJ405" s="39">
        <v>0</v>
      </c>
      <c r="AK405" s="39">
        <v>0</v>
      </c>
      <c r="AL405" s="39">
        <v>0</v>
      </c>
      <c r="AM405" s="39">
        <v>0</v>
      </c>
      <c r="AN405" s="39"/>
      <c r="AO405" s="39"/>
      <c r="AP405" s="39"/>
      <c r="AQ405" s="39"/>
      <c r="AR405" s="39"/>
      <c r="AS405" s="30" t="s">
        <v>1217</v>
      </c>
      <c r="AT405" s="30" t="s">
        <v>80</v>
      </c>
      <c r="AU405" s="30" t="s">
        <v>573</v>
      </c>
      <c r="AV405" s="30" t="s">
        <v>82</v>
      </c>
      <c r="AW405" s="30" t="s">
        <v>936</v>
      </c>
      <c r="AX405" s="30" t="s">
        <v>643</v>
      </c>
      <c r="AY405" s="30" t="s">
        <v>643</v>
      </c>
      <c r="AZ405" s="30"/>
      <c r="BA405" s="30"/>
      <c r="BB405" s="30"/>
      <c r="BC405" s="58"/>
      <c r="BD405" s="30"/>
      <c r="BE405" s="30"/>
      <c r="BF405" s="30"/>
      <c r="BG405" s="30"/>
      <c r="BH405" s="30"/>
      <c r="BI405" s="30"/>
      <c r="BJ405" s="29"/>
      <c r="BK405" s="29"/>
      <c r="BL405" s="63">
        <f t="shared" si="78"/>
        <v>0</v>
      </c>
      <c r="BM405" s="63">
        <f t="shared" si="79"/>
        <v>0</v>
      </c>
      <c r="BN405" s="63">
        <f t="shared" si="80"/>
        <v>0</v>
      </c>
      <c r="BO405" s="63">
        <f t="shared" si="81"/>
        <v>0</v>
      </c>
      <c r="BP405" s="63">
        <f t="shared" si="82"/>
        <v>0</v>
      </c>
      <c r="BQ405" s="63">
        <f t="shared" si="83"/>
        <v>0</v>
      </c>
      <c r="BR405" s="63">
        <f t="shared" si="84"/>
        <v>0</v>
      </c>
      <c r="BS405" s="63">
        <f t="shared" si="85"/>
        <v>0</v>
      </c>
    </row>
    <row r="406" spans="1:71">
      <c r="A406" s="28">
        <f t="shared" si="86"/>
        <v>405</v>
      </c>
      <c r="B406" s="29" t="s">
        <v>1231</v>
      </c>
      <c r="C406" s="30" t="s">
        <v>72</v>
      </c>
      <c r="D406" s="30" t="s">
        <v>1226</v>
      </c>
      <c r="E406" s="30" t="s">
        <v>1217</v>
      </c>
      <c r="F406" s="30"/>
      <c r="G406" s="30" t="s">
        <v>480</v>
      </c>
      <c r="H406" s="35" t="s">
        <v>481</v>
      </c>
      <c r="I406" s="30"/>
      <c r="J406" s="30"/>
      <c r="K406" s="30" t="s">
        <v>643</v>
      </c>
      <c r="L406" s="39"/>
      <c r="M406" s="30" t="s">
        <v>79</v>
      </c>
      <c r="N406" s="31"/>
      <c r="O406" s="29" t="s">
        <v>1232</v>
      </c>
      <c r="P406" s="43"/>
      <c r="Q406" s="42">
        <v>0.125</v>
      </c>
      <c r="R406" s="47">
        <f t="shared" si="87"/>
        <v>1987500</v>
      </c>
      <c r="S406" s="91"/>
      <c r="T406" s="48">
        <f t="shared" si="88"/>
        <v>15900000</v>
      </c>
      <c r="U406" s="39">
        <v>2000000</v>
      </c>
      <c r="V406" s="39">
        <v>800000</v>
      </c>
      <c r="W406" s="39">
        <v>1200000</v>
      </c>
      <c r="X406" s="39">
        <v>800000</v>
      </c>
      <c r="Y406" s="39">
        <v>3000000</v>
      </c>
      <c r="Z406" s="39">
        <v>2000000</v>
      </c>
      <c r="AA406" s="39">
        <v>2000000</v>
      </c>
      <c r="AB406" s="39">
        <v>2000000</v>
      </c>
      <c r="AC406" s="39">
        <v>3000000</v>
      </c>
      <c r="AD406" s="39">
        <v>1900000</v>
      </c>
      <c r="AE406" s="39">
        <v>2000000</v>
      </c>
      <c r="AF406" s="39">
        <v>3000000</v>
      </c>
      <c r="AG406" s="39">
        <v>0</v>
      </c>
      <c r="AH406" s="39"/>
      <c r="AI406" s="39"/>
      <c r="AJ406" s="39"/>
      <c r="AK406" s="39"/>
      <c r="AL406" s="39"/>
      <c r="AM406" s="39">
        <v>0</v>
      </c>
      <c r="AN406" s="39"/>
      <c r="AO406" s="39"/>
      <c r="AP406" s="39"/>
      <c r="AQ406" s="39"/>
      <c r="AR406" s="39"/>
      <c r="AS406" s="30" t="s">
        <v>1217</v>
      </c>
      <c r="AT406" s="30" t="s">
        <v>80</v>
      </c>
      <c r="AU406" s="30" t="s">
        <v>573</v>
      </c>
      <c r="AV406" s="30" t="s">
        <v>82</v>
      </c>
      <c r="AW406" s="30" t="s">
        <v>936</v>
      </c>
      <c r="AX406" s="30" t="s">
        <v>643</v>
      </c>
      <c r="AY406" s="30" t="s">
        <v>643</v>
      </c>
      <c r="AZ406" s="30"/>
      <c r="BA406" s="30"/>
      <c r="BB406" s="30"/>
      <c r="BC406" s="58"/>
      <c r="BD406" s="30"/>
      <c r="BE406" s="30"/>
      <c r="BF406" s="30"/>
      <c r="BG406" s="30"/>
      <c r="BH406" s="30"/>
      <c r="BI406" s="30"/>
      <c r="BJ406" s="29"/>
      <c r="BK406" s="29"/>
      <c r="BL406" s="63">
        <f t="shared" si="78"/>
        <v>375000</v>
      </c>
      <c r="BM406" s="63">
        <f t="shared" si="79"/>
        <v>250000</v>
      </c>
      <c r="BN406" s="63">
        <f t="shared" si="80"/>
        <v>250000</v>
      </c>
      <c r="BO406" s="63">
        <f t="shared" si="81"/>
        <v>250000</v>
      </c>
      <c r="BP406" s="63">
        <f t="shared" si="82"/>
        <v>375000</v>
      </c>
      <c r="BQ406" s="63">
        <f t="shared" si="83"/>
        <v>237500</v>
      </c>
      <c r="BR406" s="63">
        <f t="shared" si="84"/>
        <v>250000</v>
      </c>
      <c r="BS406" s="63">
        <f t="shared" si="85"/>
        <v>375000</v>
      </c>
    </row>
    <row r="407" spans="1:71">
      <c r="A407" s="28">
        <f t="shared" si="86"/>
        <v>406</v>
      </c>
      <c r="B407" s="29" t="s">
        <v>1233</v>
      </c>
      <c r="C407" s="30" t="s">
        <v>72</v>
      </c>
      <c r="D407" s="30" t="s">
        <v>1226</v>
      </c>
      <c r="E407" s="30" t="s">
        <v>1217</v>
      </c>
      <c r="F407" s="30"/>
      <c r="G407" s="30" t="s">
        <v>477</v>
      </c>
      <c r="H407" s="35" t="s">
        <v>478</v>
      </c>
      <c r="I407" s="30"/>
      <c r="J407" s="30"/>
      <c r="K407" s="30" t="s">
        <v>643</v>
      </c>
      <c r="L407" s="39"/>
      <c r="M407" s="30" t="s">
        <v>79</v>
      </c>
      <c r="N407" s="31"/>
      <c r="O407" s="29" t="s">
        <v>1234</v>
      </c>
      <c r="P407" s="43"/>
      <c r="Q407" s="42">
        <v>0.14</v>
      </c>
      <c r="R407" s="47">
        <f t="shared" si="87"/>
        <v>1260000</v>
      </c>
      <c r="S407" s="91"/>
      <c r="T407" s="48">
        <f t="shared" si="88"/>
        <v>9000000</v>
      </c>
      <c r="U407" s="39">
        <v>1000000</v>
      </c>
      <c r="V407" s="39">
        <v>800000</v>
      </c>
      <c r="W407" s="39">
        <v>1200000</v>
      </c>
      <c r="X407" s="39">
        <v>800000</v>
      </c>
      <c r="Y407" s="39">
        <v>1000000</v>
      </c>
      <c r="Z407" s="39">
        <v>1000000</v>
      </c>
      <c r="AA407" s="39">
        <v>600000</v>
      </c>
      <c r="AB407" s="39">
        <v>1000000</v>
      </c>
      <c r="AC407" s="39">
        <v>1200000</v>
      </c>
      <c r="AD407" s="39">
        <v>2000000</v>
      </c>
      <c r="AE407" s="39">
        <v>1200000</v>
      </c>
      <c r="AF407" s="39">
        <v>2000000</v>
      </c>
      <c r="AG407" s="39">
        <v>0</v>
      </c>
      <c r="AH407" s="39">
        <v>0</v>
      </c>
      <c r="AI407" s="39">
        <v>0</v>
      </c>
      <c r="AJ407" s="39"/>
      <c r="AK407" s="39"/>
      <c r="AL407" s="39"/>
      <c r="AM407" s="39">
        <v>0</v>
      </c>
      <c r="AN407" s="39"/>
      <c r="AO407" s="39"/>
      <c r="AP407" s="39"/>
      <c r="AQ407" s="39"/>
      <c r="AR407" s="39"/>
      <c r="AS407" s="30" t="s">
        <v>1217</v>
      </c>
      <c r="AT407" s="30" t="s">
        <v>80</v>
      </c>
      <c r="AU407" s="30" t="s">
        <v>573</v>
      </c>
      <c r="AV407" s="30" t="s">
        <v>82</v>
      </c>
      <c r="AW407" s="30" t="s">
        <v>936</v>
      </c>
      <c r="AX407" s="30" t="s">
        <v>643</v>
      </c>
      <c r="AY407" s="30" t="s">
        <v>643</v>
      </c>
      <c r="AZ407" s="30"/>
      <c r="BA407" s="30"/>
      <c r="BB407" s="30"/>
      <c r="BC407" s="58"/>
      <c r="BD407" s="30"/>
      <c r="BE407" s="30"/>
      <c r="BF407" s="30"/>
      <c r="BG407" s="30"/>
      <c r="BH407" s="30"/>
      <c r="BI407" s="30"/>
      <c r="BJ407" s="29"/>
      <c r="BK407" s="29"/>
      <c r="BL407" s="63">
        <f t="shared" si="78"/>
        <v>140000</v>
      </c>
      <c r="BM407" s="63">
        <f t="shared" si="79"/>
        <v>140000</v>
      </c>
      <c r="BN407" s="63">
        <f t="shared" si="80"/>
        <v>84000</v>
      </c>
      <c r="BO407" s="63">
        <f t="shared" si="81"/>
        <v>140000</v>
      </c>
      <c r="BP407" s="63">
        <f t="shared" si="82"/>
        <v>168000</v>
      </c>
      <c r="BQ407" s="63">
        <f t="shared" si="83"/>
        <v>280000</v>
      </c>
      <c r="BR407" s="63">
        <f t="shared" si="84"/>
        <v>168000</v>
      </c>
      <c r="BS407" s="63">
        <f t="shared" si="85"/>
        <v>280000</v>
      </c>
    </row>
    <row r="408" spans="1:71">
      <c r="A408" s="28">
        <f t="shared" si="86"/>
        <v>407</v>
      </c>
      <c r="B408" s="29" t="s">
        <v>1235</v>
      </c>
      <c r="C408" s="30" t="s">
        <v>72</v>
      </c>
      <c r="D408" s="30" t="s">
        <v>1226</v>
      </c>
      <c r="E408" s="30" t="s">
        <v>1217</v>
      </c>
      <c r="F408" s="30"/>
      <c r="G408" s="30" t="s">
        <v>393</v>
      </c>
      <c r="H408" s="35" t="s">
        <v>394</v>
      </c>
      <c r="I408" s="30"/>
      <c r="J408" s="30"/>
      <c r="K408" s="30" t="s">
        <v>1236</v>
      </c>
      <c r="L408" s="39">
        <v>100000</v>
      </c>
      <c r="M408" s="30" t="s">
        <v>79</v>
      </c>
      <c r="N408" s="31"/>
      <c r="O408" s="29" t="s">
        <v>1152</v>
      </c>
      <c r="P408" s="43"/>
      <c r="Q408" s="42">
        <v>2.55</v>
      </c>
      <c r="R408" s="47">
        <f t="shared" si="87"/>
        <v>178500</v>
      </c>
      <c r="S408" s="91"/>
      <c r="T408" s="48">
        <f t="shared" si="88"/>
        <v>70000</v>
      </c>
      <c r="U408" s="39">
        <v>10000</v>
      </c>
      <c r="V408" s="39">
        <v>0</v>
      </c>
      <c r="W408" s="39">
        <v>10000</v>
      </c>
      <c r="X408" s="39">
        <v>5000</v>
      </c>
      <c r="Y408" s="39">
        <v>5000</v>
      </c>
      <c r="Z408" s="39">
        <v>10000</v>
      </c>
      <c r="AA408" s="39">
        <v>10000</v>
      </c>
      <c r="AB408" s="39">
        <v>10000</v>
      </c>
      <c r="AC408" s="39">
        <v>10000</v>
      </c>
      <c r="AD408" s="39">
        <v>10000</v>
      </c>
      <c r="AE408" s="39">
        <v>10000</v>
      </c>
      <c r="AF408" s="39">
        <v>10000</v>
      </c>
      <c r="AG408" s="39">
        <v>0</v>
      </c>
      <c r="AH408" s="39">
        <v>0</v>
      </c>
      <c r="AI408" s="39">
        <v>0</v>
      </c>
      <c r="AJ408" s="39">
        <v>0</v>
      </c>
      <c r="AK408" s="39">
        <v>0</v>
      </c>
      <c r="AL408" s="39">
        <v>0</v>
      </c>
      <c r="AM408" s="39">
        <v>0</v>
      </c>
      <c r="AN408" s="39"/>
      <c r="AO408" s="39"/>
      <c r="AP408" s="39"/>
      <c r="AQ408" s="39"/>
      <c r="AR408" s="39"/>
      <c r="AS408" s="30" t="s">
        <v>1217</v>
      </c>
      <c r="AT408" s="30" t="s">
        <v>80</v>
      </c>
      <c r="AU408" s="30" t="s">
        <v>545</v>
      </c>
      <c r="AV408" s="30" t="s">
        <v>135</v>
      </c>
      <c r="AW408" s="30" t="s">
        <v>1237</v>
      </c>
      <c r="AX408" s="30" t="s">
        <v>1238</v>
      </c>
      <c r="AY408" s="30" t="s">
        <v>127</v>
      </c>
      <c r="AZ408" s="30"/>
      <c r="BA408" s="30"/>
      <c r="BB408" s="30"/>
      <c r="BC408" s="58"/>
      <c r="BD408" s="30"/>
      <c r="BE408" s="30"/>
      <c r="BF408" s="30"/>
      <c r="BG408" s="30"/>
      <c r="BH408" s="30"/>
      <c r="BI408" s="30"/>
      <c r="BJ408" s="29"/>
      <c r="BK408" s="29"/>
      <c r="BL408" s="63">
        <f t="shared" si="78"/>
        <v>12750</v>
      </c>
      <c r="BM408" s="63">
        <f t="shared" si="79"/>
        <v>25500</v>
      </c>
      <c r="BN408" s="63">
        <f t="shared" si="80"/>
        <v>25500</v>
      </c>
      <c r="BO408" s="63">
        <f t="shared" si="81"/>
        <v>25500</v>
      </c>
      <c r="BP408" s="63">
        <f t="shared" si="82"/>
        <v>25500</v>
      </c>
      <c r="BQ408" s="63">
        <f t="shared" si="83"/>
        <v>25500</v>
      </c>
      <c r="BR408" s="63">
        <f t="shared" si="84"/>
        <v>25500</v>
      </c>
      <c r="BS408" s="63">
        <f t="shared" si="85"/>
        <v>25500</v>
      </c>
    </row>
    <row r="409" spans="1:71">
      <c r="A409" s="28">
        <f t="shared" si="86"/>
        <v>408</v>
      </c>
      <c r="B409" s="29" t="s">
        <v>1239</v>
      </c>
      <c r="C409" s="30" t="s">
        <v>72</v>
      </c>
      <c r="D409" s="30" t="s">
        <v>1226</v>
      </c>
      <c r="E409" s="30" t="s">
        <v>1217</v>
      </c>
      <c r="F409" s="30"/>
      <c r="G409" s="30" t="s">
        <v>330</v>
      </c>
      <c r="H409" s="35" t="s">
        <v>331</v>
      </c>
      <c r="I409" s="30"/>
      <c r="J409" s="30"/>
      <c r="K409" s="30" t="s">
        <v>1240</v>
      </c>
      <c r="L409" s="39"/>
      <c r="M409" s="30" t="s">
        <v>79</v>
      </c>
      <c r="N409" s="31"/>
      <c r="O409" s="29" t="s">
        <v>620</v>
      </c>
      <c r="P409" s="43"/>
      <c r="Q409" s="42">
        <v>0.5</v>
      </c>
      <c r="R409" s="47">
        <f t="shared" si="87"/>
        <v>175000</v>
      </c>
      <c r="S409" s="91"/>
      <c r="T409" s="48">
        <f t="shared" si="88"/>
        <v>350000</v>
      </c>
      <c r="U409" s="39">
        <v>0</v>
      </c>
      <c r="V409" s="39">
        <v>50000</v>
      </c>
      <c r="W409" s="39">
        <v>50000</v>
      </c>
      <c r="X409" s="39">
        <v>50000</v>
      </c>
      <c r="Y409" s="39">
        <v>50000</v>
      </c>
      <c r="Z409" s="39">
        <v>50000</v>
      </c>
      <c r="AA409" s="39">
        <v>50000</v>
      </c>
      <c r="AB409" s="39">
        <v>50000</v>
      </c>
      <c r="AC409" s="39">
        <v>50000</v>
      </c>
      <c r="AD409" s="39">
        <v>50000</v>
      </c>
      <c r="AE409" s="39">
        <v>50000</v>
      </c>
      <c r="AF409" s="39">
        <v>50000</v>
      </c>
      <c r="AG409" s="39">
        <v>0</v>
      </c>
      <c r="AH409" s="39"/>
      <c r="AI409" s="39"/>
      <c r="AJ409" s="39">
        <v>0</v>
      </c>
      <c r="AK409" s="39">
        <v>0</v>
      </c>
      <c r="AL409" s="39"/>
      <c r="AM409" s="39">
        <v>0</v>
      </c>
      <c r="AN409" s="39"/>
      <c r="AO409" s="39"/>
      <c r="AP409" s="39"/>
      <c r="AQ409" s="39"/>
      <c r="AR409" s="39"/>
      <c r="AS409" s="30" t="s">
        <v>93</v>
      </c>
      <c r="AT409" s="30" t="s">
        <v>80</v>
      </c>
      <c r="AU409" s="30" t="s">
        <v>81</v>
      </c>
      <c r="AV409" s="30" t="s">
        <v>106</v>
      </c>
      <c r="AW409" s="30" t="s">
        <v>107</v>
      </c>
      <c r="AX409" s="30" t="s">
        <v>1223</v>
      </c>
      <c r="AY409" s="30" t="s">
        <v>646</v>
      </c>
      <c r="AZ409" s="30"/>
      <c r="BA409" s="30"/>
      <c r="BB409" s="30"/>
      <c r="BC409" s="58"/>
      <c r="BD409" s="30"/>
      <c r="BE409" s="30"/>
      <c r="BF409" s="30"/>
      <c r="BG409" s="30"/>
      <c r="BH409" s="30"/>
      <c r="BI409" s="30"/>
      <c r="BJ409" s="29"/>
      <c r="BK409" s="29"/>
      <c r="BL409" s="63">
        <f t="shared" si="78"/>
        <v>25000</v>
      </c>
      <c r="BM409" s="63">
        <f t="shared" si="79"/>
        <v>25000</v>
      </c>
      <c r="BN409" s="63">
        <f t="shared" si="80"/>
        <v>25000</v>
      </c>
      <c r="BO409" s="63">
        <f t="shared" si="81"/>
        <v>25000</v>
      </c>
      <c r="BP409" s="63">
        <f t="shared" si="82"/>
        <v>25000</v>
      </c>
      <c r="BQ409" s="63">
        <f t="shared" si="83"/>
        <v>25000</v>
      </c>
      <c r="BR409" s="63">
        <f t="shared" si="84"/>
        <v>25000</v>
      </c>
      <c r="BS409" s="63">
        <f t="shared" si="85"/>
        <v>25000</v>
      </c>
    </row>
    <row r="410" spans="1:71">
      <c r="A410" s="28">
        <f t="shared" si="86"/>
        <v>409</v>
      </c>
      <c r="B410" s="29" t="s">
        <v>1241</v>
      </c>
      <c r="C410" s="30" t="s">
        <v>72</v>
      </c>
      <c r="D410" s="30" t="s">
        <v>1226</v>
      </c>
      <c r="E410" s="30" t="s">
        <v>1217</v>
      </c>
      <c r="F410" s="30"/>
      <c r="G410" s="30" t="s">
        <v>197</v>
      </c>
      <c r="H410" s="35" t="s">
        <v>198</v>
      </c>
      <c r="I410" s="30"/>
      <c r="J410" s="30"/>
      <c r="K410" s="30" t="s">
        <v>1242</v>
      </c>
      <c r="L410" s="39"/>
      <c r="M410" s="30" t="s">
        <v>79</v>
      </c>
      <c r="N410" s="31"/>
      <c r="O410" s="29" t="s">
        <v>620</v>
      </c>
      <c r="P410" s="43"/>
      <c r="Q410" s="42">
        <v>0.13</v>
      </c>
      <c r="R410" s="47">
        <f t="shared" si="87"/>
        <v>15600</v>
      </c>
      <c r="S410" s="91"/>
      <c r="T410" s="48">
        <f t="shared" si="88"/>
        <v>120000</v>
      </c>
      <c r="U410" s="39">
        <v>50000</v>
      </c>
      <c r="V410" s="39">
        <v>30000</v>
      </c>
      <c r="W410" s="39">
        <v>30000</v>
      </c>
      <c r="X410" s="39">
        <v>0</v>
      </c>
      <c r="Y410" s="39">
        <v>30000</v>
      </c>
      <c r="Z410" s="39">
        <v>0</v>
      </c>
      <c r="AA410" s="39">
        <v>30000</v>
      </c>
      <c r="AB410" s="39">
        <v>0</v>
      </c>
      <c r="AC410" s="39">
        <v>30000</v>
      </c>
      <c r="AD410" s="39">
        <v>0</v>
      </c>
      <c r="AE410" s="39">
        <v>30000</v>
      </c>
      <c r="AF410" s="39">
        <v>30000</v>
      </c>
      <c r="AG410" s="39">
        <v>0</v>
      </c>
      <c r="AH410" s="39">
        <v>0</v>
      </c>
      <c r="AI410" s="39"/>
      <c r="AJ410" s="39">
        <v>0</v>
      </c>
      <c r="AK410" s="39"/>
      <c r="AL410" s="39">
        <v>0</v>
      </c>
      <c r="AM410" s="39">
        <v>0</v>
      </c>
      <c r="AN410" s="39"/>
      <c r="AO410" s="39"/>
      <c r="AP410" s="39"/>
      <c r="AQ410" s="39"/>
      <c r="AR410" s="39"/>
      <c r="AS410" s="30" t="s">
        <v>1217</v>
      </c>
      <c r="AT410" s="30" t="s">
        <v>80</v>
      </c>
      <c r="AU410" s="30" t="s">
        <v>81</v>
      </c>
      <c r="AV410" s="30" t="s">
        <v>106</v>
      </c>
      <c r="AW410" s="30" t="s">
        <v>107</v>
      </c>
      <c r="AX410" s="30" t="s">
        <v>1223</v>
      </c>
      <c r="AY410" s="30" t="s">
        <v>646</v>
      </c>
      <c r="AZ410" s="30"/>
      <c r="BA410" s="30"/>
      <c r="BB410" s="30"/>
      <c r="BC410" s="58"/>
      <c r="BD410" s="30"/>
      <c r="BE410" s="30"/>
      <c r="BF410" s="30"/>
      <c r="BG410" s="30"/>
      <c r="BH410" s="30"/>
      <c r="BI410" s="30"/>
      <c r="BJ410" s="29"/>
      <c r="BK410" s="29"/>
      <c r="BL410" s="63">
        <f t="shared" si="78"/>
        <v>3900</v>
      </c>
      <c r="BM410" s="63">
        <f t="shared" si="79"/>
        <v>0</v>
      </c>
      <c r="BN410" s="63">
        <f t="shared" si="80"/>
        <v>3900</v>
      </c>
      <c r="BO410" s="63">
        <f t="shared" si="81"/>
        <v>0</v>
      </c>
      <c r="BP410" s="63">
        <f t="shared" si="82"/>
        <v>3900</v>
      </c>
      <c r="BQ410" s="63">
        <f t="shared" si="83"/>
        <v>0</v>
      </c>
      <c r="BR410" s="63">
        <f t="shared" si="84"/>
        <v>3900</v>
      </c>
      <c r="BS410" s="63">
        <f t="shared" si="85"/>
        <v>3900</v>
      </c>
    </row>
    <row r="411" spans="1:71">
      <c r="A411" s="28">
        <f t="shared" si="86"/>
        <v>410</v>
      </c>
      <c r="B411" s="29" t="s">
        <v>1243</v>
      </c>
      <c r="C411" s="30" t="s">
        <v>72</v>
      </c>
      <c r="D411" s="30" t="s">
        <v>1226</v>
      </c>
      <c r="E411" s="30" t="s">
        <v>1217</v>
      </c>
      <c r="F411" s="30"/>
      <c r="G411" s="30" t="s">
        <v>165</v>
      </c>
      <c r="H411" s="35" t="s">
        <v>166</v>
      </c>
      <c r="I411" s="30"/>
      <c r="J411" s="30"/>
      <c r="K411" s="30" t="s">
        <v>1002</v>
      </c>
      <c r="L411" s="39"/>
      <c r="M411" s="30" t="s">
        <v>79</v>
      </c>
      <c r="N411" s="31"/>
      <c r="O411" s="29" t="s">
        <v>620</v>
      </c>
      <c r="P411" s="43"/>
      <c r="Q411" s="42">
        <v>0.2</v>
      </c>
      <c r="R411" s="47">
        <f t="shared" si="87"/>
        <v>18000</v>
      </c>
      <c r="S411" s="91"/>
      <c r="T411" s="48">
        <f t="shared" si="88"/>
        <v>90000</v>
      </c>
      <c r="U411" s="39">
        <v>18000</v>
      </c>
      <c r="V411" s="39">
        <v>12000</v>
      </c>
      <c r="W411" s="39">
        <v>0</v>
      </c>
      <c r="X411" s="39">
        <v>30000</v>
      </c>
      <c r="Y411" s="39">
        <v>0</v>
      </c>
      <c r="Z411" s="39">
        <v>0</v>
      </c>
      <c r="AA411" s="39">
        <v>30000</v>
      </c>
      <c r="AB411" s="39">
        <v>0</v>
      </c>
      <c r="AC411" s="39">
        <v>0</v>
      </c>
      <c r="AD411" s="39">
        <v>0</v>
      </c>
      <c r="AE411" s="39">
        <v>60000</v>
      </c>
      <c r="AF411" s="39">
        <v>0</v>
      </c>
      <c r="AG411" s="39"/>
      <c r="AH411" s="39">
        <v>0</v>
      </c>
      <c r="AI411" s="39">
        <v>0</v>
      </c>
      <c r="AJ411" s="39">
        <v>0</v>
      </c>
      <c r="AK411" s="39"/>
      <c r="AL411" s="39">
        <v>0</v>
      </c>
      <c r="AM411" s="39">
        <v>0</v>
      </c>
      <c r="AN411" s="39"/>
      <c r="AO411" s="39"/>
      <c r="AP411" s="39"/>
      <c r="AQ411" s="39"/>
      <c r="AR411" s="39"/>
      <c r="AS411" s="30" t="s">
        <v>1217</v>
      </c>
      <c r="AT411" s="30" t="s">
        <v>80</v>
      </c>
      <c r="AU411" s="30" t="s">
        <v>81</v>
      </c>
      <c r="AV411" s="30" t="s">
        <v>106</v>
      </c>
      <c r="AW411" s="30" t="s">
        <v>107</v>
      </c>
      <c r="AX411" s="30" t="s">
        <v>1223</v>
      </c>
      <c r="AY411" s="30" t="s">
        <v>646</v>
      </c>
      <c r="AZ411" s="30"/>
      <c r="BA411" s="30"/>
      <c r="BB411" s="30"/>
      <c r="BC411" s="58"/>
      <c r="BD411" s="30"/>
      <c r="BE411" s="30"/>
      <c r="BF411" s="30"/>
      <c r="BG411" s="30"/>
      <c r="BH411" s="30"/>
      <c r="BI411" s="30"/>
      <c r="BJ411" s="29"/>
      <c r="BK411" s="29"/>
      <c r="BL411" s="63">
        <f t="shared" si="78"/>
        <v>0</v>
      </c>
      <c r="BM411" s="63">
        <f t="shared" si="79"/>
        <v>0</v>
      </c>
      <c r="BN411" s="63">
        <f t="shared" si="80"/>
        <v>6000</v>
      </c>
      <c r="BO411" s="63">
        <f t="shared" si="81"/>
        <v>0</v>
      </c>
      <c r="BP411" s="63">
        <f t="shared" si="82"/>
        <v>0</v>
      </c>
      <c r="BQ411" s="63">
        <f t="shared" si="83"/>
        <v>0</v>
      </c>
      <c r="BR411" s="63">
        <f t="shared" si="84"/>
        <v>12000</v>
      </c>
      <c r="BS411" s="63">
        <f t="shared" si="85"/>
        <v>0</v>
      </c>
    </row>
    <row r="412" spans="1:71">
      <c r="A412" s="28">
        <f t="shared" si="86"/>
        <v>411</v>
      </c>
      <c r="B412" s="29" t="s">
        <v>1244</v>
      </c>
      <c r="C412" s="30" t="s">
        <v>72</v>
      </c>
      <c r="D412" s="30" t="s">
        <v>1226</v>
      </c>
      <c r="E412" s="30" t="s">
        <v>1217</v>
      </c>
      <c r="F412" s="30"/>
      <c r="G412" s="30" t="s">
        <v>516</v>
      </c>
      <c r="H412" s="35" t="s">
        <v>517</v>
      </c>
      <c r="I412" s="30" t="s">
        <v>95</v>
      </c>
      <c r="J412" s="30"/>
      <c r="K412" s="30" t="s">
        <v>1002</v>
      </c>
      <c r="L412" s="39"/>
      <c r="M412" s="30" t="s">
        <v>79</v>
      </c>
      <c r="N412" s="31"/>
      <c r="O412" s="29" t="s">
        <v>620</v>
      </c>
      <c r="P412" s="43"/>
      <c r="Q412" s="42">
        <v>0.2</v>
      </c>
      <c r="R412" s="47">
        <f t="shared" si="87"/>
        <v>148000</v>
      </c>
      <c r="S412" s="91"/>
      <c r="T412" s="48">
        <f t="shared" si="88"/>
        <v>740000</v>
      </c>
      <c r="U412" s="39">
        <v>0</v>
      </c>
      <c r="V412" s="39">
        <v>370000</v>
      </c>
      <c r="W412" s="39">
        <v>0</v>
      </c>
      <c r="X412" s="39">
        <v>0</v>
      </c>
      <c r="Y412" s="39">
        <v>370000</v>
      </c>
      <c r="Z412" s="39">
        <v>0</v>
      </c>
      <c r="AA412" s="39">
        <v>0</v>
      </c>
      <c r="AB412" s="39">
        <v>0</v>
      </c>
      <c r="AC412" s="39">
        <v>370000</v>
      </c>
      <c r="AD412" s="39">
        <v>0</v>
      </c>
      <c r="AE412" s="39">
        <v>0</v>
      </c>
      <c r="AF412" s="39">
        <v>370000</v>
      </c>
      <c r="AG412" s="39">
        <v>0</v>
      </c>
      <c r="AH412" s="39">
        <v>0</v>
      </c>
      <c r="AI412" s="39">
        <v>0</v>
      </c>
      <c r="AJ412" s="39">
        <v>0</v>
      </c>
      <c r="AK412" s="39">
        <v>0</v>
      </c>
      <c r="AL412" s="39">
        <v>0</v>
      </c>
      <c r="AM412" s="39">
        <v>0</v>
      </c>
      <c r="AN412" s="39"/>
      <c r="AO412" s="39"/>
      <c r="AP412" s="39"/>
      <c r="AQ412" s="39"/>
      <c r="AR412" s="39"/>
      <c r="AS412" s="30" t="s">
        <v>1217</v>
      </c>
      <c r="AT412" s="30" t="s">
        <v>80</v>
      </c>
      <c r="AU412" s="30" t="s">
        <v>81</v>
      </c>
      <c r="AV412" s="30" t="s">
        <v>106</v>
      </c>
      <c r="AW412" s="30" t="s">
        <v>107</v>
      </c>
      <c r="AX412" s="30" t="s">
        <v>1223</v>
      </c>
      <c r="AY412" s="30" t="s">
        <v>646</v>
      </c>
      <c r="AZ412" s="30"/>
      <c r="BA412" s="30"/>
      <c r="BB412" s="30"/>
      <c r="BC412" s="58"/>
      <c r="BD412" s="30"/>
      <c r="BE412" s="30"/>
      <c r="BF412" s="30"/>
      <c r="BG412" s="30"/>
      <c r="BH412" s="30"/>
      <c r="BI412" s="30"/>
      <c r="BJ412" s="29"/>
      <c r="BK412" s="29"/>
      <c r="BL412" s="63">
        <f t="shared" si="78"/>
        <v>74000</v>
      </c>
      <c r="BM412" s="63">
        <f t="shared" si="79"/>
        <v>0</v>
      </c>
      <c r="BN412" s="63">
        <f t="shared" si="80"/>
        <v>0</v>
      </c>
      <c r="BO412" s="63">
        <f t="shared" si="81"/>
        <v>0</v>
      </c>
      <c r="BP412" s="63">
        <f t="shared" si="82"/>
        <v>74000</v>
      </c>
      <c r="BQ412" s="63">
        <f t="shared" si="83"/>
        <v>0</v>
      </c>
      <c r="BR412" s="63">
        <f t="shared" si="84"/>
        <v>0</v>
      </c>
      <c r="BS412" s="63">
        <f t="shared" si="85"/>
        <v>74000</v>
      </c>
    </row>
    <row r="413" spans="1:71">
      <c r="A413" s="28">
        <f t="shared" si="86"/>
        <v>412</v>
      </c>
      <c r="B413" s="29" t="s">
        <v>1245</v>
      </c>
      <c r="C413" s="30" t="s">
        <v>72</v>
      </c>
      <c r="D413" s="30" t="s">
        <v>1246</v>
      </c>
      <c r="E413" s="30" t="s">
        <v>1217</v>
      </c>
      <c r="F413" s="30"/>
      <c r="G413" s="30" t="s">
        <v>483</v>
      </c>
      <c r="H413" s="35" t="s">
        <v>485</v>
      </c>
      <c r="I413" s="30"/>
      <c r="J413" s="30"/>
      <c r="K413" s="30" t="s">
        <v>643</v>
      </c>
      <c r="L413" s="39"/>
      <c r="M413" s="30" t="s">
        <v>79</v>
      </c>
      <c r="N413" s="31"/>
      <c r="O413" s="29"/>
      <c r="P413" s="43"/>
      <c r="Q413" s="42">
        <v>0.18</v>
      </c>
      <c r="R413" s="47">
        <f t="shared" si="87"/>
        <v>0</v>
      </c>
      <c r="S413" s="91"/>
      <c r="T413" s="48">
        <f t="shared" si="88"/>
        <v>0</v>
      </c>
      <c r="U413" s="39">
        <v>70000</v>
      </c>
      <c r="V413" s="39">
        <v>0</v>
      </c>
      <c r="W413" s="39">
        <v>0</v>
      </c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>
        <v>0</v>
      </c>
      <c r="AI413" s="39">
        <v>0</v>
      </c>
      <c r="AJ413" s="39">
        <v>0</v>
      </c>
      <c r="AK413" s="39"/>
      <c r="AL413" s="39"/>
      <c r="AM413" s="39">
        <v>0</v>
      </c>
      <c r="AN413" s="39"/>
      <c r="AO413" s="39"/>
      <c r="AP413" s="39"/>
      <c r="AQ413" s="39"/>
      <c r="AR413" s="39"/>
      <c r="AS413" s="30" t="s">
        <v>572</v>
      </c>
      <c r="AT413" s="30" t="s">
        <v>80</v>
      </c>
      <c r="AU413" s="30" t="s">
        <v>573</v>
      </c>
      <c r="AV413" s="30" t="s">
        <v>82</v>
      </c>
      <c r="AW413" s="30" t="s">
        <v>936</v>
      </c>
      <c r="AX413" s="30" t="s">
        <v>643</v>
      </c>
      <c r="AY413" s="30" t="s">
        <v>643</v>
      </c>
      <c r="AZ413" s="30"/>
      <c r="BA413" s="30"/>
      <c r="BB413" s="30"/>
      <c r="BC413" s="58"/>
      <c r="BD413" s="30"/>
      <c r="BE413" s="30"/>
      <c r="BF413" s="30"/>
      <c r="BG413" s="30"/>
      <c r="BH413" s="30"/>
      <c r="BI413" s="30"/>
      <c r="BJ413" s="29"/>
      <c r="BK413" s="29"/>
      <c r="BL413" s="63">
        <f t="shared" si="78"/>
        <v>0</v>
      </c>
      <c r="BM413" s="63">
        <f t="shared" si="79"/>
        <v>0</v>
      </c>
      <c r="BN413" s="63">
        <f t="shared" si="80"/>
        <v>0</v>
      </c>
      <c r="BO413" s="63">
        <f t="shared" si="81"/>
        <v>0</v>
      </c>
      <c r="BP413" s="63">
        <f t="shared" si="82"/>
        <v>0</v>
      </c>
      <c r="BQ413" s="63">
        <f t="shared" si="83"/>
        <v>0</v>
      </c>
      <c r="BR413" s="63">
        <f t="shared" si="84"/>
        <v>0</v>
      </c>
      <c r="BS413" s="63">
        <f t="shared" si="85"/>
        <v>0</v>
      </c>
    </row>
    <row r="414" spans="1:71">
      <c r="A414" s="28">
        <f t="shared" si="86"/>
        <v>413</v>
      </c>
      <c r="B414" s="29" t="s">
        <v>1247</v>
      </c>
      <c r="C414" s="30" t="s">
        <v>72</v>
      </c>
      <c r="D414" s="30" t="s">
        <v>1246</v>
      </c>
      <c r="E414" s="30" t="s">
        <v>1217</v>
      </c>
      <c r="F414" s="30"/>
      <c r="G414" s="30" t="s">
        <v>480</v>
      </c>
      <c r="H414" s="35" t="s">
        <v>482</v>
      </c>
      <c r="I414" s="30"/>
      <c r="J414" s="30"/>
      <c r="K414" s="30" t="s">
        <v>643</v>
      </c>
      <c r="L414" s="39"/>
      <c r="M414" s="30" t="s">
        <v>79</v>
      </c>
      <c r="N414" s="31"/>
      <c r="O414" s="29"/>
      <c r="P414" s="43"/>
      <c r="Q414" s="42">
        <v>0.13</v>
      </c>
      <c r="R414" s="47">
        <f t="shared" si="87"/>
        <v>624000</v>
      </c>
      <c r="S414" s="91"/>
      <c r="T414" s="48">
        <f t="shared" si="88"/>
        <v>4800000</v>
      </c>
      <c r="U414" s="39">
        <v>0</v>
      </c>
      <c r="V414" s="39">
        <v>400000</v>
      </c>
      <c r="W414" s="39">
        <v>800000</v>
      </c>
      <c r="X414" s="39">
        <v>400000</v>
      </c>
      <c r="Y414" s="39">
        <v>800000</v>
      </c>
      <c r="Z414" s="39">
        <v>800000</v>
      </c>
      <c r="AA414" s="39">
        <v>800000</v>
      </c>
      <c r="AB414" s="39">
        <v>800000</v>
      </c>
      <c r="AC414" s="39">
        <v>800000</v>
      </c>
      <c r="AD414" s="39">
        <v>400000</v>
      </c>
      <c r="AE414" s="39">
        <v>400000</v>
      </c>
      <c r="AF414" s="39">
        <v>800000</v>
      </c>
      <c r="AG414" s="39"/>
      <c r="AH414" s="39">
        <v>0</v>
      </c>
      <c r="AI414" s="39"/>
      <c r="AJ414" s="39"/>
      <c r="AK414" s="39">
        <v>0</v>
      </c>
      <c r="AL414" s="39"/>
      <c r="AM414" s="39">
        <v>0</v>
      </c>
      <c r="AN414" s="39"/>
      <c r="AO414" s="39"/>
      <c r="AP414" s="39"/>
      <c r="AQ414" s="39"/>
      <c r="AR414" s="39"/>
      <c r="AS414" s="30" t="s">
        <v>572</v>
      </c>
      <c r="AT414" s="30" t="s">
        <v>80</v>
      </c>
      <c r="AU414" s="30" t="s">
        <v>573</v>
      </c>
      <c r="AV414" s="30" t="s">
        <v>82</v>
      </c>
      <c r="AW414" s="30" t="s">
        <v>936</v>
      </c>
      <c r="AX414" s="30" t="s">
        <v>643</v>
      </c>
      <c r="AY414" s="30" t="s">
        <v>643</v>
      </c>
      <c r="AZ414" s="30"/>
      <c r="BA414" s="30"/>
      <c r="BB414" s="30"/>
      <c r="BC414" s="58"/>
      <c r="BD414" s="30"/>
      <c r="BE414" s="30"/>
      <c r="BF414" s="30"/>
      <c r="BG414" s="30"/>
      <c r="BH414" s="30"/>
      <c r="BI414" s="30"/>
      <c r="BJ414" s="29"/>
      <c r="BK414" s="29"/>
      <c r="BL414" s="63">
        <f t="shared" si="78"/>
        <v>104000</v>
      </c>
      <c r="BM414" s="63">
        <f t="shared" si="79"/>
        <v>104000</v>
      </c>
      <c r="BN414" s="63">
        <f t="shared" si="80"/>
        <v>104000</v>
      </c>
      <c r="BO414" s="63">
        <f t="shared" si="81"/>
        <v>104000</v>
      </c>
      <c r="BP414" s="63">
        <f t="shared" si="82"/>
        <v>104000</v>
      </c>
      <c r="BQ414" s="63">
        <f t="shared" si="83"/>
        <v>52000</v>
      </c>
      <c r="BR414" s="63">
        <f t="shared" si="84"/>
        <v>52000</v>
      </c>
      <c r="BS414" s="63">
        <f t="shared" si="85"/>
        <v>104000</v>
      </c>
    </row>
    <row r="415" spans="1:71">
      <c r="A415" s="28">
        <f t="shared" si="86"/>
        <v>414</v>
      </c>
      <c r="B415" s="29" t="s">
        <v>1248</v>
      </c>
      <c r="C415" s="30" t="s">
        <v>72</v>
      </c>
      <c r="D415" s="30" t="s">
        <v>1246</v>
      </c>
      <c r="E415" s="30" t="s">
        <v>1217</v>
      </c>
      <c r="F415" s="30"/>
      <c r="G415" s="30" t="s">
        <v>477</v>
      </c>
      <c r="H415" s="35" t="s">
        <v>479</v>
      </c>
      <c r="I415" s="30"/>
      <c r="J415" s="30"/>
      <c r="K415" s="30" t="s">
        <v>643</v>
      </c>
      <c r="L415" s="39"/>
      <c r="M415" s="30" t="s">
        <v>79</v>
      </c>
      <c r="N415" s="31"/>
      <c r="O415" s="29"/>
      <c r="P415" s="43"/>
      <c r="Q415" s="42">
        <v>0.14</v>
      </c>
      <c r="R415" s="47">
        <f t="shared" si="87"/>
        <v>392000</v>
      </c>
      <c r="S415" s="91"/>
      <c r="T415" s="48">
        <f t="shared" si="88"/>
        <v>2800000</v>
      </c>
      <c r="U415" s="39">
        <v>0</v>
      </c>
      <c r="V415" s="39">
        <v>0</v>
      </c>
      <c r="W415" s="39">
        <v>0</v>
      </c>
      <c r="X415" s="39">
        <v>0</v>
      </c>
      <c r="Y415" s="39">
        <v>300000</v>
      </c>
      <c r="Z415" s="39">
        <v>600000</v>
      </c>
      <c r="AA415" s="39">
        <v>400000</v>
      </c>
      <c r="AB415" s="39">
        <v>400000</v>
      </c>
      <c r="AC415" s="39">
        <v>600000</v>
      </c>
      <c r="AD415" s="39">
        <v>200000</v>
      </c>
      <c r="AE415" s="39">
        <v>200000</v>
      </c>
      <c r="AF415" s="39">
        <v>400000</v>
      </c>
      <c r="AG415" s="39"/>
      <c r="AH415" s="39">
        <v>0</v>
      </c>
      <c r="AI415" s="39">
        <v>0</v>
      </c>
      <c r="AJ415" s="39">
        <v>0</v>
      </c>
      <c r="AK415" s="39">
        <v>0</v>
      </c>
      <c r="AL415" s="39"/>
      <c r="AM415" s="39">
        <v>0</v>
      </c>
      <c r="AN415" s="39"/>
      <c r="AO415" s="39"/>
      <c r="AP415" s="39"/>
      <c r="AQ415" s="39"/>
      <c r="AR415" s="39"/>
      <c r="AS415" s="30" t="s">
        <v>572</v>
      </c>
      <c r="AT415" s="30" t="s">
        <v>80</v>
      </c>
      <c r="AU415" s="30" t="s">
        <v>573</v>
      </c>
      <c r="AV415" s="30" t="s">
        <v>82</v>
      </c>
      <c r="AW415" s="30" t="s">
        <v>936</v>
      </c>
      <c r="AX415" s="30" t="s">
        <v>643</v>
      </c>
      <c r="AY415" s="30" t="s">
        <v>643</v>
      </c>
      <c r="AZ415" s="30"/>
      <c r="BA415" s="30"/>
      <c r="BB415" s="30"/>
      <c r="BC415" s="58"/>
      <c r="BD415" s="30"/>
      <c r="BE415" s="30"/>
      <c r="BF415" s="30"/>
      <c r="BG415" s="30"/>
      <c r="BH415" s="30"/>
      <c r="BI415" s="30"/>
      <c r="BJ415" s="29"/>
      <c r="BK415" s="29"/>
      <c r="BL415" s="63">
        <f t="shared" si="78"/>
        <v>42000</v>
      </c>
      <c r="BM415" s="63">
        <f t="shared" si="79"/>
        <v>84000</v>
      </c>
      <c r="BN415" s="63">
        <f t="shared" si="80"/>
        <v>56000</v>
      </c>
      <c r="BO415" s="63">
        <f t="shared" si="81"/>
        <v>56000</v>
      </c>
      <c r="BP415" s="63">
        <f t="shared" si="82"/>
        <v>84000</v>
      </c>
      <c r="BQ415" s="63">
        <f t="shared" si="83"/>
        <v>28000</v>
      </c>
      <c r="BR415" s="63">
        <f t="shared" si="84"/>
        <v>28000</v>
      </c>
      <c r="BS415" s="63">
        <f t="shared" si="85"/>
        <v>56000</v>
      </c>
    </row>
    <row r="416" spans="1:71">
      <c r="A416" s="28">
        <f t="shared" si="86"/>
        <v>415</v>
      </c>
      <c r="B416" s="29" t="s">
        <v>1249</v>
      </c>
      <c r="C416" s="30" t="s">
        <v>72</v>
      </c>
      <c r="D416" s="30" t="s">
        <v>1226</v>
      </c>
      <c r="E416" s="30" t="s">
        <v>1217</v>
      </c>
      <c r="F416" s="30"/>
      <c r="G416" s="30" t="s">
        <v>486</v>
      </c>
      <c r="H416" s="35" t="s">
        <v>487</v>
      </c>
      <c r="I416" s="30"/>
      <c r="J416" s="30"/>
      <c r="K416" s="30" t="s">
        <v>1250</v>
      </c>
      <c r="L416" s="39">
        <v>200000</v>
      </c>
      <c r="M416" s="30" t="s">
        <v>114</v>
      </c>
      <c r="N416" s="31"/>
      <c r="O416" s="29" t="s">
        <v>1251</v>
      </c>
      <c r="P416" s="43"/>
      <c r="Q416" s="42">
        <v>0.35</v>
      </c>
      <c r="R416" s="47">
        <f t="shared" si="87"/>
        <v>238000</v>
      </c>
      <c r="S416" s="91"/>
      <c r="T416" s="48">
        <f t="shared" si="88"/>
        <v>680000</v>
      </c>
      <c r="U416" s="39">
        <v>0</v>
      </c>
      <c r="V416" s="39">
        <v>0</v>
      </c>
      <c r="W416" s="39">
        <v>50000</v>
      </c>
      <c r="X416" s="39">
        <v>50000</v>
      </c>
      <c r="Y416" s="39">
        <v>50000</v>
      </c>
      <c r="Z416" s="39">
        <v>100000</v>
      </c>
      <c r="AA416" s="39">
        <v>50000</v>
      </c>
      <c r="AB416" s="39">
        <v>50000</v>
      </c>
      <c r="AC416" s="39">
        <v>80000</v>
      </c>
      <c r="AD416" s="39">
        <v>100000</v>
      </c>
      <c r="AE416" s="39">
        <v>100000</v>
      </c>
      <c r="AF416" s="39">
        <v>200000</v>
      </c>
      <c r="AG416" s="39">
        <v>0</v>
      </c>
      <c r="AH416" s="39">
        <v>0</v>
      </c>
      <c r="AI416" s="39">
        <v>0</v>
      </c>
      <c r="AJ416" s="39">
        <v>0</v>
      </c>
      <c r="AK416" s="39">
        <v>0</v>
      </c>
      <c r="AL416" s="39">
        <v>0</v>
      </c>
      <c r="AM416" s="39">
        <v>0</v>
      </c>
      <c r="AN416" s="39"/>
      <c r="AO416" s="39"/>
      <c r="AP416" s="39"/>
      <c r="AQ416" s="39"/>
      <c r="AR416" s="39"/>
      <c r="AS416" s="30" t="s">
        <v>1217</v>
      </c>
      <c r="AT416" s="30" t="s">
        <v>80</v>
      </c>
      <c r="AU416" s="30" t="s">
        <v>532</v>
      </c>
      <c r="AV416" s="30" t="s">
        <v>106</v>
      </c>
      <c r="AW416" s="30" t="s">
        <v>638</v>
      </c>
      <c r="AX416" s="30" t="s">
        <v>649</v>
      </c>
      <c r="AY416" s="30" t="s">
        <v>655</v>
      </c>
      <c r="AZ416" s="30"/>
      <c r="BA416" s="30"/>
      <c r="BB416" s="30"/>
      <c r="BC416" s="58"/>
      <c r="BD416" s="30"/>
      <c r="BE416" s="30"/>
      <c r="BF416" s="30"/>
      <c r="BG416" s="30"/>
      <c r="BH416" s="30"/>
      <c r="BI416" s="30"/>
      <c r="BJ416" s="29"/>
      <c r="BK416" s="29"/>
      <c r="BL416" s="63">
        <f t="shared" si="78"/>
        <v>17500</v>
      </c>
      <c r="BM416" s="63">
        <f t="shared" si="79"/>
        <v>35000</v>
      </c>
      <c r="BN416" s="63">
        <f t="shared" si="80"/>
        <v>17500</v>
      </c>
      <c r="BO416" s="63">
        <f t="shared" si="81"/>
        <v>17500</v>
      </c>
      <c r="BP416" s="63">
        <f t="shared" si="82"/>
        <v>28000</v>
      </c>
      <c r="BQ416" s="63">
        <f t="shared" si="83"/>
        <v>35000</v>
      </c>
      <c r="BR416" s="63">
        <f t="shared" si="84"/>
        <v>35000</v>
      </c>
      <c r="BS416" s="63">
        <f t="shared" si="85"/>
        <v>70000</v>
      </c>
    </row>
    <row r="417" spans="1:71">
      <c r="A417" s="28">
        <f t="shared" si="86"/>
        <v>416</v>
      </c>
      <c r="B417" s="29" t="s">
        <v>1249</v>
      </c>
      <c r="C417" s="30" t="s">
        <v>72</v>
      </c>
      <c r="D417" s="30" t="s">
        <v>1226</v>
      </c>
      <c r="E417" s="30" t="s">
        <v>1217</v>
      </c>
      <c r="F417" s="30"/>
      <c r="G417" s="30" t="s">
        <v>488</v>
      </c>
      <c r="H417" s="35" t="s">
        <v>489</v>
      </c>
      <c r="I417" s="30"/>
      <c r="J417" s="30"/>
      <c r="K417" s="30" t="s">
        <v>1250</v>
      </c>
      <c r="L417" s="39">
        <v>1000000</v>
      </c>
      <c r="M417" s="30" t="s">
        <v>114</v>
      </c>
      <c r="N417" s="31"/>
      <c r="O417" s="29" t="s">
        <v>1252</v>
      </c>
      <c r="P417" s="43"/>
      <c r="Q417" s="42">
        <v>0.17</v>
      </c>
      <c r="R417" s="47">
        <f t="shared" si="87"/>
        <v>134300</v>
      </c>
      <c r="S417" s="91"/>
      <c r="T417" s="48">
        <f t="shared" si="88"/>
        <v>790000</v>
      </c>
      <c r="U417" s="39">
        <v>0</v>
      </c>
      <c r="V417" s="39">
        <v>0</v>
      </c>
      <c r="W417" s="39">
        <v>50000</v>
      </c>
      <c r="X417" s="39">
        <v>100000</v>
      </c>
      <c r="Y417" s="39">
        <v>100000</v>
      </c>
      <c r="Z417" s="39">
        <v>50000</v>
      </c>
      <c r="AA417" s="39">
        <v>60000</v>
      </c>
      <c r="AB417" s="39">
        <v>80000</v>
      </c>
      <c r="AC417" s="39">
        <v>100000</v>
      </c>
      <c r="AD417" s="39">
        <v>200000</v>
      </c>
      <c r="AE417" s="39">
        <v>100000</v>
      </c>
      <c r="AF417" s="39">
        <v>200000</v>
      </c>
      <c r="AG417" s="39">
        <v>0</v>
      </c>
      <c r="AH417" s="39">
        <v>0</v>
      </c>
      <c r="AI417" s="39">
        <v>0</v>
      </c>
      <c r="AJ417" s="39">
        <v>0</v>
      </c>
      <c r="AK417" s="39">
        <v>0</v>
      </c>
      <c r="AL417" s="39">
        <v>0</v>
      </c>
      <c r="AM417" s="39">
        <v>0</v>
      </c>
      <c r="AN417" s="39"/>
      <c r="AO417" s="39"/>
      <c r="AP417" s="39"/>
      <c r="AQ417" s="39"/>
      <c r="AR417" s="39"/>
      <c r="AS417" s="30" t="s">
        <v>1217</v>
      </c>
      <c r="AT417" s="30" t="s">
        <v>80</v>
      </c>
      <c r="AU417" s="30" t="s">
        <v>532</v>
      </c>
      <c r="AV417" s="30" t="s">
        <v>106</v>
      </c>
      <c r="AW417" s="30" t="s">
        <v>638</v>
      </c>
      <c r="AX417" s="30" t="s">
        <v>649</v>
      </c>
      <c r="AY417" s="30" t="s">
        <v>655</v>
      </c>
      <c r="AZ417" s="30"/>
      <c r="BA417" s="30"/>
      <c r="BB417" s="30"/>
      <c r="BC417" s="58"/>
      <c r="BD417" s="30"/>
      <c r="BE417" s="30"/>
      <c r="BF417" s="30"/>
      <c r="BG417" s="30"/>
      <c r="BH417" s="30"/>
      <c r="BI417" s="30"/>
      <c r="BJ417" s="29"/>
      <c r="BK417" s="29"/>
      <c r="BL417" s="63">
        <f t="shared" si="78"/>
        <v>17000</v>
      </c>
      <c r="BM417" s="63">
        <f t="shared" si="79"/>
        <v>8500</v>
      </c>
      <c r="BN417" s="63">
        <f t="shared" si="80"/>
        <v>10200</v>
      </c>
      <c r="BO417" s="63">
        <f t="shared" si="81"/>
        <v>13600</v>
      </c>
      <c r="BP417" s="63">
        <f t="shared" si="82"/>
        <v>17000</v>
      </c>
      <c r="BQ417" s="63">
        <f t="shared" si="83"/>
        <v>34000</v>
      </c>
      <c r="BR417" s="63">
        <f t="shared" si="84"/>
        <v>17000</v>
      </c>
      <c r="BS417" s="63">
        <f t="shared" si="85"/>
        <v>34000</v>
      </c>
    </row>
    <row r="418" spans="1:71">
      <c r="A418" s="28">
        <f t="shared" si="86"/>
        <v>417</v>
      </c>
      <c r="B418" s="29" t="s">
        <v>1253</v>
      </c>
      <c r="C418" s="30" t="s">
        <v>72</v>
      </c>
      <c r="D418" s="30" t="s">
        <v>1226</v>
      </c>
      <c r="E418" s="30" t="s">
        <v>1217</v>
      </c>
      <c r="F418" s="30"/>
      <c r="G418" s="30" t="s">
        <v>488</v>
      </c>
      <c r="H418" s="35" t="s">
        <v>489</v>
      </c>
      <c r="I418" s="30"/>
      <c r="J418" s="30"/>
      <c r="K418" s="30" t="s">
        <v>1227</v>
      </c>
      <c r="L418" s="39">
        <v>3000000</v>
      </c>
      <c r="M418" s="30" t="s">
        <v>79</v>
      </c>
      <c r="N418" s="31"/>
      <c r="O418" s="29" t="s">
        <v>1228</v>
      </c>
      <c r="P418" s="43"/>
      <c r="Q418" s="42">
        <v>0.17</v>
      </c>
      <c r="R418" s="47">
        <f t="shared" si="87"/>
        <v>306000</v>
      </c>
      <c r="S418" s="91"/>
      <c r="T418" s="48">
        <f t="shared" si="88"/>
        <v>1800000</v>
      </c>
      <c r="U418" s="39">
        <v>0</v>
      </c>
      <c r="V418" s="39">
        <v>0</v>
      </c>
      <c r="W418" s="39">
        <v>200000</v>
      </c>
      <c r="X418" s="39">
        <v>200000</v>
      </c>
      <c r="Y418" s="39">
        <v>300000</v>
      </c>
      <c r="Z418" s="39">
        <v>100000</v>
      </c>
      <c r="AA418" s="39">
        <v>100000</v>
      </c>
      <c r="AB418" s="39">
        <v>100000</v>
      </c>
      <c r="AC418" s="39">
        <v>200000</v>
      </c>
      <c r="AD418" s="39">
        <v>300000</v>
      </c>
      <c r="AE418" s="39">
        <v>400000</v>
      </c>
      <c r="AF418" s="39">
        <v>600000</v>
      </c>
      <c r="AG418" s="39">
        <v>0</v>
      </c>
      <c r="AH418" s="39">
        <v>0</v>
      </c>
      <c r="AI418" s="39">
        <v>0</v>
      </c>
      <c r="AJ418" s="39">
        <v>0</v>
      </c>
      <c r="AK418" s="39">
        <v>0</v>
      </c>
      <c r="AL418" s="39">
        <v>0</v>
      </c>
      <c r="AM418" s="39">
        <v>0</v>
      </c>
      <c r="AN418" s="39"/>
      <c r="AO418" s="39"/>
      <c r="AP418" s="39"/>
      <c r="AQ418" s="39"/>
      <c r="AR418" s="39"/>
      <c r="AS418" s="30" t="s">
        <v>1217</v>
      </c>
      <c r="AT418" s="30" t="s">
        <v>80</v>
      </c>
      <c r="AU418" s="30" t="s">
        <v>532</v>
      </c>
      <c r="AV418" s="30" t="s">
        <v>106</v>
      </c>
      <c r="AW418" s="30" t="s">
        <v>638</v>
      </c>
      <c r="AX418" s="30" t="s">
        <v>649</v>
      </c>
      <c r="AY418" s="30" t="s">
        <v>655</v>
      </c>
      <c r="AZ418" s="30"/>
      <c r="BA418" s="30"/>
      <c r="BB418" s="30"/>
      <c r="BC418" s="58"/>
      <c r="BD418" s="30"/>
      <c r="BE418" s="30"/>
      <c r="BF418" s="30"/>
      <c r="BG418" s="30"/>
      <c r="BH418" s="30"/>
      <c r="BI418" s="30"/>
      <c r="BJ418" s="29"/>
      <c r="BK418" s="29"/>
      <c r="BL418" s="63">
        <f t="shared" si="78"/>
        <v>51000</v>
      </c>
      <c r="BM418" s="63">
        <f t="shared" si="79"/>
        <v>17000</v>
      </c>
      <c r="BN418" s="63">
        <f t="shared" si="80"/>
        <v>17000</v>
      </c>
      <c r="BO418" s="63">
        <f t="shared" si="81"/>
        <v>17000</v>
      </c>
      <c r="BP418" s="63">
        <f t="shared" si="82"/>
        <v>34000</v>
      </c>
      <c r="BQ418" s="63">
        <f t="shared" si="83"/>
        <v>51000</v>
      </c>
      <c r="BR418" s="63">
        <f t="shared" si="84"/>
        <v>68000</v>
      </c>
      <c r="BS418" s="63">
        <f t="shared" si="85"/>
        <v>102000</v>
      </c>
    </row>
    <row r="419" spans="1:71">
      <c r="A419" s="28">
        <f t="shared" si="86"/>
        <v>418</v>
      </c>
      <c r="B419" s="29" t="s">
        <v>1254</v>
      </c>
      <c r="C419" s="30" t="s">
        <v>72</v>
      </c>
      <c r="D419" s="30" t="s">
        <v>1226</v>
      </c>
      <c r="E419" s="30" t="s">
        <v>1217</v>
      </c>
      <c r="F419" s="30"/>
      <c r="G419" s="30" t="s">
        <v>480</v>
      </c>
      <c r="H419" s="35" t="s">
        <v>481</v>
      </c>
      <c r="I419" s="30"/>
      <c r="J419" s="30"/>
      <c r="K419" s="30" t="s">
        <v>643</v>
      </c>
      <c r="L419" s="39">
        <v>5000000</v>
      </c>
      <c r="M419" s="30" t="s">
        <v>79</v>
      </c>
      <c r="N419" s="31"/>
      <c r="O419" s="29" t="s">
        <v>620</v>
      </c>
      <c r="P419" s="43"/>
      <c r="Q419" s="42">
        <v>0.13</v>
      </c>
      <c r="R419" s="47">
        <f t="shared" si="87"/>
        <v>390000</v>
      </c>
      <c r="S419" s="91"/>
      <c r="T419" s="48">
        <f t="shared" si="88"/>
        <v>3000000</v>
      </c>
      <c r="U419" s="39">
        <v>0</v>
      </c>
      <c r="V419" s="39">
        <v>200000</v>
      </c>
      <c r="W419" s="39">
        <v>400000</v>
      </c>
      <c r="X419" s="39">
        <v>600000</v>
      </c>
      <c r="Y419" s="39">
        <v>400000</v>
      </c>
      <c r="Z419" s="39">
        <v>400000</v>
      </c>
      <c r="AA419" s="39">
        <v>200000</v>
      </c>
      <c r="AB419" s="39">
        <v>400000</v>
      </c>
      <c r="AC419" s="39">
        <v>600000</v>
      </c>
      <c r="AD419" s="39">
        <v>200000</v>
      </c>
      <c r="AE419" s="39">
        <v>400000</v>
      </c>
      <c r="AF419" s="39">
        <v>800000</v>
      </c>
      <c r="AG419" s="39">
        <v>0</v>
      </c>
      <c r="AH419" s="39">
        <v>0</v>
      </c>
      <c r="AI419" s="39">
        <v>0</v>
      </c>
      <c r="AJ419" s="39">
        <v>0</v>
      </c>
      <c r="AK419" s="39">
        <v>0</v>
      </c>
      <c r="AL419" s="39">
        <v>0</v>
      </c>
      <c r="AM419" s="39">
        <v>0</v>
      </c>
      <c r="AN419" s="39"/>
      <c r="AO419" s="39"/>
      <c r="AP419" s="39"/>
      <c r="AQ419" s="39"/>
      <c r="AR419" s="39"/>
      <c r="AS419" s="30" t="s">
        <v>1217</v>
      </c>
      <c r="AT419" s="30" t="s">
        <v>80</v>
      </c>
      <c r="AU419" s="30" t="s">
        <v>573</v>
      </c>
      <c r="AV419" s="30" t="s">
        <v>82</v>
      </c>
      <c r="AW419" s="30" t="s">
        <v>936</v>
      </c>
      <c r="AX419" s="30" t="s">
        <v>643</v>
      </c>
      <c r="AY419" s="30" t="s">
        <v>643</v>
      </c>
      <c r="AZ419" s="30"/>
      <c r="BA419" s="30"/>
      <c r="BB419" s="30"/>
      <c r="BC419" s="58"/>
      <c r="BD419" s="30"/>
      <c r="BE419" s="30"/>
      <c r="BF419" s="30"/>
      <c r="BG419" s="30"/>
      <c r="BH419" s="30"/>
      <c r="BI419" s="30"/>
      <c r="BJ419" s="29"/>
      <c r="BK419" s="29"/>
      <c r="BL419" s="63">
        <f t="shared" si="78"/>
        <v>52000</v>
      </c>
      <c r="BM419" s="63">
        <f t="shared" si="79"/>
        <v>52000</v>
      </c>
      <c r="BN419" s="63">
        <f t="shared" si="80"/>
        <v>26000</v>
      </c>
      <c r="BO419" s="63">
        <f t="shared" si="81"/>
        <v>52000</v>
      </c>
      <c r="BP419" s="63">
        <f t="shared" si="82"/>
        <v>78000</v>
      </c>
      <c r="BQ419" s="63">
        <f t="shared" si="83"/>
        <v>26000</v>
      </c>
      <c r="BR419" s="63">
        <f t="shared" si="84"/>
        <v>52000</v>
      </c>
      <c r="BS419" s="63">
        <f t="shared" si="85"/>
        <v>104000</v>
      </c>
    </row>
    <row r="420" spans="1:71">
      <c r="A420" s="28">
        <f t="shared" si="86"/>
        <v>419</v>
      </c>
      <c r="B420" s="29" t="s">
        <v>1254</v>
      </c>
      <c r="C420" s="30" t="s">
        <v>72</v>
      </c>
      <c r="D420" s="30" t="s">
        <v>1226</v>
      </c>
      <c r="E420" s="30" t="s">
        <v>1217</v>
      </c>
      <c r="F420" s="30"/>
      <c r="G420" s="30" t="s">
        <v>210</v>
      </c>
      <c r="H420" s="35" t="s">
        <v>211</v>
      </c>
      <c r="I420" s="30"/>
      <c r="J420" s="30"/>
      <c r="K420" s="30" t="s">
        <v>1255</v>
      </c>
      <c r="L420" s="39">
        <v>3500000</v>
      </c>
      <c r="M420" s="30" t="s">
        <v>79</v>
      </c>
      <c r="N420" s="31"/>
      <c r="O420" s="29" t="s">
        <v>620</v>
      </c>
      <c r="P420" s="43"/>
      <c r="Q420" s="42">
        <v>0.13</v>
      </c>
      <c r="R420" s="47">
        <f t="shared" si="87"/>
        <v>358800</v>
      </c>
      <c r="S420" s="91"/>
      <c r="T420" s="48">
        <f t="shared" si="88"/>
        <v>2760000</v>
      </c>
      <c r="U420" s="39">
        <v>0</v>
      </c>
      <c r="V420" s="39">
        <v>240000</v>
      </c>
      <c r="W420" s="39">
        <v>480000</v>
      </c>
      <c r="X420" s="39">
        <v>240000</v>
      </c>
      <c r="Y420" s="39">
        <v>240000</v>
      </c>
      <c r="Z420" s="39">
        <v>240000</v>
      </c>
      <c r="AA420" s="39">
        <v>480000</v>
      </c>
      <c r="AB420" s="39">
        <v>600000</v>
      </c>
      <c r="AC420" s="39">
        <v>480000</v>
      </c>
      <c r="AD420" s="39">
        <v>240000</v>
      </c>
      <c r="AE420" s="39">
        <v>240000</v>
      </c>
      <c r="AF420" s="39">
        <v>480000</v>
      </c>
      <c r="AG420" s="39"/>
      <c r="AH420" s="39"/>
      <c r="AI420" s="39"/>
      <c r="AJ420" s="39">
        <v>0</v>
      </c>
      <c r="AK420" s="39"/>
      <c r="AL420" s="39"/>
      <c r="AM420" s="39">
        <v>0</v>
      </c>
      <c r="AN420" s="39"/>
      <c r="AO420" s="39"/>
      <c r="AP420" s="39"/>
      <c r="AQ420" s="39"/>
      <c r="AR420" s="39"/>
      <c r="AS420" s="30" t="s">
        <v>1217</v>
      </c>
      <c r="AT420" s="30" t="s">
        <v>80</v>
      </c>
      <c r="AU420" s="30" t="s">
        <v>81</v>
      </c>
      <c r="AV420" s="30" t="s">
        <v>106</v>
      </c>
      <c r="AW420" s="30" t="s">
        <v>107</v>
      </c>
      <c r="AX420" s="30" t="s">
        <v>1223</v>
      </c>
      <c r="AY420" s="30"/>
      <c r="AZ420" s="30"/>
      <c r="BA420" s="30"/>
      <c r="BB420" s="30"/>
      <c r="BC420" s="58"/>
      <c r="BD420" s="30"/>
      <c r="BE420" s="30"/>
      <c r="BF420" s="30"/>
      <c r="BG420" s="30"/>
      <c r="BH420" s="30"/>
      <c r="BI420" s="30"/>
      <c r="BJ420" s="29"/>
      <c r="BK420" s="29"/>
      <c r="BL420" s="63">
        <f t="shared" si="78"/>
        <v>31200</v>
      </c>
      <c r="BM420" s="63">
        <f t="shared" si="79"/>
        <v>31200</v>
      </c>
      <c r="BN420" s="63">
        <f t="shared" si="80"/>
        <v>62400</v>
      </c>
      <c r="BO420" s="63">
        <f t="shared" si="81"/>
        <v>78000</v>
      </c>
      <c r="BP420" s="63">
        <f t="shared" si="82"/>
        <v>62400</v>
      </c>
      <c r="BQ420" s="63">
        <f t="shared" si="83"/>
        <v>31200</v>
      </c>
      <c r="BR420" s="63">
        <f t="shared" si="84"/>
        <v>31200</v>
      </c>
      <c r="BS420" s="63">
        <f t="shared" si="85"/>
        <v>62400</v>
      </c>
    </row>
    <row r="421" spans="1:71">
      <c r="A421" s="28">
        <f t="shared" si="86"/>
        <v>420</v>
      </c>
      <c r="B421" s="29" t="s">
        <v>1254</v>
      </c>
      <c r="C421" s="30" t="s">
        <v>72</v>
      </c>
      <c r="D421" s="30" t="s">
        <v>1226</v>
      </c>
      <c r="E421" s="30" t="s">
        <v>1217</v>
      </c>
      <c r="F421" s="30"/>
      <c r="G421" s="30" t="s">
        <v>218</v>
      </c>
      <c r="H421" s="35" t="s">
        <v>220</v>
      </c>
      <c r="I421" s="30">
        <v>177</v>
      </c>
      <c r="J421" s="30"/>
      <c r="K421" s="30" t="s">
        <v>1255</v>
      </c>
      <c r="L421" s="39">
        <v>3200000</v>
      </c>
      <c r="M421" s="30" t="s">
        <v>79</v>
      </c>
      <c r="N421" s="31"/>
      <c r="O421" s="29" t="s">
        <v>620</v>
      </c>
      <c r="P421" s="43"/>
      <c r="Q421" s="42">
        <v>0.13</v>
      </c>
      <c r="R421" s="47">
        <f t="shared" si="87"/>
        <v>234000</v>
      </c>
      <c r="S421" s="91"/>
      <c r="T421" s="48">
        <f t="shared" si="88"/>
        <v>1800000</v>
      </c>
      <c r="U421" s="39">
        <v>0</v>
      </c>
      <c r="V421" s="39">
        <v>0</v>
      </c>
      <c r="W421" s="39">
        <v>0</v>
      </c>
      <c r="X421" s="39">
        <v>400000</v>
      </c>
      <c r="Y421" s="39">
        <v>0</v>
      </c>
      <c r="Z421" s="39">
        <v>400000</v>
      </c>
      <c r="AA421" s="39">
        <v>0</v>
      </c>
      <c r="AB421" s="39">
        <v>400000</v>
      </c>
      <c r="AC421" s="39">
        <v>0</v>
      </c>
      <c r="AD421" s="39">
        <v>600000</v>
      </c>
      <c r="AE421" s="39">
        <v>0</v>
      </c>
      <c r="AF421" s="39">
        <v>400000</v>
      </c>
      <c r="AG421" s="39">
        <v>0</v>
      </c>
      <c r="AH421" s="39">
        <v>0</v>
      </c>
      <c r="AI421" s="39"/>
      <c r="AJ421" s="39"/>
      <c r="AK421" s="39">
        <v>0</v>
      </c>
      <c r="AL421" s="39">
        <v>0</v>
      </c>
      <c r="AM421" s="39">
        <v>0</v>
      </c>
      <c r="AN421" s="39"/>
      <c r="AO421" s="39"/>
      <c r="AP421" s="39"/>
      <c r="AQ421" s="39"/>
      <c r="AR421" s="39"/>
      <c r="AS421" s="30" t="s">
        <v>1217</v>
      </c>
      <c r="AT421" s="30" t="s">
        <v>80</v>
      </c>
      <c r="AU421" s="30" t="s">
        <v>81</v>
      </c>
      <c r="AV421" s="30" t="s">
        <v>106</v>
      </c>
      <c r="AW421" s="30" t="s">
        <v>107</v>
      </c>
      <c r="AX421" s="30" t="s">
        <v>1223</v>
      </c>
      <c r="AY421" s="30"/>
      <c r="AZ421" s="30"/>
      <c r="BA421" s="30"/>
      <c r="BB421" s="30"/>
      <c r="BC421" s="58"/>
      <c r="BD421" s="30"/>
      <c r="BE421" s="30"/>
      <c r="BF421" s="30"/>
      <c r="BG421" s="30"/>
      <c r="BH421" s="30"/>
      <c r="BI421" s="30"/>
      <c r="BJ421" s="29"/>
      <c r="BK421" s="29"/>
      <c r="BL421" s="63">
        <f t="shared" si="78"/>
        <v>0</v>
      </c>
      <c r="BM421" s="63">
        <f t="shared" si="79"/>
        <v>52000</v>
      </c>
      <c r="BN421" s="63">
        <f t="shared" si="80"/>
        <v>0</v>
      </c>
      <c r="BO421" s="63">
        <f t="shared" si="81"/>
        <v>52000</v>
      </c>
      <c r="BP421" s="63">
        <f t="shared" si="82"/>
        <v>0</v>
      </c>
      <c r="BQ421" s="63">
        <f t="shared" si="83"/>
        <v>78000</v>
      </c>
      <c r="BR421" s="63">
        <f t="shared" si="84"/>
        <v>0</v>
      </c>
      <c r="BS421" s="63">
        <f t="shared" si="85"/>
        <v>52000</v>
      </c>
    </row>
    <row r="422" spans="1:71">
      <c r="A422" s="28">
        <f t="shared" si="86"/>
        <v>421</v>
      </c>
      <c r="B422" s="29" t="s">
        <v>1254</v>
      </c>
      <c r="C422" s="30" t="s">
        <v>72</v>
      </c>
      <c r="D422" s="30" t="s">
        <v>1226</v>
      </c>
      <c r="E422" s="30" t="s">
        <v>1217</v>
      </c>
      <c r="F422" s="30"/>
      <c r="G422" s="30" t="s">
        <v>100</v>
      </c>
      <c r="H422" s="35" t="s">
        <v>101</v>
      </c>
      <c r="I422" s="30"/>
      <c r="J422" s="30" t="s">
        <v>96</v>
      </c>
      <c r="K422" s="30" t="s">
        <v>1002</v>
      </c>
      <c r="L422" s="39">
        <v>150000</v>
      </c>
      <c r="M422" s="30" t="s">
        <v>79</v>
      </c>
      <c r="N422" s="31"/>
      <c r="O422" s="29" t="s">
        <v>620</v>
      </c>
      <c r="P422" s="43"/>
      <c r="Q422" s="42">
        <v>0.11</v>
      </c>
      <c r="R422" s="47">
        <f t="shared" si="87"/>
        <v>8910</v>
      </c>
      <c r="S422" s="91"/>
      <c r="T422" s="48">
        <f t="shared" si="88"/>
        <v>81000</v>
      </c>
      <c r="U422" s="39">
        <v>0</v>
      </c>
      <c r="V422" s="39">
        <v>0</v>
      </c>
      <c r="W422" s="39">
        <v>30000</v>
      </c>
      <c r="X422" s="39">
        <v>30000</v>
      </c>
      <c r="Y422" s="39">
        <v>0</v>
      </c>
      <c r="Z422" s="39">
        <v>30000</v>
      </c>
      <c r="AA422" s="39">
        <v>0</v>
      </c>
      <c r="AB422" s="39">
        <v>12000</v>
      </c>
      <c r="AC422" s="39">
        <v>0</v>
      </c>
      <c r="AD422" s="39">
        <v>18000</v>
      </c>
      <c r="AE422" s="39">
        <v>0</v>
      </c>
      <c r="AF422" s="39">
        <v>21000</v>
      </c>
      <c r="AG422" s="39">
        <v>0</v>
      </c>
      <c r="AH422" s="39">
        <v>0</v>
      </c>
      <c r="AI422" s="39">
        <v>0</v>
      </c>
      <c r="AJ422" s="39">
        <v>0</v>
      </c>
      <c r="AK422" s="39">
        <v>0</v>
      </c>
      <c r="AL422" s="39">
        <v>0</v>
      </c>
      <c r="AM422" s="39">
        <v>0</v>
      </c>
      <c r="AN422" s="39"/>
      <c r="AO422" s="39"/>
      <c r="AP422" s="39"/>
      <c r="AQ422" s="39"/>
      <c r="AR422" s="39"/>
      <c r="AS422" s="30" t="s">
        <v>1217</v>
      </c>
      <c r="AT422" s="30" t="s">
        <v>80</v>
      </c>
      <c r="AU422" s="30" t="s">
        <v>81</v>
      </c>
      <c r="AV422" s="30" t="s">
        <v>581</v>
      </c>
      <c r="AW422" s="30" t="s">
        <v>588</v>
      </c>
      <c r="AX422" s="30" t="s">
        <v>1219</v>
      </c>
      <c r="AY422" s="30"/>
      <c r="AZ422" s="30"/>
      <c r="BA422" s="30"/>
      <c r="BB422" s="30"/>
      <c r="BC422" s="58"/>
      <c r="BD422" s="30"/>
      <c r="BE422" s="30"/>
      <c r="BF422" s="30"/>
      <c r="BG422" s="30"/>
      <c r="BH422" s="30"/>
      <c r="BI422" s="30"/>
      <c r="BJ422" s="29"/>
      <c r="BK422" s="29"/>
      <c r="BL422" s="63">
        <f t="shared" si="78"/>
        <v>0</v>
      </c>
      <c r="BM422" s="63">
        <f t="shared" si="79"/>
        <v>3300</v>
      </c>
      <c r="BN422" s="63">
        <f t="shared" si="80"/>
        <v>0</v>
      </c>
      <c r="BO422" s="63">
        <f t="shared" si="81"/>
        <v>1320</v>
      </c>
      <c r="BP422" s="63">
        <f t="shared" si="82"/>
        <v>0</v>
      </c>
      <c r="BQ422" s="63">
        <f t="shared" si="83"/>
        <v>1980</v>
      </c>
      <c r="BR422" s="63">
        <f t="shared" si="84"/>
        <v>0</v>
      </c>
      <c r="BS422" s="63">
        <f t="shared" si="85"/>
        <v>2310</v>
      </c>
    </row>
    <row r="423" spans="1:71">
      <c r="A423" s="28">
        <f t="shared" si="86"/>
        <v>422</v>
      </c>
      <c r="B423" s="29" t="s">
        <v>1256</v>
      </c>
      <c r="C423" s="30" t="s">
        <v>72</v>
      </c>
      <c r="D423" s="30" t="s">
        <v>1226</v>
      </c>
      <c r="E423" s="30" t="s">
        <v>1217</v>
      </c>
      <c r="F423" s="30"/>
      <c r="G423" s="30" t="s">
        <v>423</v>
      </c>
      <c r="H423" s="35" t="s">
        <v>424</v>
      </c>
      <c r="I423" s="30" t="s">
        <v>1257</v>
      </c>
      <c r="J423" s="30"/>
      <c r="K423" s="30" t="s">
        <v>689</v>
      </c>
      <c r="L423" s="39">
        <v>2000000</v>
      </c>
      <c r="M423" s="30" t="s">
        <v>79</v>
      </c>
      <c r="N423" s="31"/>
      <c r="O423" s="30" t="s">
        <v>620</v>
      </c>
      <c r="P423" s="42"/>
      <c r="Q423" s="92">
        <v>0.8</v>
      </c>
      <c r="R423" s="47">
        <f t="shared" si="87"/>
        <v>1120000</v>
      </c>
      <c r="S423" s="91"/>
      <c r="T423" s="48">
        <f t="shared" si="88"/>
        <v>1400000</v>
      </c>
      <c r="U423" s="39">
        <v>0</v>
      </c>
      <c r="V423" s="39">
        <v>0</v>
      </c>
      <c r="W423" s="39">
        <v>100000</v>
      </c>
      <c r="X423" s="39">
        <v>200000</v>
      </c>
      <c r="Y423" s="39">
        <v>200000</v>
      </c>
      <c r="Z423" s="39">
        <v>200000</v>
      </c>
      <c r="AA423" s="39">
        <v>200000</v>
      </c>
      <c r="AB423" s="39">
        <v>200000</v>
      </c>
      <c r="AC423" s="39">
        <v>200000</v>
      </c>
      <c r="AD423" s="39">
        <v>200000</v>
      </c>
      <c r="AE423" s="39">
        <v>200000</v>
      </c>
      <c r="AF423" s="39">
        <v>200000</v>
      </c>
      <c r="AG423" s="39">
        <v>0</v>
      </c>
      <c r="AH423" s="39">
        <v>0</v>
      </c>
      <c r="AI423" s="39">
        <v>0</v>
      </c>
      <c r="AJ423" s="39"/>
      <c r="AK423" s="39"/>
      <c r="AL423" s="39">
        <v>0</v>
      </c>
      <c r="AM423" s="39">
        <v>0</v>
      </c>
      <c r="AN423" s="39"/>
      <c r="AO423" s="39"/>
      <c r="AP423" s="39"/>
      <c r="AQ423" s="39"/>
      <c r="AR423" s="39"/>
      <c r="AS423" s="30" t="s">
        <v>1217</v>
      </c>
      <c r="AT423" s="30" t="s">
        <v>80</v>
      </c>
      <c r="AU423" s="30" t="s">
        <v>688</v>
      </c>
      <c r="AV423" s="29" t="s">
        <v>117</v>
      </c>
      <c r="AW423" s="30" t="s">
        <v>546</v>
      </c>
      <c r="AX423" s="30" t="s">
        <v>547</v>
      </c>
      <c r="AY423" s="30"/>
      <c r="AZ423" s="30"/>
      <c r="BA423" s="30"/>
      <c r="BB423" s="30"/>
      <c r="BC423" s="58"/>
      <c r="BD423" s="30"/>
      <c r="BE423" s="55"/>
      <c r="BF423" s="55"/>
      <c r="BG423" s="55"/>
      <c r="BH423" s="55"/>
      <c r="BI423" s="55"/>
      <c r="BJ423" s="59"/>
      <c r="BK423" s="39"/>
      <c r="BL423" s="63">
        <f t="shared" si="78"/>
        <v>160000</v>
      </c>
      <c r="BM423" s="63">
        <f t="shared" si="79"/>
        <v>160000</v>
      </c>
      <c r="BN423" s="63">
        <f t="shared" si="80"/>
        <v>160000</v>
      </c>
      <c r="BO423" s="63">
        <f t="shared" si="81"/>
        <v>160000</v>
      </c>
      <c r="BP423" s="63">
        <f t="shared" si="82"/>
        <v>160000</v>
      </c>
      <c r="BQ423" s="63">
        <f t="shared" si="83"/>
        <v>160000</v>
      </c>
      <c r="BR423" s="63">
        <f t="shared" si="84"/>
        <v>160000</v>
      </c>
      <c r="BS423" s="63">
        <f t="shared" si="85"/>
        <v>160000</v>
      </c>
    </row>
    <row r="424" spans="1:71">
      <c r="A424" s="28">
        <f t="shared" si="86"/>
        <v>423</v>
      </c>
      <c r="B424" s="29" t="s">
        <v>1258</v>
      </c>
      <c r="C424" s="30" t="s">
        <v>527</v>
      </c>
      <c r="D424" s="30" t="s">
        <v>1246</v>
      </c>
      <c r="E424" s="30" t="s">
        <v>1217</v>
      </c>
      <c r="F424" s="30"/>
      <c r="G424" s="30" t="s">
        <v>256</v>
      </c>
      <c r="H424" s="35" t="s">
        <v>824</v>
      </c>
      <c r="I424" s="30"/>
      <c r="J424" s="30"/>
      <c r="K424" s="30" t="s">
        <v>1259</v>
      </c>
      <c r="L424" s="39"/>
      <c r="M424" s="30" t="s">
        <v>79</v>
      </c>
      <c r="N424" s="31"/>
      <c r="O424" s="30" t="s">
        <v>620</v>
      </c>
      <c r="P424" s="42"/>
      <c r="Q424" s="42">
        <v>0.33</v>
      </c>
      <c r="R424" s="47">
        <f t="shared" si="87"/>
        <v>2673000</v>
      </c>
      <c r="S424" s="91"/>
      <c r="T424" s="48">
        <f t="shared" si="88"/>
        <v>8100000</v>
      </c>
      <c r="U424" s="39">
        <v>400000</v>
      </c>
      <c r="V424" s="39">
        <v>700000</v>
      </c>
      <c r="W424" s="39">
        <v>700000</v>
      </c>
      <c r="X424" s="39">
        <v>700000</v>
      </c>
      <c r="Y424" s="39">
        <v>700000</v>
      </c>
      <c r="Z424" s="39">
        <v>2000000</v>
      </c>
      <c r="AA424" s="39">
        <v>2000000</v>
      </c>
      <c r="AB424" s="39">
        <v>600000</v>
      </c>
      <c r="AC424" s="39">
        <v>600000</v>
      </c>
      <c r="AD424" s="39">
        <v>700000</v>
      </c>
      <c r="AE424" s="39">
        <v>1000000</v>
      </c>
      <c r="AF424" s="39">
        <v>1200000</v>
      </c>
      <c r="AG424" s="39"/>
      <c r="AH424" s="39"/>
      <c r="AI424" s="39"/>
      <c r="AJ424" s="39"/>
      <c r="AK424" s="39"/>
      <c r="AL424" s="39"/>
      <c r="AM424" s="39">
        <v>0</v>
      </c>
      <c r="AN424" s="39"/>
      <c r="AO424" s="39"/>
      <c r="AP424" s="39"/>
      <c r="AQ424" s="39"/>
      <c r="AR424" s="39"/>
      <c r="AS424" s="30" t="s">
        <v>93</v>
      </c>
      <c r="AT424" s="30" t="s">
        <v>80</v>
      </c>
      <c r="AU424" s="30" t="s">
        <v>81</v>
      </c>
      <c r="AV424" s="30" t="s">
        <v>106</v>
      </c>
      <c r="AW424" s="30" t="s">
        <v>140</v>
      </c>
      <c r="AX424" s="30" t="s">
        <v>141</v>
      </c>
      <c r="AY424" s="30" t="s">
        <v>643</v>
      </c>
      <c r="AZ424" s="30"/>
      <c r="BA424" s="30"/>
      <c r="BB424" s="30"/>
      <c r="BC424" s="58"/>
      <c r="BD424" s="30"/>
      <c r="BE424" s="55"/>
      <c r="BF424" s="55"/>
      <c r="BG424" s="55"/>
      <c r="BH424" s="55"/>
      <c r="BI424" s="55"/>
      <c r="BJ424" s="59"/>
      <c r="BK424" s="39"/>
      <c r="BL424" s="63">
        <f t="shared" si="78"/>
        <v>231000</v>
      </c>
      <c r="BM424" s="63">
        <f t="shared" si="79"/>
        <v>660000</v>
      </c>
      <c r="BN424" s="63">
        <f t="shared" si="80"/>
        <v>660000</v>
      </c>
      <c r="BO424" s="63">
        <f t="shared" si="81"/>
        <v>198000</v>
      </c>
      <c r="BP424" s="63">
        <f t="shared" si="82"/>
        <v>198000</v>
      </c>
      <c r="BQ424" s="63">
        <f t="shared" si="83"/>
        <v>231000</v>
      </c>
      <c r="BR424" s="63">
        <f t="shared" si="84"/>
        <v>330000</v>
      </c>
      <c r="BS424" s="63">
        <f t="shared" si="85"/>
        <v>396000</v>
      </c>
    </row>
    <row r="425" spans="1:71">
      <c r="A425" s="28">
        <f t="shared" si="86"/>
        <v>424</v>
      </c>
      <c r="B425" s="29" t="s">
        <v>1260</v>
      </c>
      <c r="C425" s="30" t="s">
        <v>72</v>
      </c>
      <c r="D425" s="30" t="s">
        <v>1261</v>
      </c>
      <c r="E425" s="30" t="s">
        <v>1217</v>
      </c>
      <c r="F425" s="30"/>
      <c r="G425" s="30" t="s">
        <v>156</v>
      </c>
      <c r="H425" s="35" t="s">
        <v>156</v>
      </c>
      <c r="I425" s="30"/>
      <c r="J425" s="30"/>
      <c r="K425" s="30" t="s">
        <v>643</v>
      </c>
      <c r="L425" s="39"/>
      <c r="M425" s="30" t="s">
        <v>79</v>
      </c>
      <c r="N425" s="31"/>
      <c r="O425" s="30"/>
      <c r="P425" s="42"/>
      <c r="Q425" s="42">
        <v>0.06</v>
      </c>
      <c r="R425" s="47">
        <f t="shared" si="87"/>
        <v>561600</v>
      </c>
      <c r="S425" s="91"/>
      <c r="T425" s="48">
        <f t="shared" si="88"/>
        <v>9360000</v>
      </c>
      <c r="U425" s="39">
        <v>1680000</v>
      </c>
      <c r="V425" s="39">
        <v>840000</v>
      </c>
      <c r="W425" s="39">
        <v>0</v>
      </c>
      <c r="X425" s="39">
        <v>0</v>
      </c>
      <c r="Y425" s="39">
        <v>1680000</v>
      </c>
      <c r="Z425" s="39">
        <v>1680000</v>
      </c>
      <c r="AA425" s="39">
        <v>840000</v>
      </c>
      <c r="AB425" s="39">
        <v>840000</v>
      </c>
      <c r="AC425" s="39">
        <v>2400000</v>
      </c>
      <c r="AD425" s="39">
        <v>1680000</v>
      </c>
      <c r="AE425" s="39">
        <v>1680000</v>
      </c>
      <c r="AF425" s="39">
        <v>240000</v>
      </c>
      <c r="AG425" s="39"/>
      <c r="AH425" s="39"/>
      <c r="AI425" s="39">
        <v>0</v>
      </c>
      <c r="AJ425" s="39">
        <v>0</v>
      </c>
      <c r="AK425" s="39"/>
      <c r="AL425" s="39">
        <v>0</v>
      </c>
      <c r="AM425" s="39">
        <v>48</v>
      </c>
      <c r="AN425" s="39"/>
      <c r="AO425" s="39"/>
      <c r="AP425" s="39"/>
      <c r="AQ425" s="39"/>
      <c r="AR425" s="39"/>
      <c r="AS425" s="30" t="s">
        <v>572</v>
      </c>
      <c r="AT425" s="30" t="s">
        <v>80</v>
      </c>
      <c r="AU425" s="30" t="s">
        <v>573</v>
      </c>
      <c r="AV425" s="30" t="s">
        <v>82</v>
      </c>
      <c r="AW425" s="30" t="s">
        <v>936</v>
      </c>
      <c r="AX425" s="30" t="s">
        <v>643</v>
      </c>
      <c r="AY425" s="30" t="s">
        <v>643</v>
      </c>
      <c r="AZ425" s="30"/>
      <c r="BA425" s="30"/>
      <c r="BB425" s="30"/>
      <c r="BC425" s="58"/>
      <c r="BD425" s="30"/>
      <c r="BE425" s="55"/>
      <c r="BF425" s="55"/>
      <c r="BG425" s="55"/>
      <c r="BH425" s="55"/>
      <c r="BI425" s="55"/>
      <c r="BJ425" s="59"/>
      <c r="BK425" s="39"/>
      <c r="BL425" s="63">
        <f t="shared" si="78"/>
        <v>100800</v>
      </c>
      <c r="BM425" s="63">
        <f t="shared" si="79"/>
        <v>100800</v>
      </c>
      <c r="BN425" s="63">
        <f t="shared" si="80"/>
        <v>50400</v>
      </c>
      <c r="BO425" s="63">
        <f t="shared" si="81"/>
        <v>50400</v>
      </c>
      <c r="BP425" s="63">
        <f t="shared" si="82"/>
        <v>144000</v>
      </c>
      <c r="BQ425" s="63">
        <f t="shared" si="83"/>
        <v>100800</v>
      </c>
      <c r="BR425" s="63">
        <f t="shared" si="84"/>
        <v>100800</v>
      </c>
      <c r="BS425" s="63">
        <f t="shared" si="85"/>
        <v>14400</v>
      </c>
    </row>
    <row r="426" spans="1:71">
      <c r="A426" s="28">
        <f t="shared" si="86"/>
        <v>425</v>
      </c>
      <c r="B426" s="29" t="s">
        <v>1262</v>
      </c>
      <c r="C426" s="30" t="s">
        <v>72</v>
      </c>
      <c r="D426" s="30" t="s">
        <v>1261</v>
      </c>
      <c r="E426" s="30" t="s">
        <v>1217</v>
      </c>
      <c r="F426" s="30"/>
      <c r="G426" s="30" t="s">
        <v>157</v>
      </c>
      <c r="H426" s="35" t="s">
        <v>157</v>
      </c>
      <c r="I426" s="30"/>
      <c r="J426" s="30"/>
      <c r="K426" s="30" t="s">
        <v>1263</v>
      </c>
      <c r="L426" s="39"/>
      <c r="M426" s="30" t="s">
        <v>79</v>
      </c>
      <c r="N426" s="31"/>
      <c r="O426" s="30"/>
      <c r="P426" s="42"/>
      <c r="Q426" s="42">
        <v>0.06</v>
      </c>
      <c r="R426" s="47">
        <f t="shared" si="87"/>
        <v>360000</v>
      </c>
      <c r="S426" s="91"/>
      <c r="T426" s="48">
        <f t="shared" si="88"/>
        <v>6000000</v>
      </c>
      <c r="U426" s="39">
        <v>0</v>
      </c>
      <c r="V426" s="39">
        <v>0</v>
      </c>
      <c r="W426" s="39">
        <v>2000000</v>
      </c>
      <c r="X426" s="39">
        <v>2000000</v>
      </c>
      <c r="Y426" s="39">
        <v>2000000</v>
      </c>
      <c r="Z426" s="39">
        <v>2000000</v>
      </c>
      <c r="AA426" s="39">
        <v>0</v>
      </c>
      <c r="AB426" s="39">
        <v>0</v>
      </c>
      <c r="AC426" s="39">
        <v>2000000</v>
      </c>
      <c r="AD426" s="39">
        <v>0</v>
      </c>
      <c r="AE426" s="39">
        <v>0</v>
      </c>
      <c r="AF426" s="39">
        <v>2000000</v>
      </c>
      <c r="AG426" s="39"/>
      <c r="AH426" s="39">
        <v>0</v>
      </c>
      <c r="AI426" s="39"/>
      <c r="AJ426" s="39"/>
      <c r="AK426" s="39">
        <v>0</v>
      </c>
      <c r="AL426" s="39">
        <v>0</v>
      </c>
      <c r="AM426" s="39">
        <v>0</v>
      </c>
      <c r="AN426" s="39"/>
      <c r="AO426" s="39"/>
      <c r="AP426" s="39"/>
      <c r="AQ426" s="39"/>
      <c r="AR426" s="39"/>
      <c r="AS426" s="30" t="s">
        <v>93</v>
      </c>
      <c r="AT426" s="30" t="s">
        <v>80</v>
      </c>
      <c r="AU426" s="30" t="s">
        <v>81</v>
      </c>
      <c r="AV426" s="29" t="s">
        <v>581</v>
      </c>
      <c r="AW426" s="30" t="s">
        <v>588</v>
      </c>
      <c r="AX426" s="30" t="s">
        <v>1219</v>
      </c>
      <c r="AY426" s="30" t="s">
        <v>1219</v>
      </c>
      <c r="AZ426" s="30"/>
      <c r="BA426" s="30"/>
      <c r="BB426" s="30"/>
      <c r="BC426" s="58"/>
      <c r="BD426" s="30"/>
      <c r="BE426" s="55"/>
      <c r="BF426" s="55"/>
      <c r="BG426" s="55"/>
      <c r="BH426" s="55"/>
      <c r="BI426" s="55"/>
      <c r="BJ426" s="59"/>
      <c r="BK426" s="39"/>
      <c r="BL426" s="63">
        <f t="shared" si="78"/>
        <v>120000</v>
      </c>
      <c r="BM426" s="63">
        <f t="shared" si="79"/>
        <v>120000</v>
      </c>
      <c r="BN426" s="63">
        <f t="shared" si="80"/>
        <v>0</v>
      </c>
      <c r="BO426" s="63">
        <f t="shared" si="81"/>
        <v>0</v>
      </c>
      <c r="BP426" s="63">
        <f t="shared" si="82"/>
        <v>120000</v>
      </c>
      <c r="BQ426" s="63">
        <f t="shared" si="83"/>
        <v>0</v>
      </c>
      <c r="BR426" s="63">
        <f t="shared" si="84"/>
        <v>0</v>
      </c>
      <c r="BS426" s="63">
        <f t="shared" si="85"/>
        <v>120000</v>
      </c>
    </row>
    <row r="427" spans="1:71">
      <c r="A427" s="28">
        <f t="shared" si="86"/>
        <v>426</v>
      </c>
      <c r="B427" s="29" t="s">
        <v>1264</v>
      </c>
      <c r="C427" s="30" t="s">
        <v>72</v>
      </c>
      <c r="D427" s="30" t="s">
        <v>1226</v>
      </c>
      <c r="E427" s="30" t="s">
        <v>1217</v>
      </c>
      <c r="F427" s="30"/>
      <c r="G427" s="30" t="s">
        <v>276</v>
      </c>
      <c r="H427" s="35" t="s">
        <v>277</v>
      </c>
      <c r="I427" s="30"/>
      <c r="J427" s="30"/>
      <c r="K427" s="30" t="s">
        <v>765</v>
      </c>
      <c r="L427" s="39">
        <v>2000000</v>
      </c>
      <c r="M427" s="30" t="s">
        <v>114</v>
      </c>
      <c r="N427" s="31"/>
      <c r="O427" s="30"/>
      <c r="P427" s="42"/>
      <c r="Q427" s="42">
        <v>0.38</v>
      </c>
      <c r="R427" s="47">
        <f t="shared" si="87"/>
        <v>478800</v>
      </c>
      <c r="S427" s="91"/>
      <c r="T427" s="48">
        <f t="shared" si="88"/>
        <v>1260000</v>
      </c>
      <c r="U427" s="39">
        <v>200000</v>
      </c>
      <c r="V427" s="39">
        <v>120000</v>
      </c>
      <c r="W427" s="39">
        <v>240000</v>
      </c>
      <c r="X427" s="39">
        <v>120000</v>
      </c>
      <c r="Y427" s="39">
        <v>120000</v>
      </c>
      <c r="Z427" s="39">
        <v>120000</v>
      </c>
      <c r="AA427" s="39">
        <v>120000</v>
      </c>
      <c r="AB427" s="39">
        <v>120000</v>
      </c>
      <c r="AC427" s="39">
        <v>180000</v>
      </c>
      <c r="AD427" s="39">
        <v>240000</v>
      </c>
      <c r="AE427" s="39">
        <v>240000</v>
      </c>
      <c r="AF427" s="39">
        <v>240000</v>
      </c>
      <c r="AG427" s="39">
        <v>0</v>
      </c>
      <c r="AH427" s="39">
        <v>0</v>
      </c>
      <c r="AI427" s="39">
        <v>0</v>
      </c>
      <c r="AJ427" s="39">
        <v>0</v>
      </c>
      <c r="AK427" s="39">
        <v>0</v>
      </c>
      <c r="AL427" s="39">
        <v>0</v>
      </c>
      <c r="AM427" s="39">
        <v>0</v>
      </c>
      <c r="AN427" s="39"/>
      <c r="AO427" s="39"/>
      <c r="AP427" s="39"/>
      <c r="AQ427" s="39"/>
      <c r="AR427" s="39"/>
      <c r="AS427" s="30" t="s">
        <v>1217</v>
      </c>
      <c r="AT427" s="30" t="s">
        <v>80</v>
      </c>
      <c r="AU427" s="30" t="s">
        <v>81</v>
      </c>
      <c r="AV427" s="29" t="s">
        <v>117</v>
      </c>
      <c r="AW427" s="30" t="s">
        <v>143</v>
      </c>
      <c r="AX427" s="30" t="s">
        <v>144</v>
      </c>
      <c r="AY427" s="30" t="s">
        <v>765</v>
      </c>
      <c r="AZ427" s="30"/>
      <c r="BA427" s="30"/>
      <c r="BB427" s="30"/>
      <c r="BC427" s="58"/>
      <c r="BD427" s="30"/>
      <c r="BE427" s="55"/>
      <c r="BF427" s="55"/>
      <c r="BG427" s="55"/>
      <c r="BH427" s="55"/>
      <c r="BI427" s="55"/>
      <c r="BJ427" s="59"/>
      <c r="BK427" s="39"/>
      <c r="BL427" s="63">
        <f t="shared" si="78"/>
        <v>45600</v>
      </c>
      <c r="BM427" s="63">
        <f t="shared" si="79"/>
        <v>45600</v>
      </c>
      <c r="BN427" s="63">
        <f t="shared" si="80"/>
        <v>45600</v>
      </c>
      <c r="BO427" s="63">
        <f t="shared" si="81"/>
        <v>45600</v>
      </c>
      <c r="BP427" s="63">
        <f t="shared" si="82"/>
        <v>68400</v>
      </c>
      <c r="BQ427" s="63">
        <f t="shared" si="83"/>
        <v>91200</v>
      </c>
      <c r="BR427" s="63">
        <f t="shared" si="84"/>
        <v>91200</v>
      </c>
      <c r="BS427" s="63">
        <f t="shared" si="85"/>
        <v>91200</v>
      </c>
    </row>
    <row r="428" spans="1:71">
      <c r="A428" s="28">
        <f t="shared" si="86"/>
        <v>427</v>
      </c>
      <c r="B428" s="29" t="s">
        <v>1265</v>
      </c>
      <c r="C428" s="30" t="s">
        <v>72</v>
      </c>
      <c r="D428" s="30" t="s">
        <v>1226</v>
      </c>
      <c r="E428" s="30" t="s">
        <v>1217</v>
      </c>
      <c r="F428" s="30"/>
      <c r="G428" s="30" t="s">
        <v>437</v>
      </c>
      <c r="H428" s="35" t="s">
        <v>438</v>
      </c>
      <c r="I428" s="30"/>
      <c r="J428" s="30"/>
      <c r="K428" s="30"/>
      <c r="L428" s="39"/>
      <c r="M428" s="30" t="s">
        <v>79</v>
      </c>
      <c r="N428" s="31"/>
      <c r="O428" s="30"/>
      <c r="P428" s="42"/>
      <c r="Q428" s="42">
        <v>5.3</v>
      </c>
      <c r="R428" s="47">
        <f t="shared" si="87"/>
        <v>424000</v>
      </c>
      <c r="S428" s="91"/>
      <c r="T428" s="48">
        <f t="shared" si="88"/>
        <v>80000</v>
      </c>
      <c r="U428" s="39">
        <v>10000</v>
      </c>
      <c r="V428" s="39">
        <v>5000</v>
      </c>
      <c r="W428" s="39">
        <v>10000</v>
      </c>
      <c r="X428" s="39">
        <v>10000</v>
      </c>
      <c r="Y428" s="39">
        <v>10000</v>
      </c>
      <c r="Z428" s="39">
        <v>10000</v>
      </c>
      <c r="AA428" s="39">
        <v>20000</v>
      </c>
      <c r="AB428" s="39">
        <v>10000</v>
      </c>
      <c r="AC428" s="39">
        <v>10000</v>
      </c>
      <c r="AD428" s="39">
        <v>10000</v>
      </c>
      <c r="AE428" s="39">
        <v>10000</v>
      </c>
      <c r="AF428" s="39">
        <v>10000</v>
      </c>
      <c r="AG428" s="39"/>
      <c r="AH428" s="39">
        <v>0</v>
      </c>
      <c r="AI428" s="39"/>
      <c r="AJ428" s="39">
        <v>0</v>
      </c>
      <c r="AK428" s="39"/>
      <c r="AL428" s="39"/>
      <c r="AM428" s="39">
        <v>0</v>
      </c>
      <c r="AN428" s="39"/>
      <c r="AO428" s="39"/>
      <c r="AP428" s="39"/>
      <c r="AQ428" s="39"/>
      <c r="AR428" s="39"/>
      <c r="AS428" s="30" t="s">
        <v>1217</v>
      </c>
      <c r="AT428" s="30" t="s">
        <v>80</v>
      </c>
      <c r="AU428" s="30" t="s">
        <v>688</v>
      </c>
      <c r="AV428" s="30" t="s">
        <v>106</v>
      </c>
      <c r="AW428" s="30" t="s">
        <v>140</v>
      </c>
      <c r="AX428" s="30" t="s">
        <v>1266</v>
      </c>
      <c r="AY428" s="30" t="s">
        <v>1267</v>
      </c>
      <c r="AZ428" s="30"/>
      <c r="BA428" s="30"/>
      <c r="BB428" s="30"/>
      <c r="BC428" s="58"/>
      <c r="BD428" s="30"/>
      <c r="BE428" s="55"/>
      <c r="BF428" s="55"/>
      <c r="BG428" s="55"/>
      <c r="BH428" s="55"/>
      <c r="BI428" s="55"/>
      <c r="BJ428" s="59"/>
      <c r="BK428" s="39"/>
      <c r="BL428" s="63">
        <f t="shared" si="78"/>
        <v>53000</v>
      </c>
      <c r="BM428" s="63">
        <f t="shared" si="79"/>
        <v>53000</v>
      </c>
      <c r="BN428" s="63">
        <f t="shared" si="80"/>
        <v>106000</v>
      </c>
      <c r="BO428" s="63">
        <f t="shared" si="81"/>
        <v>53000</v>
      </c>
      <c r="BP428" s="63">
        <f t="shared" si="82"/>
        <v>53000</v>
      </c>
      <c r="BQ428" s="63">
        <f t="shared" si="83"/>
        <v>53000</v>
      </c>
      <c r="BR428" s="63">
        <f t="shared" si="84"/>
        <v>53000</v>
      </c>
      <c r="BS428" s="63">
        <f t="shared" si="85"/>
        <v>53000</v>
      </c>
    </row>
    <row r="429" spans="1:71">
      <c r="A429" s="28">
        <f t="shared" si="86"/>
        <v>428</v>
      </c>
      <c r="B429" s="29" t="s">
        <v>1268</v>
      </c>
      <c r="C429" s="30" t="s">
        <v>72</v>
      </c>
      <c r="D429" s="30" t="s">
        <v>1226</v>
      </c>
      <c r="E429" s="30" t="s">
        <v>1217</v>
      </c>
      <c r="F429" s="30"/>
      <c r="G429" s="30" t="s">
        <v>429</v>
      </c>
      <c r="H429" s="35" t="s">
        <v>430</v>
      </c>
      <c r="I429" s="30"/>
      <c r="J429" s="30"/>
      <c r="K429" s="30"/>
      <c r="L429" s="39"/>
      <c r="M429" s="30" t="s">
        <v>114</v>
      </c>
      <c r="N429" s="31"/>
      <c r="O429" s="30"/>
      <c r="P429" s="42"/>
      <c r="Q429" s="42">
        <v>2</v>
      </c>
      <c r="R429" s="47">
        <f t="shared" si="87"/>
        <v>140000</v>
      </c>
      <c r="S429" s="91"/>
      <c r="T429" s="48">
        <f t="shared" si="88"/>
        <v>70000</v>
      </c>
      <c r="U429" s="39">
        <v>10000</v>
      </c>
      <c r="V429" s="39">
        <v>5000</v>
      </c>
      <c r="W429" s="39">
        <v>10000</v>
      </c>
      <c r="X429" s="39">
        <v>10000</v>
      </c>
      <c r="Y429" s="39">
        <v>10000</v>
      </c>
      <c r="Z429" s="39">
        <v>10000</v>
      </c>
      <c r="AA429" s="39">
        <v>10000</v>
      </c>
      <c r="AB429" s="39">
        <v>10000</v>
      </c>
      <c r="AC429" s="39">
        <v>10000</v>
      </c>
      <c r="AD429" s="39">
        <v>10000</v>
      </c>
      <c r="AE429" s="39">
        <v>10000</v>
      </c>
      <c r="AF429" s="39">
        <v>10000</v>
      </c>
      <c r="AG429" s="39"/>
      <c r="AH429" s="39"/>
      <c r="AI429" s="39"/>
      <c r="AJ429" s="39"/>
      <c r="AK429" s="39"/>
      <c r="AL429" s="39"/>
      <c r="AM429" s="39"/>
      <c r="AN429" s="39"/>
      <c r="AO429" s="39"/>
      <c r="AP429" s="39"/>
      <c r="AQ429" s="39"/>
      <c r="AR429" s="39"/>
      <c r="AS429" s="30"/>
      <c r="AT429" s="30" t="s">
        <v>80</v>
      </c>
      <c r="AU429" s="30" t="s">
        <v>688</v>
      </c>
      <c r="AV429" s="29"/>
      <c r="AW429" s="30"/>
      <c r="AX429" s="30"/>
      <c r="AY429" s="30"/>
      <c r="AZ429" s="30"/>
      <c r="BA429" s="30"/>
      <c r="BB429" s="30"/>
      <c r="BC429" s="58"/>
      <c r="BD429" s="30"/>
      <c r="BE429" s="55"/>
      <c r="BF429" s="55"/>
      <c r="BG429" s="55"/>
      <c r="BH429" s="55"/>
      <c r="BI429" s="55"/>
      <c r="BJ429" s="59"/>
      <c r="BK429" s="39"/>
      <c r="BL429" s="63">
        <f t="shared" si="78"/>
        <v>20000</v>
      </c>
      <c r="BM429" s="63">
        <f t="shared" si="79"/>
        <v>20000</v>
      </c>
      <c r="BN429" s="63">
        <f t="shared" si="80"/>
        <v>20000</v>
      </c>
      <c r="BO429" s="63">
        <f t="shared" si="81"/>
        <v>20000</v>
      </c>
      <c r="BP429" s="63">
        <f t="shared" si="82"/>
        <v>20000</v>
      </c>
      <c r="BQ429" s="63">
        <f t="shared" si="83"/>
        <v>20000</v>
      </c>
      <c r="BR429" s="63">
        <f t="shared" si="84"/>
        <v>20000</v>
      </c>
      <c r="BS429" s="63">
        <f t="shared" si="85"/>
        <v>20000</v>
      </c>
    </row>
    <row r="430" spans="1:71">
      <c r="A430" s="28">
        <f t="shared" si="86"/>
        <v>429</v>
      </c>
      <c r="B430" s="29" t="s">
        <v>1269</v>
      </c>
      <c r="C430" s="30" t="s">
        <v>72</v>
      </c>
      <c r="D430" s="30" t="s">
        <v>1226</v>
      </c>
      <c r="E430" s="30" t="s">
        <v>1217</v>
      </c>
      <c r="F430" s="30"/>
      <c r="G430" s="30" t="s">
        <v>317</v>
      </c>
      <c r="H430" s="35"/>
      <c r="I430" s="30"/>
      <c r="J430" s="30"/>
      <c r="K430" s="30" t="s">
        <v>1270</v>
      </c>
      <c r="L430" s="39"/>
      <c r="M430" s="30" t="s">
        <v>56</v>
      </c>
      <c r="N430" s="31" t="s">
        <v>1271</v>
      </c>
      <c r="O430" s="30" t="s">
        <v>620</v>
      </c>
      <c r="P430" s="42"/>
      <c r="Q430" s="42">
        <v>0.42</v>
      </c>
      <c r="R430" s="47">
        <f t="shared" si="87"/>
        <v>201600</v>
      </c>
      <c r="S430" s="91"/>
      <c r="T430" s="48">
        <f t="shared" si="88"/>
        <v>480000</v>
      </c>
      <c r="U430" s="39">
        <v>0</v>
      </c>
      <c r="V430" s="39">
        <v>0</v>
      </c>
      <c r="W430" s="39">
        <v>0</v>
      </c>
      <c r="X430" s="39"/>
      <c r="Y430" s="39">
        <v>30000</v>
      </c>
      <c r="Z430" s="39">
        <v>30000</v>
      </c>
      <c r="AA430" s="39">
        <v>30000</v>
      </c>
      <c r="AB430" s="39">
        <v>60000</v>
      </c>
      <c r="AC430" s="39">
        <v>60000</v>
      </c>
      <c r="AD430" s="39">
        <v>60000</v>
      </c>
      <c r="AE430" s="39">
        <v>120000</v>
      </c>
      <c r="AF430" s="39">
        <v>120000</v>
      </c>
      <c r="AG430" s="39"/>
      <c r="AH430" s="39"/>
      <c r="AI430" s="39"/>
      <c r="AJ430" s="39"/>
      <c r="AK430" s="39"/>
      <c r="AL430" s="39"/>
      <c r="AM430" s="39"/>
      <c r="AN430" s="39"/>
      <c r="AO430" s="39"/>
      <c r="AP430" s="39"/>
      <c r="AQ430" s="39"/>
      <c r="AR430" s="39"/>
      <c r="AS430" s="30" t="s">
        <v>1217</v>
      </c>
      <c r="AT430" s="30" t="s">
        <v>80</v>
      </c>
      <c r="AU430" s="30" t="s">
        <v>81</v>
      </c>
      <c r="AV430" s="29" t="s">
        <v>117</v>
      </c>
      <c r="AW430" s="30" t="s">
        <v>143</v>
      </c>
      <c r="AX430" s="30" t="s">
        <v>1272</v>
      </c>
      <c r="AY430" s="30" t="s">
        <v>1270</v>
      </c>
      <c r="AZ430" s="30"/>
      <c r="BA430" s="30"/>
      <c r="BB430" s="30"/>
      <c r="BC430" s="58"/>
      <c r="BD430" s="30"/>
      <c r="BE430" s="55"/>
      <c r="BF430" s="55"/>
      <c r="BG430" s="55"/>
      <c r="BH430" s="55"/>
      <c r="BI430" s="55"/>
      <c r="BJ430" s="59"/>
      <c r="BK430" s="39"/>
      <c r="BL430" s="63">
        <f t="shared" si="78"/>
        <v>12600</v>
      </c>
      <c r="BM430" s="63">
        <f t="shared" si="79"/>
        <v>12600</v>
      </c>
      <c r="BN430" s="63">
        <f t="shared" si="80"/>
        <v>12600</v>
      </c>
      <c r="BO430" s="63">
        <f t="shared" si="81"/>
        <v>25200</v>
      </c>
      <c r="BP430" s="63">
        <f t="shared" si="82"/>
        <v>25200</v>
      </c>
      <c r="BQ430" s="63">
        <f t="shared" si="83"/>
        <v>25200</v>
      </c>
      <c r="BR430" s="63">
        <f t="shared" si="84"/>
        <v>50400</v>
      </c>
      <c r="BS430" s="63">
        <f t="shared" si="85"/>
        <v>50400</v>
      </c>
    </row>
    <row r="431" spans="1:71">
      <c r="A431" s="28">
        <f t="shared" si="86"/>
        <v>430</v>
      </c>
      <c r="B431" s="29" t="s">
        <v>1273</v>
      </c>
      <c r="C431" s="30" t="s">
        <v>527</v>
      </c>
      <c r="D431" s="30" t="s">
        <v>1226</v>
      </c>
      <c r="E431" s="30" t="s">
        <v>1217</v>
      </c>
      <c r="F431" s="30"/>
      <c r="G431" s="30" t="s">
        <v>276</v>
      </c>
      <c r="H431" s="35" t="s">
        <v>277</v>
      </c>
      <c r="I431" s="30"/>
      <c r="J431" s="30"/>
      <c r="K431" s="30" t="s">
        <v>765</v>
      </c>
      <c r="L431" s="39"/>
      <c r="M431" s="30" t="s">
        <v>79</v>
      </c>
      <c r="N431" s="31" t="s">
        <v>1274</v>
      </c>
      <c r="O431" s="30" t="s">
        <v>620</v>
      </c>
      <c r="P431" s="42"/>
      <c r="Q431" s="42">
        <v>0.38</v>
      </c>
      <c r="R431" s="47">
        <f t="shared" si="87"/>
        <v>1938000</v>
      </c>
      <c r="S431" s="91"/>
      <c r="T431" s="48">
        <f t="shared" si="88"/>
        <v>5100000</v>
      </c>
      <c r="U431" s="39">
        <v>459000</v>
      </c>
      <c r="V431" s="39">
        <v>300000</v>
      </c>
      <c r="W431" s="39">
        <v>600000</v>
      </c>
      <c r="X431" s="39">
        <v>600000</v>
      </c>
      <c r="Y431" s="39">
        <v>600000</v>
      </c>
      <c r="Z431" s="39">
        <v>600000</v>
      </c>
      <c r="AA431" s="39">
        <v>600000</v>
      </c>
      <c r="AB431" s="39">
        <v>600000</v>
      </c>
      <c r="AC431" s="39">
        <v>600000</v>
      </c>
      <c r="AD431" s="39">
        <v>700000</v>
      </c>
      <c r="AE431" s="39">
        <v>1000000</v>
      </c>
      <c r="AF431" s="39">
        <v>1000000</v>
      </c>
      <c r="AG431" s="39"/>
      <c r="AH431" s="39"/>
      <c r="AI431" s="39"/>
      <c r="AJ431" s="39">
        <v>0</v>
      </c>
      <c r="AK431" s="39"/>
      <c r="AL431" s="39"/>
      <c r="AM431" s="39">
        <v>0</v>
      </c>
      <c r="AN431" s="39"/>
      <c r="AO431" s="39"/>
      <c r="AP431" s="39"/>
      <c r="AQ431" s="39"/>
      <c r="AR431" s="39"/>
      <c r="AS431" s="30" t="s">
        <v>1217</v>
      </c>
      <c r="AT431" s="30" t="s">
        <v>80</v>
      </c>
      <c r="AU431" s="30" t="s">
        <v>81</v>
      </c>
      <c r="AV431" s="29" t="s">
        <v>117</v>
      </c>
      <c r="AW431" s="30" t="s">
        <v>143</v>
      </c>
      <c r="AX431" s="30" t="s">
        <v>144</v>
      </c>
      <c r="AY431" s="30" t="s">
        <v>765</v>
      </c>
      <c r="AZ431" s="30"/>
      <c r="BA431" s="30"/>
      <c r="BB431" s="30"/>
      <c r="BC431" s="58"/>
      <c r="BD431" s="30"/>
      <c r="BE431" s="55"/>
      <c r="BF431" s="55"/>
      <c r="BG431" s="55"/>
      <c r="BH431" s="55"/>
      <c r="BI431" s="55"/>
      <c r="BJ431" s="59"/>
      <c r="BK431" s="39"/>
      <c r="BL431" s="63">
        <f t="shared" si="78"/>
        <v>228000</v>
      </c>
      <c r="BM431" s="63">
        <f t="shared" si="79"/>
        <v>228000</v>
      </c>
      <c r="BN431" s="63">
        <f t="shared" si="80"/>
        <v>228000</v>
      </c>
      <c r="BO431" s="63">
        <f t="shared" si="81"/>
        <v>228000</v>
      </c>
      <c r="BP431" s="63">
        <f t="shared" si="82"/>
        <v>228000</v>
      </c>
      <c r="BQ431" s="63">
        <f t="shared" si="83"/>
        <v>266000</v>
      </c>
      <c r="BR431" s="63">
        <f t="shared" si="84"/>
        <v>380000</v>
      </c>
      <c r="BS431" s="63">
        <f t="shared" si="85"/>
        <v>380000</v>
      </c>
    </row>
    <row r="432" spans="1:71">
      <c r="A432" s="28">
        <f t="shared" si="86"/>
        <v>431</v>
      </c>
      <c r="B432" s="29" t="s">
        <v>1273</v>
      </c>
      <c r="C432" s="30" t="s">
        <v>527</v>
      </c>
      <c r="D432" s="30" t="s">
        <v>1226</v>
      </c>
      <c r="E432" s="30" t="s">
        <v>1217</v>
      </c>
      <c r="F432" s="30"/>
      <c r="G432" s="30" t="s">
        <v>256</v>
      </c>
      <c r="H432" s="35" t="s">
        <v>258</v>
      </c>
      <c r="I432" s="30"/>
      <c r="J432" s="30"/>
      <c r="K432" s="30" t="s">
        <v>1270</v>
      </c>
      <c r="L432" s="39"/>
      <c r="M432" s="30" t="s">
        <v>79</v>
      </c>
      <c r="N432" s="31" t="s">
        <v>1274</v>
      </c>
      <c r="O432" s="30" t="s">
        <v>620</v>
      </c>
      <c r="P432" s="42"/>
      <c r="Q432" s="42">
        <v>0.25</v>
      </c>
      <c r="R432" s="47">
        <f t="shared" si="87"/>
        <v>390000</v>
      </c>
      <c r="S432" s="91"/>
      <c r="T432" s="48">
        <f t="shared" si="88"/>
        <v>1560000</v>
      </c>
      <c r="U432" s="39">
        <v>0</v>
      </c>
      <c r="V432" s="39">
        <v>200000</v>
      </c>
      <c r="W432" s="39">
        <v>200000</v>
      </c>
      <c r="X432" s="39">
        <v>200000</v>
      </c>
      <c r="Y432" s="39">
        <v>240000</v>
      </c>
      <c r="Z432" s="39">
        <v>240000</v>
      </c>
      <c r="AA432" s="39">
        <v>120000</v>
      </c>
      <c r="AB432" s="39">
        <v>240000</v>
      </c>
      <c r="AC432" s="39">
        <v>240000</v>
      </c>
      <c r="AD432" s="39">
        <v>240000</v>
      </c>
      <c r="AE432" s="39">
        <v>240000</v>
      </c>
      <c r="AF432" s="39">
        <v>240000</v>
      </c>
      <c r="AG432" s="39">
        <v>0</v>
      </c>
      <c r="AH432" s="39">
        <v>0</v>
      </c>
      <c r="AI432" s="39"/>
      <c r="AJ432" s="39"/>
      <c r="AK432" s="39"/>
      <c r="AL432" s="39">
        <v>0</v>
      </c>
      <c r="AM432" s="39">
        <v>0</v>
      </c>
      <c r="AN432" s="39"/>
      <c r="AO432" s="39"/>
      <c r="AP432" s="39"/>
      <c r="AQ432" s="39"/>
      <c r="AR432" s="39"/>
      <c r="AS432" s="30" t="s">
        <v>1217</v>
      </c>
      <c r="AT432" s="30" t="s">
        <v>80</v>
      </c>
      <c r="AU432" s="30" t="s">
        <v>81</v>
      </c>
      <c r="AV432" s="29" t="s">
        <v>117</v>
      </c>
      <c r="AW432" s="30" t="s">
        <v>143</v>
      </c>
      <c r="AX432" s="30" t="s">
        <v>1272</v>
      </c>
      <c r="AY432" s="30" t="s">
        <v>1270</v>
      </c>
      <c r="AZ432" s="30"/>
      <c r="BA432" s="30"/>
      <c r="BB432" s="30"/>
      <c r="BC432" s="58"/>
      <c r="BD432" s="30"/>
      <c r="BE432" s="55"/>
      <c r="BF432" s="55"/>
      <c r="BG432" s="55"/>
      <c r="BH432" s="55"/>
      <c r="BI432" s="55"/>
      <c r="BJ432" s="59"/>
      <c r="BK432" s="39"/>
      <c r="BL432" s="63">
        <f t="shared" si="78"/>
        <v>60000</v>
      </c>
      <c r="BM432" s="63">
        <f t="shared" si="79"/>
        <v>60000</v>
      </c>
      <c r="BN432" s="63">
        <f t="shared" si="80"/>
        <v>30000</v>
      </c>
      <c r="BO432" s="63">
        <f t="shared" si="81"/>
        <v>60000</v>
      </c>
      <c r="BP432" s="63">
        <f t="shared" si="82"/>
        <v>60000</v>
      </c>
      <c r="BQ432" s="63">
        <f t="shared" si="83"/>
        <v>60000</v>
      </c>
      <c r="BR432" s="63">
        <f t="shared" si="84"/>
        <v>60000</v>
      </c>
      <c r="BS432" s="63">
        <f t="shared" si="85"/>
        <v>60000</v>
      </c>
    </row>
    <row r="433" spans="1:71">
      <c r="A433" s="28">
        <f t="shared" si="86"/>
        <v>432</v>
      </c>
      <c r="B433" s="29" t="s">
        <v>1273</v>
      </c>
      <c r="C433" s="30" t="s">
        <v>527</v>
      </c>
      <c r="D433" s="30" t="s">
        <v>1226</v>
      </c>
      <c r="E433" s="30" t="s">
        <v>1217</v>
      </c>
      <c r="F433" s="30"/>
      <c r="G433" s="30" t="s">
        <v>266</v>
      </c>
      <c r="H433" s="35" t="s">
        <v>267</v>
      </c>
      <c r="I433" s="30"/>
      <c r="J433" s="30"/>
      <c r="K433" s="30" t="s">
        <v>1270</v>
      </c>
      <c r="L433" s="39"/>
      <c r="M433" s="30" t="s">
        <v>79</v>
      </c>
      <c r="N433" s="31" t="s">
        <v>1274</v>
      </c>
      <c r="O433" s="30" t="s">
        <v>620</v>
      </c>
      <c r="P433" s="42"/>
      <c r="Q433" s="42">
        <v>0.25</v>
      </c>
      <c r="R433" s="47">
        <f t="shared" si="87"/>
        <v>330000</v>
      </c>
      <c r="S433" s="91"/>
      <c r="T433" s="48">
        <f t="shared" si="88"/>
        <v>1320000</v>
      </c>
      <c r="U433" s="39">
        <v>6000</v>
      </c>
      <c r="V433" s="39">
        <v>0</v>
      </c>
      <c r="W433" s="39">
        <v>10000</v>
      </c>
      <c r="X433" s="39">
        <v>0</v>
      </c>
      <c r="Y433" s="39">
        <v>240000</v>
      </c>
      <c r="Z433" s="39">
        <v>120000</v>
      </c>
      <c r="AA433" s="39">
        <v>120000</v>
      </c>
      <c r="AB433" s="39">
        <v>120000</v>
      </c>
      <c r="AC433" s="39">
        <v>240000</v>
      </c>
      <c r="AD433" s="39">
        <v>240000</v>
      </c>
      <c r="AE433" s="39">
        <v>240000</v>
      </c>
      <c r="AF433" s="39">
        <v>240000</v>
      </c>
      <c r="AG433" s="39"/>
      <c r="AH433" s="39">
        <v>0</v>
      </c>
      <c r="AI433" s="39">
        <v>0</v>
      </c>
      <c r="AJ433" s="39"/>
      <c r="AK433" s="39">
        <v>0</v>
      </c>
      <c r="AL433" s="39">
        <v>0</v>
      </c>
      <c r="AM433" s="39">
        <v>0</v>
      </c>
      <c r="AN433" s="39"/>
      <c r="AO433" s="39"/>
      <c r="AP433" s="39"/>
      <c r="AQ433" s="39"/>
      <c r="AR433" s="39"/>
      <c r="AS433" s="30" t="s">
        <v>1217</v>
      </c>
      <c r="AT433" s="30" t="s">
        <v>80</v>
      </c>
      <c r="AU433" s="30" t="s">
        <v>81</v>
      </c>
      <c r="AV433" s="29" t="s">
        <v>117</v>
      </c>
      <c r="AW433" s="30" t="s">
        <v>143</v>
      </c>
      <c r="AX433" s="30" t="s">
        <v>1272</v>
      </c>
      <c r="AY433" s="30" t="s">
        <v>1270</v>
      </c>
      <c r="AZ433" s="30"/>
      <c r="BA433" s="30"/>
      <c r="BB433" s="30"/>
      <c r="BC433" s="58"/>
      <c r="BD433" s="30"/>
      <c r="BE433" s="55"/>
      <c r="BF433" s="55"/>
      <c r="BG433" s="55"/>
      <c r="BH433" s="55"/>
      <c r="BI433" s="55"/>
      <c r="BJ433" s="59"/>
      <c r="BK433" s="39"/>
      <c r="BL433" s="63">
        <f t="shared" si="78"/>
        <v>60000</v>
      </c>
      <c r="BM433" s="63">
        <f t="shared" si="79"/>
        <v>30000</v>
      </c>
      <c r="BN433" s="63">
        <f t="shared" si="80"/>
        <v>30000</v>
      </c>
      <c r="BO433" s="63">
        <f t="shared" si="81"/>
        <v>30000</v>
      </c>
      <c r="BP433" s="63">
        <f t="shared" si="82"/>
        <v>60000</v>
      </c>
      <c r="BQ433" s="63">
        <f t="shared" si="83"/>
        <v>60000</v>
      </c>
      <c r="BR433" s="63">
        <f t="shared" si="84"/>
        <v>60000</v>
      </c>
      <c r="BS433" s="63">
        <f t="shared" si="85"/>
        <v>60000</v>
      </c>
    </row>
    <row r="434" spans="1:71">
      <c r="A434" s="28">
        <f t="shared" si="86"/>
        <v>433</v>
      </c>
      <c r="B434" s="29" t="s">
        <v>1275</v>
      </c>
      <c r="C434" s="30" t="s">
        <v>527</v>
      </c>
      <c r="D434" s="30" t="s">
        <v>1226</v>
      </c>
      <c r="E434" s="30" t="s">
        <v>1217</v>
      </c>
      <c r="F434" s="30"/>
      <c r="G434" s="30" t="s">
        <v>297</v>
      </c>
      <c r="H434" s="35" t="s">
        <v>298</v>
      </c>
      <c r="I434" s="30"/>
      <c r="J434" s="30"/>
      <c r="K434" s="30" t="s">
        <v>853</v>
      </c>
      <c r="L434" s="39"/>
      <c r="M434" s="30" t="s">
        <v>57</v>
      </c>
      <c r="N434" s="31" t="s">
        <v>1276</v>
      </c>
      <c r="O434" s="30" t="s">
        <v>1277</v>
      </c>
      <c r="P434" s="42"/>
      <c r="Q434" s="42">
        <v>0.42</v>
      </c>
      <c r="R434" s="47">
        <f t="shared" si="87"/>
        <v>100800</v>
      </c>
      <c r="S434" s="91"/>
      <c r="T434" s="48">
        <f t="shared" si="88"/>
        <v>240000</v>
      </c>
      <c r="U434" s="39">
        <v>21000</v>
      </c>
      <c r="V434" s="39">
        <v>0</v>
      </c>
      <c r="W434" s="39">
        <v>21000</v>
      </c>
      <c r="X434" s="39">
        <v>0</v>
      </c>
      <c r="Y434" s="39">
        <v>0</v>
      </c>
      <c r="Z434" s="39">
        <v>0</v>
      </c>
      <c r="AA434" s="39">
        <v>60000</v>
      </c>
      <c r="AB434" s="39">
        <v>0</v>
      </c>
      <c r="AC434" s="39">
        <v>60000</v>
      </c>
      <c r="AD434" s="39">
        <v>0</v>
      </c>
      <c r="AE434" s="39">
        <v>0</v>
      </c>
      <c r="AF434" s="39">
        <v>120000</v>
      </c>
      <c r="AG434" s="39">
        <v>0</v>
      </c>
      <c r="AH434" s="39">
        <v>0</v>
      </c>
      <c r="AI434" s="39">
        <v>0</v>
      </c>
      <c r="AJ434" s="39">
        <v>0</v>
      </c>
      <c r="AK434" s="39">
        <v>0</v>
      </c>
      <c r="AL434" s="39">
        <v>0</v>
      </c>
      <c r="AM434" s="39">
        <v>0</v>
      </c>
      <c r="AN434" s="39"/>
      <c r="AO434" s="39"/>
      <c r="AP434" s="39"/>
      <c r="AQ434" s="39"/>
      <c r="AR434" s="39"/>
      <c r="AS434" s="30" t="s">
        <v>1217</v>
      </c>
      <c r="AT434" s="30" t="s">
        <v>80</v>
      </c>
      <c r="AU434" s="30" t="s">
        <v>81</v>
      </c>
      <c r="AV434" s="29" t="s">
        <v>117</v>
      </c>
      <c r="AW434" s="30" t="s">
        <v>143</v>
      </c>
      <c r="AX434" s="30" t="s">
        <v>960</v>
      </c>
      <c r="AY434" s="30" t="s">
        <v>853</v>
      </c>
      <c r="AZ434" s="30"/>
      <c r="BA434" s="30"/>
      <c r="BB434" s="30"/>
      <c r="BC434" s="58"/>
      <c r="BD434" s="30"/>
      <c r="BE434" s="55"/>
      <c r="BF434" s="55"/>
      <c r="BG434" s="55"/>
      <c r="BH434" s="55"/>
      <c r="BI434" s="55"/>
      <c r="BJ434" s="59"/>
      <c r="BK434" s="39"/>
      <c r="BL434" s="63">
        <f t="shared" si="78"/>
        <v>0</v>
      </c>
      <c r="BM434" s="63">
        <f t="shared" si="79"/>
        <v>0</v>
      </c>
      <c r="BN434" s="63">
        <f t="shared" si="80"/>
        <v>25200</v>
      </c>
      <c r="BO434" s="63">
        <f t="shared" si="81"/>
        <v>0</v>
      </c>
      <c r="BP434" s="63">
        <f t="shared" si="82"/>
        <v>25200</v>
      </c>
      <c r="BQ434" s="63">
        <f t="shared" si="83"/>
        <v>0</v>
      </c>
      <c r="BR434" s="63">
        <f t="shared" si="84"/>
        <v>0</v>
      </c>
      <c r="BS434" s="63">
        <f t="shared" si="85"/>
        <v>50400</v>
      </c>
    </row>
    <row r="435" spans="1:71">
      <c r="A435" s="28">
        <f t="shared" si="86"/>
        <v>434</v>
      </c>
      <c r="B435" s="29" t="s">
        <v>1278</v>
      </c>
      <c r="C435" s="30" t="s">
        <v>72</v>
      </c>
      <c r="D435" s="30" t="s">
        <v>1246</v>
      </c>
      <c r="E435" s="30" t="s">
        <v>1217</v>
      </c>
      <c r="F435" s="30"/>
      <c r="G435" s="30" t="s">
        <v>477</v>
      </c>
      <c r="H435" s="35" t="s">
        <v>479</v>
      </c>
      <c r="I435" s="30"/>
      <c r="J435" s="30"/>
      <c r="K435" s="30" t="s">
        <v>643</v>
      </c>
      <c r="L435" s="39"/>
      <c r="M435" s="30" t="s">
        <v>79</v>
      </c>
      <c r="N435" s="31"/>
      <c r="O435" s="30" t="s">
        <v>1234</v>
      </c>
      <c r="P435" s="42"/>
      <c r="Q435" s="42">
        <v>0.14</v>
      </c>
      <c r="R435" s="47">
        <f t="shared" si="87"/>
        <v>322000</v>
      </c>
      <c r="S435" s="91"/>
      <c r="T435" s="48">
        <f t="shared" si="88"/>
        <v>2300000</v>
      </c>
      <c r="U435" s="39">
        <v>0</v>
      </c>
      <c r="V435" s="39">
        <v>0</v>
      </c>
      <c r="W435" s="39">
        <v>0</v>
      </c>
      <c r="X435" s="39">
        <v>0</v>
      </c>
      <c r="Y435" s="39">
        <v>300000</v>
      </c>
      <c r="Z435" s="39">
        <v>400000</v>
      </c>
      <c r="AA435" s="39">
        <v>200000</v>
      </c>
      <c r="AB435" s="39">
        <v>200000</v>
      </c>
      <c r="AC435" s="39">
        <v>400000</v>
      </c>
      <c r="AD435" s="39">
        <v>300000</v>
      </c>
      <c r="AE435" s="39">
        <v>400000</v>
      </c>
      <c r="AF435" s="39">
        <v>400000</v>
      </c>
      <c r="AG435" s="39"/>
      <c r="AH435" s="39">
        <v>0</v>
      </c>
      <c r="AI435" s="39"/>
      <c r="AJ435" s="39">
        <v>0</v>
      </c>
      <c r="AK435" s="39">
        <v>0</v>
      </c>
      <c r="AL435" s="39"/>
      <c r="AM435" s="39">
        <v>0</v>
      </c>
      <c r="AN435" s="39"/>
      <c r="AO435" s="39"/>
      <c r="AP435" s="39"/>
      <c r="AQ435" s="39"/>
      <c r="AR435" s="39"/>
      <c r="AS435" s="30" t="s">
        <v>572</v>
      </c>
      <c r="AT435" s="30" t="s">
        <v>80</v>
      </c>
      <c r="AU435" s="30" t="s">
        <v>573</v>
      </c>
      <c r="AV435" s="30" t="s">
        <v>82</v>
      </c>
      <c r="AW435" s="30" t="s">
        <v>936</v>
      </c>
      <c r="AX435" s="30" t="s">
        <v>643</v>
      </c>
      <c r="AY435" s="30" t="s">
        <v>643</v>
      </c>
      <c r="AZ435" s="30"/>
      <c r="BA435" s="30"/>
      <c r="BB435" s="30"/>
      <c r="BC435" s="58"/>
      <c r="BD435" s="30"/>
      <c r="BE435" s="55"/>
      <c r="BF435" s="55"/>
      <c r="BG435" s="55"/>
      <c r="BH435" s="55"/>
      <c r="BI435" s="55"/>
      <c r="BJ435" s="59"/>
      <c r="BK435" s="39"/>
      <c r="BL435" s="63">
        <f t="shared" si="78"/>
        <v>42000</v>
      </c>
      <c r="BM435" s="63">
        <f t="shared" si="79"/>
        <v>56000</v>
      </c>
      <c r="BN435" s="63">
        <f t="shared" si="80"/>
        <v>28000</v>
      </c>
      <c r="BO435" s="63">
        <f t="shared" si="81"/>
        <v>28000</v>
      </c>
      <c r="BP435" s="63">
        <f t="shared" si="82"/>
        <v>56000</v>
      </c>
      <c r="BQ435" s="63">
        <f t="shared" si="83"/>
        <v>42000</v>
      </c>
      <c r="BR435" s="63">
        <f t="shared" si="84"/>
        <v>56000</v>
      </c>
      <c r="BS435" s="63">
        <f t="shared" si="85"/>
        <v>56000</v>
      </c>
    </row>
    <row r="436" spans="1:71">
      <c r="A436" s="28">
        <f t="shared" si="86"/>
        <v>435</v>
      </c>
      <c r="B436" s="29" t="s">
        <v>1279</v>
      </c>
      <c r="C436" s="30" t="s">
        <v>72</v>
      </c>
      <c r="D436" s="30" t="s">
        <v>1226</v>
      </c>
      <c r="E436" s="30" t="s">
        <v>1217</v>
      </c>
      <c r="F436" s="30"/>
      <c r="G436" s="30" t="s">
        <v>223</v>
      </c>
      <c r="H436" s="35" t="s">
        <v>224</v>
      </c>
      <c r="I436" s="30" t="s">
        <v>1280</v>
      </c>
      <c r="J436" s="30"/>
      <c r="K436" s="30" t="s">
        <v>1255</v>
      </c>
      <c r="L436" s="39">
        <v>2800000</v>
      </c>
      <c r="M436" s="30" t="s">
        <v>79</v>
      </c>
      <c r="N436" s="31"/>
      <c r="O436" s="30" t="s">
        <v>620</v>
      </c>
      <c r="P436" s="42"/>
      <c r="Q436" s="42">
        <v>0.14</v>
      </c>
      <c r="R436" s="47">
        <f t="shared" si="87"/>
        <v>252000</v>
      </c>
      <c r="S436" s="91"/>
      <c r="T436" s="48">
        <f t="shared" si="88"/>
        <v>1800000</v>
      </c>
      <c r="U436" s="39">
        <v>0</v>
      </c>
      <c r="V436" s="39">
        <v>600000</v>
      </c>
      <c r="W436" s="39">
        <v>0</v>
      </c>
      <c r="X436" s="39">
        <v>0</v>
      </c>
      <c r="Y436" s="39">
        <v>600000</v>
      </c>
      <c r="Z436" s="39">
        <v>0</v>
      </c>
      <c r="AA436" s="39">
        <v>600000</v>
      </c>
      <c r="AB436" s="39">
        <v>0</v>
      </c>
      <c r="AC436" s="39">
        <v>600000</v>
      </c>
      <c r="AD436" s="39">
        <v>0</v>
      </c>
      <c r="AE436" s="39">
        <v>0</v>
      </c>
      <c r="AF436" s="39">
        <v>600000</v>
      </c>
      <c r="AG436" s="39">
        <v>0</v>
      </c>
      <c r="AH436" s="39"/>
      <c r="AI436" s="39"/>
      <c r="AJ436" s="39">
        <v>0</v>
      </c>
      <c r="AK436" s="39">
        <v>0</v>
      </c>
      <c r="AL436" s="39"/>
      <c r="AM436" s="39">
        <v>0</v>
      </c>
      <c r="AN436" s="39"/>
      <c r="AO436" s="39"/>
      <c r="AP436" s="39"/>
      <c r="AQ436" s="39"/>
      <c r="AR436" s="39"/>
      <c r="AS436" s="30" t="s">
        <v>1217</v>
      </c>
      <c r="AT436" s="30" t="s">
        <v>80</v>
      </c>
      <c r="AU436" s="30" t="s">
        <v>81</v>
      </c>
      <c r="AV436" s="30" t="s">
        <v>106</v>
      </c>
      <c r="AW436" s="30" t="s">
        <v>107</v>
      </c>
      <c r="AX436" s="30" t="s">
        <v>1223</v>
      </c>
      <c r="AY436" s="30" t="s">
        <v>646</v>
      </c>
      <c r="AZ436" s="30"/>
      <c r="BA436" s="30"/>
      <c r="BB436" s="30"/>
      <c r="BC436" s="58"/>
      <c r="BD436" s="30"/>
      <c r="BE436" s="55"/>
      <c r="BF436" s="55"/>
      <c r="BG436" s="55"/>
      <c r="BH436" s="55"/>
      <c r="BI436" s="55"/>
      <c r="BJ436" s="59"/>
      <c r="BK436" s="39"/>
      <c r="BL436" s="63">
        <f t="shared" si="78"/>
        <v>84000</v>
      </c>
      <c r="BM436" s="63">
        <f t="shared" si="79"/>
        <v>0</v>
      </c>
      <c r="BN436" s="63">
        <f t="shared" si="80"/>
        <v>84000</v>
      </c>
      <c r="BO436" s="63">
        <f t="shared" si="81"/>
        <v>0</v>
      </c>
      <c r="BP436" s="63">
        <f t="shared" si="82"/>
        <v>84000</v>
      </c>
      <c r="BQ436" s="63">
        <f t="shared" si="83"/>
        <v>0</v>
      </c>
      <c r="BR436" s="63">
        <f t="shared" si="84"/>
        <v>0</v>
      </c>
      <c r="BS436" s="63">
        <f t="shared" si="85"/>
        <v>84000</v>
      </c>
    </row>
    <row r="437" spans="1:71">
      <c r="A437" s="28">
        <f t="shared" si="86"/>
        <v>436</v>
      </c>
      <c r="B437" s="29" t="s">
        <v>1281</v>
      </c>
      <c r="C437" s="30" t="s">
        <v>72</v>
      </c>
      <c r="D437" s="30" t="s">
        <v>1226</v>
      </c>
      <c r="E437" s="30" t="s">
        <v>1217</v>
      </c>
      <c r="F437" s="30"/>
      <c r="G437" s="30" t="s">
        <v>336</v>
      </c>
      <c r="H437" s="35" t="s">
        <v>337</v>
      </c>
      <c r="I437" s="30"/>
      <c r="J437" s="30"/>
      <c r="K437" s="30" t="s">
        <v>1086</v>
      </c>
      <c r="L437" s="39"/>
      <c r="M437" s="30" t="s">
        <v>57</v>
      </c>
      <c r="N437" s="31"/>
      <c r="O437" s="30"/>
      <c r="P437" s="42"/>
      <c r="Q437" s="42">
        <v>0.16</v>
      </c>
      <c r="R437" s="47">
        <f t="shared" si="87"/>
        <v>268800</v>
      </c>
      <c r="S437" s="91"/>
      <c r="T437" s="48">
        <f t="shared" si="88"/>
        <v>1680000</v>
      </c>
      <c r="U437" s="39">
        <v>0</v>
      </c>
      <c r="V437" s="39">
        <v>0</v>
      </c>
      <c r="W437" s="39">
        <v>0</v>
      </c>
      <c r="X437" s="39">
        <v>0</v>
      </c>
      <c r="Y437" s="39">
        <v>240000</v>
      </c>
      <c r="Z437" s="39">
        <v>240000</v>
      </c>
      <c r="AA437" s="39">
        <v>240000</v>
      </c>
      <c r="AB437" s="39">
        <v>240000</v>
      </c>
      <c r="AC437" s="39">
        <v>240000</v>
      </c>
      <c r="AD437" s="39">
        <v>240000</v>
      </c>
      <c r="AE437" s="39">
        <v>240000</v>
      </c>
      <c r="AF437" s="39">
        <v>240000</v>
      </c>
      <c r="AG437" s="39">
        <v>0</v>
      </c>
      <c r="AH437" s="39">
        <v>0</v>
      </c>
      <c r="AI437" s="39">
        <v>0</v>
      </c>
      <c r="AJ437" s="39">
        <v>0</v>
      </c>
      <c r="AK437" s="39">
        <v>0</v>
      </c>
      <c r="AL437" s="39">
        <v>0</v>
      </c>
      <c r="AM437" s="39">
        <v>0</v>
      </c>
      <c r="AN437" s="39"/>
      <c r="AO437" s="39"/>
      <c r="AP437" s="39"/>
      <c r="AQ437" s="39"/>
      <c r="AR437" s="39"/>
      <c r="AS437" s="30" t="s">
        <v>93</v>
      </c>
      <c r="AT437" s="30" t="s">
        <v>80</v>
      </c>
      <c r="AU437" s="30" t="s">
        <v>81</v>
      </c>
      <c r="AV437" s="30" t="s">
        <v>106</v>
      </c>
      <c r="AW437" s="30" t="s">
        <v>638</v>
      </c>
      <c r="AX437" s="30" t="s">
        <v>127</v>
      </c>
      <c r="AY437" s="30" t="s">
        <v>127</v>
      </c>
      <c r="AZ437" s="30"/>
      <c r="BA437" s="30"/>
      <c r="BB437" s="30"/>
      <c r="BC437" s="58"/>
      <c r="BD437" s="30"/>
      <c r="BE437" s="55"/>
      <c r="BF437" s="55"/>
      <c r="BG437" s="55"/>
      <c r="BH437" s="55"/>
      <c r="BI437" s="55"/>
      <c r="BJ437" s="59"/>
      <c r="BK437" s="39"/>
      <c r="BL437" s="63">
        <f t="shared" si="78"/>
        <v>38400</v>
      </c>
      <c r="BM437" s="63">
        <f t="shared" si="79"/>
        <v>38400</v>
      </c>
      <c r="BN437" s="63">
        <f t="shared" si="80"/>
        <v>38400</v>
      </c>
      <c r="BO437" s="63">
        <f t="shared" si="81"/>
        <v>38400</v>
      </c>
      <c r="BP437" s="63">
        <f t="shared" si="82"/>
        <v>38400</v>
      </c>
      <c r="BQ437" s="63">
        <f t="shared" si="83"/>
        <v>38400</v>
      </c>
      <c r="BR437" s="63">
        <f t="shared" si="84"/>
        <v>38400</v>
      </c>
      <c r="BS437" s="63">
        <f t="shared" si="85"/>
        <v>38400</v>
      </c>
    </row>
    <row r="438" spans="1:71">
      <c r="A438" s="28">
        <f t="shared" si="86"/>
        <v>437</v>
      </c>
      <c r="B438" s="29" t="s">
        <v>1282</v>
      </c>
      <c r="C438" s="30" t="s">
        <v>72</v>
      </c>
      <c r="D438" s="30" t="s">
        <v>1246</v>
      </c>
      <c r="E438" s="30" t="s">
        <v>1217</v>
      </c>
      <c r="F438" s="30"/>
      <c r="G438" s="30" t="s">
        <v>218</v>
      </c>
      <c r="H438" s="35" t="s">
        <v>219</v>
      </c>
      <c r="I438" s="30"/>
      <c r="J438" s="30"/>
      <c r="K438" s="30" t="s">
        <v>643</v>
      </c>
      <c r="L438" s="39"/>
      <c r="M438" s="30" t="s">
        <v>79</v>
      </c>
      <c r="N438" s="31"/>
      <c r="O438" s="30" t="s">
        <v>620</v>
      </c>
      <c r="P438" s="42"/>
      <c r="Q438" s="42">
        <v>0.15</v>
      </c>
      <c r="R438" s="47">
        <f t="shared" si="87"/>
        <v>420000</v>
      </c>
      <c r="S438" s="91"/>
      <c r="T438" s="48">
        <f t="shared" si="88"/>
        <v>2800000</v>
      </c>
      <c r="U438" s="39">
        <v>300000</v>
      </c>
      <c r="V438" s="39">
        <v>400000</v>
      </c>
      <c r="W438" s="39">
        <v>400000</v>
      </c>
      <c r="X438" s="39">
        <v>400000</v>
      </c>
      <c r="Y438" s="39">
        <v>400000</v>
      </c>
      <c r="Z438" s="39">
        <v>400000</v>
      </c>
      <c r="AA438" s="39">
        <v>400000</v>
      </c>
      <c r="AB438" s="39">
        <v>400000</v>
      </c>
      <c r="AC438" s="39">
        <v>400000</v>
      </c>
      <c r="AD438" s="39">
        <v>400000</v>
      </c>
      <c r="AE438" s="39">
        <v>400000</v>
      </c>
      <c r="AF438" s="39">
        <v>400000</v>
      </c>
      <c r="AG438" s="39"/>
      <c r="AH438" s="39">
        <v>0</v>
      </c>
      <c r="AI438" s="39">
        <v>0</v>
      </c>
      <c r="AJ438" s="39">
        <v>0</v>
      </c>
      <c r="AK438" s="39">
        <v>0</v>
      </c>
      <c r="AL438" s="39">
        <v>0</v>
      </c>
      <c r="AM438" s="39">
        <v>0</v>
      </c>
      <c r="AN438" s="39"/>
      <c r="AO438" s="39"/>
      <c r="AP438" s="39"/>
      <c r="AQ438" s="39"/>
      <c r="AR438" s="39"/>
      <c r="AS438" s="30" t="s">
        <v>1217</v>
      </c>
      <c r="AT438" s="30" t="s">
        <v>80</v>
      </c>
      <c r="AU438" s="30" t="s">
        <v>81</v>
      </c>
      <c r="AV438" s="30" t="s">
        <v>106</v>
      </c>
      <c r="AW438" s="30" t="s">
        <v>107</v>
      </c>
      <c r="AX438" s="30" t="s">
        <v>645</v>
      </c>
      <c r="AY438" s="30" t="s">
        <v>1283</v>
      </c>
      <c r="AZ438" s="30"/>
      <c r="BA438" s="30"/>
      <c r="BB438" s="30"/>
      <c r="BC438" s="58"/>
      <c r="BD438" s="30"/>
      <c r="BE438" s="55"/>
      <c r="BF438" s="55"/>
      <c r="BG438" s="55"/>
      <c r="BH438" s="55"/>
      <c r="BI438" s="55"/>
      <c r="BJ438" s="59"/>
      <c r="BK438" s="39"/>
      <c r="BL438" s="63">
        <f t="shared" si="78"/>
        <v>60000</v>
      </c>
      <c r="BM438" s="63">
        <f t="shared" si="79"/>
        <v>60000</v>
      </c>
      <c r="BN438" s="63">
        <f t="shared" si="80"/>
        <v>60000</v>
      </c>
      <c r="BO438" s="63">
        <f t="shared" si="81"/>
        <v>60000</v>
      </c>
      <c r="BP438" s="63">
        <f t="shared" si="82"/>
        <v>60000</v>
      </c>
      <c r="BQ438" s="63">
        <f t="shared" si="83"/>
        <v>60000</v>
      </c>
      <c r="BR438" s="63">
        <f t="shared" si="84"/>
        <v>60000</v>
      </c>
      <c r="BS438" s="63">
        <f t="shared" si="85"/>
        <v>60000</v>
      </c>
    </row>
    <row r="439" spans="1:71">
      <c r="A439" s="28">
        <f t="shared" si="86"/>
        <v>438</v>
      </c>
      <c r="B439" s="29" t="s">
        <v>1284</v>
      </c>
      <c r="C439" s="30" t="s">
        <v>72</v>
      </c>
      <c r="D439" s="30" t="s">
        <v>1226</v>
      </c>
      <c r="E439" s="30" t="s">
        <v>1217</v>
      </c>
      <c r="F439" s="30"/>
      <c r="G439" s="30" t="s">
        <v>509</v>
      </c>
      <c r="H439" s="35" t="s">
        <v>509</v>
      </c>
      <c r="I439" s="30"/>
      <c r="J439" s="30"/>
      <c r="K439" s="30" t="s">
        <v>1240</v>
      </c>
      <c r="L439" s="39">
        <v>1000000</v>
      </c>
      <c r="M439" s="30" t="s">
        <v>57</v>
      </c>
      <c r="N439" s="31"/>
      <c r="O439" s="30"/>
      <c r="P439" s="42"/>
      <c r="Q439" s="42">
        <v>0.55</v>
      </c>
      <c r="R439" s="47">
        <f t="shared" si="87"/>
        <v>140800</v>
      </c>
      <c r="S439" s="91"/>
      <c r="T439" s="48">
        <f t="shared" si="88"/>
        <v>256000</v>
      </c>
      <c r="U439" s="39"/>
      <c r="V439" s="39">
        <v>3000</v>
      </c>
      <c r="W439" s="39">
        <v>3000</v>
      </c>
      <c r="X439" s="39">
        <v>10000</v>
      </c>
      <c r="Y439" s="39">
        <v>10000</v>
      </c>
      <c r="Z439" s="39">
        <v>12000</v>
      </c>
      <c r="AA439" s="39">
        <v>12000</v>
      </c>
      <c r="AB439" s="39">
        <v>12000</v>
      </c>
      <c r="AC439" s="39">
        <v>20000</v>
      </c>
      <c r="AD439" s="39">
        <v>20000</v>
      </c>
      <c r="AE439" s="39">
        <v>60000</v>
      </c>
      <c r="AF439" s="39">
        <v>120000</v>
      </c>
      <c r="AG439" s="39"/>
      <c r="AH439" s="39"/>
      <c r="AI439" s="39"/>
      <c r="AJ439" s="39"/>
      <c r="AK439" s="39"/>
      <c r="AL439" s="39"/>
      <c r="AM439" s="39"/>
      <c r="AN439" s="39"/>
      <c r="AO439" s="39"/>
      <c r="AP439" s="39"/>
      <c r="AQ439" s="39"/>
      <c r="AR439" s="39"/>
      <c r="AS439" s="30" t="s">
        <v>93</v>
      </c>
      <c r="AT439" s="30" t="s">
        <v>80</v>
      </c>
      <c r="AU439" s="30" t="s">
        <v>573</v>
      </c>
      <c r="AV439" s="30" t="s">
        <v>1285</v>
      </c>
      <c r="AW439" s="30" t="s">
        <v>1286</v>
      </c>
      <c r="AX439" s="30" t="s">
        <v>1287</v>
      </c>
      <c r="AY439" s="30" t="s">
        <v>1288</v>
      </c>
      <c r="AZ439" s="30"/>
      <c r="BA439" s="30"/>
      <c r="BB439" s="30"/>
      <c r="BC439" s="58"/>
      <c r="BD439" s="30"/>
      <c r="BE439" s="55"/>
      <c r="BF439" s="55"/>
      <c r="BG439" s="55"/>
      <c r="BH439" s="55"/>
      <c r="BI439" s="55"/>
      <c r="BJ439" s="59"/>
      <c r="BK439" s="39"/>
      <c r="BL439" s="63">
        <f t="shared" si="78"/>
        <v>5500</v>
      </c>
      <c r="BM439" s="63">
        <f t="shared" si="79"/>
        <v>6600</v>
      </c>
      <c r="BN439" s="63">
        <f t="shared" si="80"/>
        <v>6600</v>
      </c>
      <c r="BO439" s="63">
        <f t="shared" si="81"/>
        <v>6600</v>
      </c>
      <c r="BP439" s="63">
        <f t="shared" si="82"/>
        <v>11000</v>
      </c>
      <c r="BQ439" s="63">
        <f t="shared" si="83"/>
        <v>11000</v>
      </c>
      <c r="BR439" s="63">
        <f t="shared" si="84"/>
        <v>33000</v>
      </c>
      <c r="BS439" s="63">
        <f t="shared" si="85"/>
        <v>66000</v>
      </c>
    </row>
    <row r="440" spans="1:71">
      <c r="A440" s="28">
        <f t="shared" si="86"/>
        <v>439</v>
      </c>
      <c r="B440" s="29" t="s">
        <v>1289</v>
      </c>
      <c r="C440" s="30" t="s">
        <v>72</v>
      </c>
      <c r="D440" s="30" t="s">
        <v>1226</v>
      </c>
      <c r="E440" s="30" t="s">
        <v>1217</v>
      </c>
      <c r="F440" s="30"/>
      <c r="G440" s="30" t="s">
        <v>509</v>
      </c>
      <c r="H440" s="35" t="s">
        <v>509</v>
      </c>
      <c r="I440" s="30"/>
      <c r="J440" s="30"/>
      <c r="K440" s="30" t="s">
        <v>1255</v>
      </c>
      <c r="L440" s="39">
        <v>1000000</v>
      </c>
      <c r="M440" s="30" t="s">
        <v>56</v>
      </c>
      <c r="N440" s="31"/>
      <c r="O440" s="30"/>
      <c r="P440" s="42"/>
      <c r="Q440" s="42">
        <v>0.53</v>
      </c>
      <c r="R440" s="47">
        <f t="shared" si="87"/>
        <v>0</v>
      </c>
      <c r="S440" s="91"/>
      <c r="T440" s="48">
        <f t="shared" si="88"/>
        <v>0</v>
      </c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  <c r="AP440" s="39"/>
      <c r="AQ440" s="39"/>
      <c r="AR440" s="39"/>
      <c r="AS440" s="30" t="s">
        <v>93</v>
      </c>
      <c r="AT440" s="30" t="s">
        <v>80</v>
      </c>
      <c r="AU440" s="30" t="s">
        <v>573</v>
      </c>
      <c r="AV440" s="30" t="s">
        <v>106</v>
      </c>
      <c r="AW440" s="30" t="s">
        <v>140</v>
      </c>
      <c r="AX440" s="30" t="s">
        <v>645</v>
      </c>
      <c r="AY440" s="30" t="s">
        <v>1283</v>
      </c>
      <c r="AZ440" s="30"/>
      <c r="BA440" s="30"/>
      <c r="BB440" s="30"/>
      <c r="BC440" s="58"/>
      <c r="BD440" s="30"/>
      <c r="BE440" s="55"/>
      <c r="BF440" s="55"/>
      <c r="BG440" s="55"/>
      <c r="BH440" s="55"/>
      <c r="BI440" s="55"/>
      <c r="BJ440" s="59"/>
      <c r="BK440" s="39"/>
      <c r="BL440" s="63">
        <f t="shared" si="78"/>
        <v>0</v>
      </c>
      <c r="BM440" s="63">
        <f t="shared" si="79"/>
        <v>0</v>
      </c>
      <c r="BN440" s="63">
        <f t="shared" si="80"/>
        <v>0</v>
      </c>
      <c r="BO440" s="63">
        <f t="shared" si="81"/>
        <v>0</v>
      </c>
      <c r="BP440" s="63">
        <f t="shared" si="82"/>
        <v>0</v>
      </c>
      <c r="BQ440" s="63">
        <f t="shared" si="83"/>
        <v>0</v>
      </c>
      <c r="BR440" s="63">
        <f t="shared" si="84"/>
        <v>0</v>
      </c>
      <c r="BS440" s="63">
        <f t="shared" si="85"/>
        <v>0</v>
      </c>
    </row>
    <row r="441" spans="1:71">
      <c r="A441" s="28">
        <f t="shared" si="86"/>
        <v>440</v>
      </c>
      <c r="B441" s="29" t="s">
        <v>1290</v>
      </c>
      <c r="C441" s="30" t="s">
        <v>72</v>
      </c>
      <c r="D441" s="30" t="s">
        <v>1226</v>
      </c>
      <c r="E441" s="30" t="s">
        <v>1217</v>
      </c>
      <c r="F441" s="30"/>
      <c r="G441" s="30" t="s">
        <v>391</v>
      </c>
      <c r="H441" s="35" t="s">
        <v>392</v>
      </c>
      <c r="I441" s="30"/>
      <c r="J441" s="30"/>
      <c r="K441" s="30" t="s">
        <v>1255</v>
      </c>
      <c r="L441" s="39">
        <v>150000</v>
      </c>
      <c r="M441" s="30" t="s">
        <v>79</v>
      </c>
      <c r="N441" s="31"/>
      <c r="O441" s="30"/>
      <c r="P441" s="42"/>
      <c r="Q441" s="42">
        <v>2.55</v>
      </c>
      <c r="R441" s="47">
        <f t="shared" si="87"/>
        <v>204000</v>
      </c>
      <c r="S441" s="91"/>
      <c r="T441" s="48">
        <f t="shared" si="88"/>
        <v>80000</v>
      </c>
      <c r="U441" s="39">
        <v>5000</v>
      </c>
      <c r="V441" s="39">
        <v>5000</v>
      </c>
      <c r="W441" s="39">
        <v>10000</v>
      </c>
      <c r="X441" s="39">
        <v>10000</v>
      </c>
      <c r="Y441" s="39">
        <v>10000</v>
      </c>
      <c r="Z441" s="39">
        <v>10000</v>
      </c>
      <c r="AA441" s="39">
        <v>10000</v>
      </c>
      <c r="AB441" s="39">
        <v>10000</v>
      </c>
      <c r="AC441" s="39">
        <v>10000</v>
      </c>
      <c r="AD441" s="39">
        <v>10000</v>
      </c>
      <c r="AE441" s="39">
        <v>10000</v>
      </c>
      <c r="AF441" s="39">
        <v>20000</v>
      </c>
      <c r="AG441" s="39">
        <v>0</v>
      </c>
      <c r="AH441" s="39">
        <v>0</v>
      </c>
      <c r="AI441" s="39">
        <v>0</v>
      </c>
      <c r="AJ441" s="39">
        <v>0</v>
      </c>
      <c r="AK441" s="39">
        <v>0</v>
      </c>
      <c r="AL441" s="39">
        <v>0</v>
      </c>
      <c r="AM441" s="39">
        <v>0</v>
      </c>
      <c r="AN441" s="39"/>
      <c r="AO441" s="39"/>
      <c r="AP441" s="39"/>
      <c r="AQ441" s="39"/>
      <c r="AR441" s="39"/>
      <c r="AS441" s="30" t="s">
        <v>1217</v>
      </c>
      <c r="AT441" s="30" t="s">
        <v>80</v>
      </c>
      <c r="AU441" s="30" t="s">
        <v>545</v>
      </c>
      <c r="AV441" s="30" t="s">
        <v>82</v>
      </c>
      <c r="AW441" s="30" t="s">
        <v>945</v>
      </c>
      <c r="AX441" s="30" t="s">
        <v>1291</v>
      </c>
      <c r="AY441" s="30" t="s">
        <v>1292</v>
      </c>
      <c r="AZ441" s="30"/>
      <c r="BA441" s="30"/>
      <c r="BB441" s="30"/>
      <c r="BC441" s="58"/>
      <c r="BD441" s="30"/>
      <c r="BE441" s="55"/>
      <c r="BF441" s="55"/>
      <c r="BG441" s="55"/>
      <c r="BH441" s="55"/>
      <c r="BI441" s="55"/>
      <c r="BJ441" s="59"/>
      <c r="BK441" s="39"/>
      <c r="BL441" s="63">
        <f t="shared" si="78"/>
        <v>25500</v>
      </c>
      <c r="BM441" s="63">
        <f t="shared" si="79"/>
        <v>25500</v>
      </c>
      <c r="BN441" s="63">
        <f t="shared" si="80"/>
        <v>25500</v>
      </c>
      <c r="BO441" s="63">
        <f t="shared" si="81"/>
        <v>25500</v>
      </c>
      <c r="BP441" s="63">
        <f t="shared" si="82"/>
        <v>25500</v>
      </c>
      <c r="BQ441" s="63">
        <f t="shared" si="83"/>
        <v>25500</v>
      </c>
      <c r="BR441" s="63">
        <f t="shared" si="84"/>
        <v>25500</v>
      </c>
      <c r="BS441" s="63">
        <f t="shared" si="85"/>
        <v>51000</v>
      </c>
    </row>
    <row r="442" spans="1:71">
      <c r="A442" s="28">
        <f t="shared" si="86"/>
        <v>441</v>
      </c>
      <c r="B442" s="29" t="s">
        <v>1293</v>
      </c>
      <c r="C442" s="30" t="s">
        <v>72</v>
      </c>
      <c r="D442" s="30" t="s">
        <v>1226</v>
      </c>
      <c r="E442" s="30" t="s">
        <v>1217</v>
      </c>
      <c r="F442" s="30"/>
      <c r="G442" s="30" t="s">
        <v>195</v>
      </c>
      <c r="H442" s="68" t="s">
        <v>196</v>
      </c>
      <c r="I442" s="30"/>
      <c r="J442" s="30"/>
      <c r="K442" s="30" t="s">
        <v>1294</v>
      </c>
      <c r="L442" s="39"/>
      <c r="M442" s="30" t="s">
        <v>57</v>
      </c>
      <c r="N442" s="31"/>
      <c r="O442" s="30"/>
      <c r="P442" s="42"/>
      <c r="Q442" s="42"/>
      <c r="R442" s="47">
        <f t="shared" si="87"/>
        <v>0</v>
      </c>
      <c r="S442" s="91"/>
      <c r="T442" s="48">
        <f t="shared" si="88"/>
        <v>0</v>
      </c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  <c r="AN442" s="39"/>
      <c r="AO442" s="39"/>
      <c r="AP442" s="39"/>
      <c r="AQ442" s="39"/>
      <c r="AR442" s="39"/>
      <c r="AS442" s="30" t="s">
        <v>1217</v>
      </c>
      <c r="AT442" s="30" t="s">
        <v>80</v>
      </c>
      <c r="AU442" s="30" t="s">
        <v>81</v>
      </c>
      <c r="AV442" s="30" t="s">
        <v>106</v>
      </c>
      <c r="AW442" s="30" t="s">
        <v>661</v>
      </c>
      <c r="AX442" s="30" t="s">
        <v>1295</v>
      </c>
      <c r="AY442" s="30" t="s">
        <v>1296</v>
      </c>
      <c r="AZ442" s="30"/>
      <c r="BA442" s="30"/>
      <c r="BB442" s="30"/>
      <c r="BC442" s="58"/>
      <c r="BD442" s="30"/>
      <c r="BE442" s="55"/>
      <c r="BF442" s="55"/>
      <c r="BG442" s="55"/>
      <c r="BH442" s="55"/>
      <c r="BI442" s="55"/>
      <c r="BJ442" s="59"/>
      <c r="BK442" s="39"/>
      <c r="BL442" s="63">
        <f t="shared" si="78"/>
        <v>0</v>
      </c>
      <c r="BM442" s="63">
        <f t="shared" si="79"/>
        <v>0</v>
      </c>
      <c r="BN442" s="63">
        <f t="shared" si="80"/>
        <v>0</v>
      </c>
      <c r="BO442" s="63">
        <f t="shared" si="81"/>
        <v>0</v>
      </c>
      <c r="BP442" s="63">
        <f t="shared" si="82"/>
        <v>0</v>
      </c>
      <c r="BQ442" s="63">
        <f t="shared" si="83"/>
        <v>0</v>
      </c>
      <c r="BR442" s="63">
        <f t="shared" si="84"/>
        <v>0</v>
      </c>
      <c r="BS442" s="63">
        <f t="shared" si="85"/>
        <v>0</v>
      </c>
    </row>
    <row r="443" spans="1:71">
      <c r="A443" s="28">
        <f t="shared" si="86"/>
        <v>442</v>
      </c>
      <c r="B443" s="29" t="s">
        <v>1297</v>
      </c>
      <c r="C443" s="30" t="s">
        <v>72</v>
      </c>
      <c r="D443" s="30" t="s">
        <v>1246</v>
      </c>
      <c r="E443" s="30" t="s">
        <v>1217</v>
      </c>
      <c r="F443" s="30"/>
      <c r="G443" s="30" t="s">
        <v>210</v>
      </c>
      <c r="H443" s="35" t="s">
        <v>215</v>
      </c>
      <c r="I443" s="30"/>
      <c r="J443" s="30"/>
      <c r="K443" s="30" t="s">
        <v>1291</v>
      </c>
      <c r="L443" s="39">
        <v>1200000</v>
      </c>
      <c r="M443" s="30" t="s">
        <v>79</v>
      </c>
      <c r="N443" s="31"/>
      <c r="O443" s="30" t="s">
        <v>997</v>
      </c>
      <c r="P443" s="42"/>
      <c r="Q443" s="42">
        <v>0.15</v>
      </c>
      <c r="R443" s="47">
        <f t="shared" si="87"/>
        <v>126000</v>
      </c>
      <c r="S443" s="91"/>
      <c r="T443" s="48">
        <f t="shared" si="88"/>
        <v>840000</v>
      </c>
      <c r="U443" s="39">
        <v>120000</v>
      </c>
      <c r="V443" s="39">
        <v>120000</v>
      </c>
      <c r="W443" s="39">
        <v>0</v>
      </c>
      <c r="X443" s="39">
        <v>120000</v>
      </c>
      <c r="Y443" s="39">
        <v>120000</v>
      </c>
      <c r="Z443" s="39">
        <v>120000</v>
      </c>
      <c r="AA443" s="39">
        <v>120000</v>
      </c>
      <c r="AB443" s="39">
        <v>120000</v>
      </c>
      <c r="AC443" s="39">
        <v>120000</v>
      </c>
      <c r="AD443" s="39">
        <v>120000</v>
      </c>
      <c r="AE443" s="39">
        <v>120000</v>
      </c>
      <c r="AF443" s="39">
        <v>120000</v>
      </c>
      <c r="AG443" s="39">
        <v>0</v>
      </c>
      <c r="AH443" s="39">
        <v>0</v>
      </c>
      <c r="AI443" s="39">
        <v>0</v>
      </c>
      <c r="AJ443" s="39">
        <v>0</v>
      </c>
      <c r="AK443" s="39">
        <v>0</v>
      </c>
      <c r="AL443" s="39">
        <v>0</v>
      </c>
      <c r="AM443" s="39">
        <v>0</v>
      </c>
      <c r="AN443" s="39"/>
      <c r="AO443" s="39"/>
      <c r="AP443" s="39"/>
      <c r="AQ443" s="39"/>
      <c r="AR443" s="39"/>
      <c r="AS443" s="30" t="s">
        <v>93</v>
      </c>
      <c r="AT443" s="30" t="s">
        <v>80</v>
      </c>
      <c r="AU443" s="30" t="s">
        <v>81</v>
      </c>
      <c r="AV443" s="30" t="s">
        <v>82</v>
      </c>
      <c r="AW443" s="30" t="s">
        <v>945</v>
      </c>
      <c r="AX443" s="30" t="s">
        <v>1291</v>
      </c>
      <c r="AY443" s="30" t="s">
        <v>1292</v>
      </c>
      <c r="AZ443" s="30"/>
      <c r="BA443" s="30"/>
      <c r="BB443" s="30"/>
      <c r="BC443" s="58"/>
      <c r="BD443" s="30"/>
      <c r="BE443" s="55"/>
      <c r="BF443" s="55"/>
      <c r="BG443" s="55"/>
      <c r="BH443" s="55"/>
      <c r="BI443" s="55"/>
      <c r="BJ443" s="59"/>
      <c r="BK443" s="39"/>
      <c r="BL443" s="63">
        <f t="shared" si="78"/>
        <v>18000</v>
      </c>
      <c r="BM443" s="63">
        <f t="shared" si="79"/>
        <v>18000</v>
      </c>
      <c r="BN443" s="63">
        <f t="shared" si="80"/>
        <v>18000</v>
      </c>
      <c r="BO443" s="63">
        <f t="shared" si="81"/>
        <v>18000</v>
      </c>
      <c r="BP443" s="63">
        <f t="shared" si="82"/>
        <v>18000</v>
      </c>
      <c r="BQ443" s="63">
        <f t="shared" si="83"/>
        <v>18000</v>
      </c>
      <c r="BR443" s="63">
        <f t="shared" si="84"/>
        <v>18000</v>
      </c>
      <c r="BS443" s="63">
        <f t="shared" si="85"/>
        <v>18000</v>
      </c>
    </row>
    <row r="444" spans="1:71">
      <c r="A444" s="28">
        <f t="shared" si="86"/>
        <v>443</v>
      </c>
      <c r="B444" s="29" t="s">
        <v>1273</v>
      </c>
      <c r="C444" s="30" t="s">
        <v>527</v>
      </c>
      <c r="D444" s="30" t="s">
        <v>1226</v>
      </c>
      <c r="E444" s="30" t="s">
        <v>1217</v>
      </c>
      <c r="F444" s="30"/>
      <c r="G444" s="30" t="s">
        <v>297</v>
      </c>
      <c r="H444" s="35" t="s">
        <v>298</v>
      </c>
      <c r="I444" s="30"/>
      <c r="J444" s="30"/>
      <c r="K444" s="30" t="s">
        <v>765</v>
      </c>
      <c r="L444" s="39">
        <v>50000</v>
      </c>
      <c r="M444" s="30" t="s">
        <v>114</v>
      </c>
      <c r="N444" s="31"/>
      <c r="O444" s="30"/>
      <c r="P444" s="42"/>
      <c r="Q444" s="42">
        <v>0.42</v>
      </c>
      <c r="R444" s="47">
        <f t="shared" si="87"/>
        <v>189000</v>
      </c>
      <c r="S444" s="91"/>
      <c r="T444" s="48">
        <f t="shared" si="88"/>
        <v>450000</v>
      </c>
      <c r="U444" s="39"/>
      <c r="V444" s="39">
        <v>9000</v>
      </c>
      <c r="W444" s="39">
        <v>12000</v>
      </c>
      <c r="X444" s="39"/>
      <c r="Y444" s="39">
        <v>9000</v>
      </c>
      <c r="Z444" s="39"/>
      <c r="AA444" s="39">
        <v>30000</v>
      </c>
      <c r="AB444" s="39">
        <v>0</v>
      </c>
      <c r="AC444" s="39">
        <v>90000</v>
      </c>
      <c r="AD444" s="39">
        <v>90000</v>
      </c>
      <c r="AE444" s="39">
        <v>120000</v>
      </c>
      <c r="AF444" s="39">
        <v>120000</v>
      </c>
      <c r="AG444" s="39">
        <v>0</v>
      </c>
      <c r="AH444" s="39">
        <v>0</v>
      </c>
      <c r="AI444" s="39">
        <v>0</v>
      </c>
      <c r="AJ444" s="39">
        <v>0</v>
      </c>
      <c r="AK444" s="39">
        <v>9000</v>
      </c>
      <c r="AL444" s="39">
        <v>0</v>
      </c>
      <c r="AM444" s="39">
        <v>0</v>
      </c>
      <c r="AN444" s="39"/>
      <c r="AO444" s="39"/>
      <c r="AP444" s="39"/>
      <c r="AQ444" s="39"/>
      <c r="AR444" s="39"/>
      <c r="AS444" s="30" t="s">
        <v>1217</v>
      </c>
      <c r="AT444" s="30" t="s">
        <v>80</v>
      </c>
      <c r="AU444" s="30" t="s">
        <v>81</v>
      </c>
      <c r="AV444" s="30" t="s">
        <v>117</v>
      </c>
      <c r="AW444" s="30" t="s">
        <v>143</v>
      </c>
      <c r="AX444" s="30" t="s">
        <v>144</v>
      </c>
      <c r="AY444" s="30" t="s">
        <v>765</v>
      </c>
      <c r="AZ444" s="30" t="s">
        <v>1187</v>
      </c>
      <c r="BA444" s="30"/>
      <c r="BB444" s="30"/>
      <c r="BC444" s="58"/>
      <c r="BD444" s="30"/>
      <c r="BE444" s="55"/>
      <c r="BF444" s="55"/>
      <c r="BG444" s="55"/>
      <c r="BH444" s="55"/>
      <c r="BI444" s="55"/>
      <c r="BJ444" s="59"/>
      <c r="BK444" s="39"/>
      <c r="BL444" s="63">
        <f t="shared" si="78"/>
        <v>3780</v>
      </c>
      <c r="BM444" s="63">
        <f t="shared" si="79"/>
        <v>0</v>
      </c>
      <c r="BN444" s="63">
        <f t="shared" si="80"/>
        <v>12600</v>
      </c>
      <c r="BO444" s="63">
        <f t="shared" si="81"/>
        <v>0</v>
      </c>
      <c r="BP444" s="63">
        <f t="shared" si="82"/>
        <v>37800</v>
      </c>
      <c r="BQ444" s="63">
        <f t="shared" si="83"/>
        <v>37800</v>
      </c>
      <c r="BR444" s="63">
        <f t="shared" si="84"/>
        <v>50400</v>
      </c>
      <c r="BS444" s="63">
        <f t="shared" si="85"/>
        <v>50400</v>
      </c>
    </row>
    <row r="445" spans="1:71">
      <c r="A445" s="28">
        <f t="shared" si="86"/>
        <v>444</v>
      </c>
      <c r="B445" s="29" t="s">
        <v>1298</v>
      </c>
      <c r="C445" s="30" t="s">
        <v>72</v>
      </c>
      <c r="D445" s="30" t="s">
        <v>1226</v>
      </c>
      <c r="E445" s="30" t="s">
        <v>1217</v>
      </c>
      <c r="F445" s="30"/>
      <c r="G445" s="30" t="s">
        <v>283</v>
      </c>
      <c r="H445" s="35" t="s">
        <v>284</v>
      </c>
      <c r="I445" s="30"/>
      <c r="J445" s="30"/>
      <c r="K445" s="30" t="s">
        <v>1222</v>
      </c>
      <c r="L445" s="39">
        <v>2000000</v>
      </c>
      <c r="M445" s="30" t="s">
        <v>79</v>
      </c>
      <c r="N445" s="31"/>
      <c r="O445" s="30"/>
      <c r="P445" s="42"/>
      <c r="Q445" s="42">
        <v>0.28</v>
      </c>
      <c r="R445" s="47">
        <f t="shared" si="87"/>
        <v>235200</v>
      </c>
      <c r="S445" s="91"/>
      <c r="T445" s="48">
        <f t="shared" si="88"/>
        <v>840000</v>
      </c>
      <c r="U445" s="39">
        <v>120000</v>
      </c>
      <c r="V445" s="39">
        <v>120000</v>
      </c>
      <c r="W445" s="39">
        <v>120000</v>
      </c>
      <c r="X445" s="39">
        <v>120000</v>
      </c>
      <c r="Y445" s="39">
        <v>120000</v>
      </c>
      <c r="Z445" s="39">
        <v>120000</v>
      </c>
      <c r="AA445" s="39">
        <v>120000</v>
      </c>
      <c r="AB445" s="39">
        <v>120000</v>
      </c>
      <c r="AC445" s="39">
        <v>120000</v>
      </c>
      <c r="AD445" s="39">
        <v>120000</v>
      </c>
      <c r="AE445" s="39">
        <v>120000</v>
      </c>
      <c r="AF445" s="39">
        <v>120000</v>
      </c>
      <c r="AG445" s="39">
        <v>0</v>
      </c>
      <c r="AH445" s="39">
        <v>0</v>
      </c>
      <c r="AI445" s="39">
        <v>0</v>
      </c>
      <c r="AJ445" s="39">
        <v>0</v>
      </c>
      <c r="AK445" s="39">
        <v>0</v>
      </c>
      <c r="AL445" s="39">
        <v>0</v>
      </c>
      <c r="AM445" s="39">
        <v>0</v>
      </c>
      <c r="AN445" s="39"/>
      <c r="AO445" s="39"/>
      <c r="AP445" s="39"/>
      <c r="AQ445" s="39"/>
      <c r="AR445" s="39"/>
      <c r="AS445" s="30" t="s">
        <v>1217</v>
      </c>
      <c r="AT445" s="30" t="s">
        <v>80</v>
      </c>
      <c r="AU445" s="30" t="s">
        <v>81</v>
      </c>
      <c r="AV445" s="30" t="s">
        <v>106</v>
      </c>
      <c r="AW445" s="30" t="s">
        <v>638</v>
      </c>
      <c r="AX445" s="30" t="s">
        <v>127</v>
      </c>
      <c r="AY445" s="30" t="s">
        <v>127</v>
      </c>
      <c r="AZ445" s="30"/>
      <c r="BA445" s="30"/>
      <c r="BB445" s="30"/>
      <c r="BC445" s="58"/>
      <c r="BD445" s="30"/>
      <c r="BE445" s="55"/>
      <c r="BF445" s="55"/>
      <c r="BG445" s="55"/>
      <c r="BH445" s="55"/>
      <c r="BI445" s="55"/>
      <c r="BJ445" s="59"/>
      <c r="BK445" s="39"/>
      <c r="BL445" s="63">
        <f t="shared" si="78"/>
        <v>33600</v>
      </c>
      <c r="BM445" s="63">
        <f t="shared" si="79"/>
        <v>33600</v>
      </c>
      <c r="BN445" s="63">
        <f t="shared" si="80"/>
        <v>33600</v>
      </c>
      <c r="BO445" s="63">
        <f t="shared" si="81"/>
        <v>33600</v>
      </c>
      <c r="BP445" s="63">
        <f t="shared" si="82"/>
        <v>33600</v>
      </c>
      <c r="BQ445" s="63">
        <f t="shared" si="83"/>
        <v>33600</v>
      </c>
      <c r="BR445" s="63">
        <f t="shared" si="84"/>
        <v>33600</v>
      </c>
      <c r="BS445" s="63">
        <f t="shared" si="85"/>
        <v>33600</v>
      </c>
    </row>
    <row r="446" spans="1:71">
      <c r="A446" s="28">
        <f t="shared" si="86"/>
        <v>445</v>
      </c>
      <c r="B446" s="29" t="s">
        <v>1299</v>
      </c>
      <c r="C446" s="30" t="s">
        <v>72</v>
      </c>
      <c r="D446" s="30" t="s">
        <v>1226</v>
      </c>
      <c r="E446" s="30" t="s">
        <v>1217</v>
      </c>
      <c r="F446" s="30"/>
      <c r="G446" s="30" t="s">
        <v>283</v>
      </c>
      <c r="H446" s="35" t="s">
        <v>284</v>
      </c>
      <c r="I446" s="30"/>
      <c r="J446" s="30"/>
      <c r="K446" s="30" t="s">
        <v>1222</v>
      </c>
      <c r="L446" s="39">
        <v>900000</v>
      </c>
      <c r="M446" s="30" t="s">
        <v>114</v>
      </c>
      <c r="N446" s="31"/>
      <c r="O446" s="30"/>
      <c r="P446" s="42"/>
      <c r="Q446" s="42">
        <v>0.28</v>
      </c>
      <c r="R446" s="47">
        <f t="shared" si="87"/>
        <v>58800</v>
      </c>
      <c r="S446" s="91"/>
      <c r="T446" s="48">
        <f t="shared" si="88"/>
        <v>210000</v>
      </c>
      <c r="U446" s="39">
        <v>12000</v>
      </c>
      <c r="V446" s="39"/>
      <c r="W446" s="39">
        <v>30000</v>
      </c>
      <c r="X446" s="39">
        <v>30000</v>
      </c>
      <c r="Y446" s="39">
        <v>30000</v>
      </c>
      <c r="Z446" s="39">
        <v>30000</v>
      </c>
      <c r="AA446" s="39">
        <v>30000</v>
      </c>
      <c r="AB446" s="39">
        <v>30000</v>
      </c>
      <c r="AC446" s="39">
        <v>30000</v>
      </c>
      <c r="AD446" s="39">
        <v>30000</v>
      </c>
      <c r="AE446" s="39">
        <v>30000</v>
      </c>
      <c r="AF446" s="39">
        <v>30000</v>
      </c>
      <c r="AG446" s="39"/>
      <c r="AH446" s="39"/>
      <c r="AI446" s="39"/>
      <c r="AJ446" s="39"/>
      <c r="AK446" s="39"/>
      <c r="AL446" s="39"/>
      <c r="AM446" s="39"/>
      <c r="AN446" s="39"/>
      <c r="AO446" s="39"/>
      <c r="AP446" s="39"/>
      <c r="AQ446" s="39"/>
      <c r="AR446" s="39"/>
      <c r="AS446" s="30" t="s">
        <v>1217</v>
      </c>
      <c r="AT446" s="30" t="s">
        <v>80</v>
      </c>
      <c r="AU446" s="30" t="s">
        <v>81</v>
      </c>
      <c r="AV446" s="30" t="s">
        <v>106</v>
      </c>
      <c r="AW446" s="30" t="s">
        <v>638</v>
      </c>
      <c r="AX446" s="30" t="s">
        <v>649</v>
      </c>
      <c r="AY446" s="30" t="s">
        <v>655</v>
      </c>
      <c r="AZ446" s="30"/>
      <c r="BA446" s="30"/>
      <c r="BB446" s="30"/>
      <c r="BC446" s="58"/>
      <c r="BD446" s="30"/>
      <c r="BE446" s="55"/>
      <c r="BF446" s="55"/>
      <c r="BG446" s="55"/>
      <c r="BH446" s="55"/>
      <c r="BI446" s="55"/>
      <c r="BJ446" s="59"/>
      <c r="BK446" s="39"/>
      <c r="BL446" s="63">
        <f t="shared" si="78"/>
        <v>8400</v>
      </c>
      <c r="BM446" s="63">
        <f t="shared" si="79"/>
        <v>8400</v>
      </c>
      <c r="BN446" s="63">
        <f t="shared" si="80"/>
        <v>8400</v>
      </c>
      <c r="BO446" s="63">
        <f t="shared" si="81"/>
        <v>8400</v>
      </c>
      <c r="BP446" s="63">
        <f t="shared" si="82"/>
        <v>8400</v>
      </c>
      <c r="BQ446" s="63">
        <f t="shared" si="83"/>
        <v>8400</v>
      </c>
      <c r="BR446" s="63">
        <f t="shared" si="84"/>
        <v>8400</v>
      </c>
      <c r="BS446" s="63">
        <f t="shared" si="85"/>
        <v>8400</v>
      </c>
    </row>
    <row r="447" spans="1:71">
      <c r="A447" s="28">
        <f t="shared" si="86"/>
        <v>446</v>
      </c>
      <c r="B447" s="29" t="s">
        <v>1300</v>
      </c>
      <c r="C447" s="30" t="s">
        <v>72</v>
      </c>
      <c r="D447" s="30" t="s">
        <v>1226</v>
      </c>
      <c r="E447" s="30" t="s">
        <v>1217</v>
      </c>
      <c r="F447" s="30"/>
      <c r="G447" s="30" t="s">
        <v>218</v>
      </c>
      <c r="H447" s="35" t="s">
        <v>222</v>
      </c>
      <c r="I447" s="30" t="s">
        <v>1145</v>
      </c>
      <c r="J447" s="30"/>
      <c r="K447" s="30" t="s">
        <v>1301</v>
      </c>
      <c r="L447" s="39"/>
      <c r="M447" s="30" t="s">
        <v>56</v>
      </c>
      <c r="N447" s="31"/>
      <c r="O447" s="30"/>
      <c r="P447" s="42"/>
      <c r="Q447" s="42">
        <v>0.13</v>
      </c>
      <c r="R447" s="47">
        <f t="shared" si="87"/>
        <v>260000</v>
      </c>
      <c r="S447" s="91"/>
      <c r="T447" s="48">
        <f t="shared" si="88"/>
        <v>2000000</v>
      </c>
      <c r="U447" s="39">
        <v>1000000</v>
      </c>
      <c r="V447" s="39"/>
      <c r="W447" s="39">
        <v>1000000</v>
      </c>
      <c r="X447" s="39"/>
      <c r="Y447" s="39">
        <v>1000000</v>
      </c>
      <c r="Z447" s="39"/>
      <c r="AA447" s="39"/>
      <c r="AB447" s="39">
        <v>1000000</v>
      </c>
      <c r="AC447" s="39"/>
      <c r="AD447" s="39"/>
      <c r="AE447" s="39">
        <v>1000000</v>
      </c>
      <c r="AF447" s="39"/>
      <c r="AG447" s="39"/>
      <c r="AH447" s="39"/>
      <c r="AI447" s="39"/>
      <c r="AJ447" s="39"/>
      <c r="AK447" s="39"/>
      <c r="AL447" s="39"/>
      <c r="AM447" s="39"/>
      <c r="AN447" s="39"/>
      <c r="AO447" s="39"/>
      <c r="AP447" s="39"/>
      <c r="AQ447" s="39"/>
      <c r="AR447" s="39"/>
      <c r="AS447" s="30" t="s">
        <v>1217</v>
      </c>
      <c r="AT447" s="30" t="s">
        <v>80</v>
      </c>
      <c r="AU447" s="30" t="s">
        <v>81</v>
      </c>
      <c r="AV447" s="30" t="s">
        <v>106</v>
      </c>
      <c r="AW447" s="30" t="s">
        <v>107</v>
      </c>
      <c r="AX447" s="30" t="s">
        <v>1223</v>
      </c>
      <c r="AY447" s="30" t="s">
        <v>646</v>
      </c>
      <c r="AZ447" s="30"/>
      <c r="BA447" s="30"/>
      <c r="BB447" s="30"/>
      <c r="BC447" s="58"/>
      <c r="BD447" s="30"/>
      <c r="BE447" s="55"/>
      <c r="BF447" s="55"/>
      <c r="BG447" s="55"/>
      <c r="BH447" s="55"/>
      <c r="BI447" s="55"/>
      <c r="BJ447" s="59"/>
      <c r="BK447" s="39"/>
      <c r="BL447" s="63">
        <f t="shared" si="78"/>
        <v>130000</v>
      </c>
      <c r="BM447" s="63">
        <f t="shared" si="79"/>
        <v>0</v>
      </c>
      <c r="BN447" s="63">
        <f t="shared" si="80"/>
        <v>0</v>
      </c>
      <c r="BO447" s="63">
        <f t="shared" si="81"/>
        <v>130000</v>
      </c>
      <c r="BP447" s="63">
        <f t="shared" si="82"/>
        <v>0</v>
      </c>
      <c r="BQ447" s="63">
        <f t="shared" si="83"/>
        <v>0</v>
      </c>
      <c r="BR447" s="63">
        <f t="shared" si="84"/>
        <v>130000</v>
      </c>
      <c r="BS447" s="63">
        <f t="shared" si="85"/>
        <v>0</v>
      </c>
    </row>
    <row r="448" spans="1:71">
      <c r="A448" s="28">
        <f t="shared" si="86"/>
        <v>447</v>
      </c>
      <c r="B448" s="29" t="s">
        <v>1302</v>
      </c>
      <c r="C448" s="30" t="s">
        <v>72</v>
      </c>
      <c r="D448" s="30" t="s">
        <v>1226</v>
      </c>
      <c r="E448" s="30" t="s">
        <v>1217</v>
      </c>
      <c r="F448" s="30"/>
      <c r="G448" s="30" t="s">
        <v>256</v>
      </c>
      <c r="H448" s="35" t="s">
        <v>258</v>
      </c>
      <c r="I448" s="30"/>
      <c r="J448" s="30"/>
      <c r="K448" s="30" t="s">
        <v>853</v>
      </c>
      <c r="L448" s="39"/>
      <c r="M448" s="30" t="s">
        <v>114</v>
      </c>
      <c r="N448" s="31" t="s">
        <v>1303</v>
      </c>
      <c r="O448" s="30"/>
      <c r="P448" s="42"/>
      <c r="Q448" s="42">
        <v>0.25</v>
      </c>
      <c r="R448" s="47">
        <f t="shared" si="87"/>
        <v>57750</v>
      </c>
      <c r="S448" s="91"/>
      <c r="T448" s="48">
        <f t="shared" si="88"/>
        <v>231000</v>
      </c>
      <c r="U448" s="39"/>
      <c r="V448" s="39"/>
      <c r="W448" s="39">
        <v>51000</v>
      </c>
      <c r="X448" s="39"/>
      <c r="Y448" s="39">
        <v>51000</v>
      </c>
      <c r="Z448" s="39"/>
      <c r="AA448" s="39">
        <v>51000</v>
      </c>
      <c r="AB448" s="39"/>
      <c r="AC448" s="39"/>
      <c r="AD448" s="39">
        <v>60000</v>
      </c>
      <c r="AE448" s="39">
        <v>60000</v>
      </c>
      <c r="AF448" s="39">
        <v>60000</v>
      </c>
      <c r="AG448" s="39"/>
      <c r="AH448" s="39"/>
      <c r="AI448" s="39"/>
      <c r="AJ448" s="39"/>
      <c r="AK448" s="39"/>
      <c r="AL448" s="39"/>
      <c r="AM448" s="39"/>
      <c r="AN448" s="39"/>
      <c r="AO448" s="39"/>
      <c r="AP448" s="39"/>
      <c r="AQ448" s="39"/>
      <c r="AR448" s="39"/>
      <c r="AS448" s="30" t="s">
        <v>1217</v>
      </c>
      <c r="AT448" s="30" t="s">
        <v>80</v>
      </c>
      <c r="AU448" s="30" t="s">
        <v>81</v>
      </c>
      <c r="AV448" s="30" t="s">
        <v>117</v>
      </c>
      <c r="AW448" s="30" t="s">
        <v>143</v>
      </c>
      <c r="AX448" s="30" t="s">
        <v>960</v>
      </c>
      <c r="AY448" s="30" t="s">
        <v>853</v>
      </c>
      <c r="AZ448" s="30"/>
      <c r="BA448" s="30"/>
      <c r="BB448" s="30"/>
      <c r="BC448" s="58"/>
      <c r="BD448" s="30"/>
      <c r="BE448" s="55"/>
      <c r="BF448" s="55"/>
      <c r="BG448" s="55"/>
      <c r="BH448" s="55"/>
      <c r="BI448" s="55"/>
      <c r="BJ448" s="59"/>
      <c r="BK448" s="39"/>
      <c r="BL448" s="63">
        <f t="shared" ref="BL448:BL495" si="89">$Q448*Y448</f>
        <v>12750</v>
      </c>
      <c r="BM448" s="63">
        <f t="shared" si="79"/>
        <v>0</v>
      </c>
      <c r="BN448" s="63">
        <f t="shared" si="80"/>
        <v>12750</v>
      </c>
      <c r="BO448" s="63">
        <f t="shared" si="81"/>
        <v>0</v>
      </c>
      <c r="BP448" s="63">
        <f t="shared" si="82"/>
        <v>0</v>
      </c>
      <c r="BQ448" s="63">
        <f t="shared" si="83"/>
        <v>15000</v>
      </c>
      <c r="BR448" s="63">
        <f t="shared" si="84"/>
        <v>15000</v>
      </c>
      <c r="BS448" s="63">
        <f t="shared" si="85"/>
        <v>15000</v>
      </c>
    </row>
    <row r="449" spans="1:71">
      <c r="A449" s="28">
        <f t="shared" si="86"/>
        <v>448</v>
      </c>
      <c r="B449" s="29" t="s">
        <v>1304</v>
      </c>
      <c r="C449" s="30" t="s">
        <v>72</v>
      </c>
      <c r="D449" s="30" t="s">
        <v>1226</v>
      </c>
      <c r="E449" s="30" t="s">
        <v>1217</v>
      </c>
      <c r="F449" s="30"/>
      <c r="G449" s="30" t="s">
        <v>297</v>
      </c>
      <c r="H449" s="35" t="s">
        <v>298</v>
      </c>
      <c r="I449" s="30"/>
      <c r="J449" s="30"/>
      <c r="K449" s="30" t="s">
        <v>853</v>
      </c>
      <c r="L449" s="39">
        <v>300000</v>
      </c>
      <c r="M449" s="30" t="s">
        <v>114</v>
      </c>
      <c r="N449" s="31"/>
      <c r="O449" s="30"/>
      <c r="P449" s="42"/>
      <c r="Q449" s="42">
        <v>0.42</v>
      </c>
      <c r="R449" s="47">
        <f t="shared" si="87"/>
        <v>239400</v>
      </c>
      <c r="S449" s="91"/>
      <c r="T449" s="48">
        <f t="shared" si="88"/>
        <v>570000</v>
      </c>
      <c r="U449" s="39">
        <v>9000</v>
      </c>
      <c r="V449" s="39"/>
      <c r="W449" s="39">
        <v>12000</v>
      </c>
      <c r="X449" s="39">
        <v>60000</v>
      </c>
      <c r="Y449" s="39">
        <v>60000</v>
      </c>
      <c r="Z449" s="39">
        <v>60000</v>
      </c>
      <c r="AA449" s="39">
        <v>60000</v>
      </c>
      <c r="AB449" s="39">
        <v>90000</v>
      </c>
      <c r="AC449" s="39">
        <v>90000</v>
      </c>
      <c r="AD449" s="39">
        <v>60000</v>
      </c>
      <c r="AE449" s="39">
        <v>90000</v>
      </c>
      <c r="AF449" s="39">
        <v>120000</v>
      </c>
      <c r="AG449" s="39"/>
      <c r="AH449" s="39"/>
      <c r="AI449" s="39"/>
      <c r="AJ449" s="39"/>
      <c r="AK449" s="39"/>
      <c r="AL449" s="39"/>
      <c r="AM449" s="39"/>
      <c r="AN449" s="39"/>
      <c r="AO449" s="39"/>
      <c r="AP449" s="39"/>
      <c r="AQ449" s="39"/>
      <c r="AR449" s="39"/>
      <c r="AS449" s="30" t="s">
        <v>1305</v>
      </c>
      <c r="AT449" s="30" t="s">
        <v>80</v>
      </c>
      <c r="AU449" s="30" t="s">
        <v>81</v>
      </c>
      <c r="AV449" s="30" t="s">
        <v>106</v>
      </c>
      <c r="AW449" s="30" t="s">
        <v>140</v>
      </c>
      <c r="AX449" s="30" t="s">
        <v>141</v>
      </c>
      <c r="AY449" s="30" t="s">
        <v>1306</v>
      </c>
      <c r="AZ449" s="30"/>
      <c r="BA449" s="30"/>
      <c r="BB449" s="30"/>
      <c r="BC449" s="58"/>
      <c r="BD449" s="30"/>
      <c r="BE449" s="55"/>
      <c r="BF449" s="55"/>
      <c r="BG449" s="55"/>
      <c r="BH449" s="55"/>
      <c r="BI449" s="55"/>
      <c r="BJ449" s="59"/>
      <c r="BK449" s="39"/>
      <c r="BL449" s="63">
        <f t="shared" si="89"/>
        <v>25200</v>
      </c>
      <c r="BM449" s="63">
        <f t="shared" si="79"/>
        <v>25200</v>
      </c>
      <c r="BN449" s="63">
        <f t="shared" si="80"/>
        <v>25200</v>
      </c>
      <c r="BO449" s="63">
        <f t="shared" si="81"/>
        <v>37800</v>
      </c>
      <c r="BP449" s="63">
        <f t="shared" si="82"/>
        <v>37800</v>
      </c>
      <c r="BQ449" s="63">
        <f t="shared" si="83"/>
        <v>25200</v>
      </c>
      <c r="BR449" s="63">
        <f t="shared" si="84"/>
        <v>37800</v>
      </c>
      <c r="BS449" s="63">
        <f t="shared" si="85"/>
        <v>50400</v>
      </c>
    </row>
    <row r="450" spans="1:71">
      <c r="A450" s="28">
        <f t="shared" si="86"/>
        <v>449</v>
      </c>
      <c r="B450" s="29" t="s">
        <v>1307</v>
      </c>
      <c r="C450" s="30" t="s">
        <v>72</v>
      </c>
      <c r="D450" s="30" t="s">
        <v>1226</v>
      </c>
      <c r="E450" s="30" t="s">
        <v>1217</v>
      </c>
      <c r="F450" s="30"/>
      <c r="G450" s="30" t="s">
        <v>324</v>
      </c>
      <c r="H450" s="35" t="s">
        <v>325</v>
      </c>
      <c r="I450" s="30"/>
      <c r="J450" s="30"/>
      <c r="K450" s="30"/>
      <c r="L450" s="39"/>
      <c r="M450" s="30"/>
      <c r="N450" s="31"/>
      <c r="O450" s="30"/>
      <c r="P450" s="42"/>
      <c r="Q450" s="42">
        <v>0.14</v>
      </c>
      <c r="R450" s="47">
        <f t="shared" si="87"/>
        <v>193200</v>
      </c>
      <c r="S450" s="91"/>
      <c r="T450" s="48">
        <f t="shared" si="88"/>
        <v>1380000</v>
      </c>
      <c r="U450" s="39"/>
      <c r="V450" s="39"/>
      <c r="W450" s="39"/>
      <c r="X450" s="39"/>
      <c r="Y450" s="39"/>
      <c r="Z450" s="39"/>
      <c r="AA450" s="39">
        <v>690000</v>
      </c>
      <c r="AB450" s="39"/>
      <c r="AC450" s="39"/>
      <c r="AD450" s="39">
        <v>690000</v>
      </c>
      <c r="AE450" s="39"/>
      <c r="AF450" s="39"/>
      <c r="AG450" s="39"/>
      <c r="AH450" s="39"/>
      <c r="AI450" s="39"/>
      <c r="AJ450" s="39"/>
      <c r="AK450" s="39"/>
      <c r="AL450" s="39"/>
      <c r="AM450" s="39"/>
      <c r="AN450" s="39"/>
      <c r="AO450" s="39"/>
      <c r="AP450" s="39"/>
      <c r="AQ450" s="39"/>
      <c r="AR450" s="39"/>
      <c r="AS450" s="30"/>
      <c r="AT450" s="30" t="s">
        <v>80</v>
      </c>
      <c r="AU450" s="30" t="s">
        <v>81</v>
      </c>
      <c r="AV450" s="30"/>
      <c r="AW450" s="30"/>
      <c r="AX450" s="30"/>
      <c r="AY450" s="30"/>
      <c r="AZ450" s="30"/>
      <c r="BA450" s="30"/>
      <c r="BB450" s="30"/>
      <c r="BC450" s="58"/>
      <c r="BD450" s="30"/>
      <c r="BE450" s="55"/>
      <c r="BF450" s="55"/>
      <c r="BG450" s="55"/>
      <c r="BH450" s="55"/>
      <c r="BI450" s="55"/>
      <c r="BJ450" s="59"/>
      <c r="BK450" s="39"/>
      <c r="BL450" s="63">
        <f t="shared" si="89"/>
        <v>0</v>
      </c>
      <c r="BM450" s="63">
        <f t="shared" si="79"/>
        <v>0</v>
      </c>
      <c r="BN450" s="63">
        <f t="shared" si="80"/>
        <v>96600</v>
      </c>
      <c r="BO450" s="63">
        <f t="shared" si="81"/>
        <v>0</v>
      </c>
      <c r="BP450" s="63">
        <f t="shared" si="82"/>
        <v>0</v>
      </c>
      <c r="BQ450" s="63">
        <f t="shared" si="83"/>
        <v>96600</v>
      </c>
      <c r="BR450" s="63">
        <f t="shared" si="84"/>
        <v>0</v>
      </c>
      <c r="BS450" s="63">
        <f t="shared" si="85"/>
        <v>0</v>
      </c>
    </row>
    <row r="451" spans="1:71">
      <c r="A451" s="28">
        <f t="shared" si="86"/>
        <v>450</v>
      </c>
      <c r="B451" s="29" t="s">
        <v>1308</v>
      </c>
      <c r="C451" s="30" t="s">
        <v>72</v>
      </c>
      <c r="D451" s="30" t="s">
        <v>1226</v>
      </c>
      <c r="E451" s="30" t="s">
        <v>1217</v>
      </c>
      <c r="F451" s="30"/>
      <c r="G451" s="30" t="s">
        <v>508</v>
      </c>
      <c r="H451" s="35"/>
      <c r="I451" s="30"/>
      <c r="J451" s="30"/>
      <c r="K451" s="30" t="s">
        <v>1255</v>
      </c>
      <c r="L451" s="39"/>
      <c r="M451" s="30" t="s">
        <v>56</v>
      </c>
      <c r="N451" s="31"/>
      <c r="O451" s="30"/>
      <c r="P451" s="42"/>
      <c r="Q451" s="42"/>
      <c r="R451" s="47">
        <f t="shared" si="87"/>
        <v>0</v>
      </c>
      <c r="S451" s="91"/>
      <c r="T451" s="48">
        <f t="shared" si="88"/>
        <v>0</v>
      </c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  <c r="AL451" s="39"/>
      <c r="AM451" s="39"/>
      <c r="AN451" s="39"/>
      <c r="AO451" s="39"/>
      <c r="AP451" s="39"/>
      <c r="AQ451" s="39"/>
      <c r="AR451" s="39"/>
      <c r="AS451" s="30"/>
      <c r="AT451" s="30" t="s">
        <v>80</v>
      </c>
      <c r="AU451" s="30" t="s">
        <v>573</v>
      </c>
      <c r="AV451" s="30"/>
      <c r="AW451" s="30"/>
      <c r="AX451" s="30"/>
      <c r="AY451" s="30"/>
      <c r="AZ451" s="30"/>
      <c r="BA451" s="30"/>
      <c r="BB451" s="30"/>
      <c r="BC451" s="58"/>
      <c r="BD451" s="30"/>
      <c r="BE451" s="55"/>
      <c r="BF451" s="55"/>
      <c r="BG451" s="55"/>
      <c r="BH451" s="55"/>
      <c r="BI451" s="55"/>
      <c r="BJ451" s="59"/>
      <c r="BK451" s="39"/>
      <c r="BL451" s="63">
        <f t="shared" si="89"/>
        <v>0</v>
      </c>
      <c r="BM451" s="63">
        <f t="shared" ref="BM451:BM514" si="90">$Q451*Z451</f>
        <v>0</v>
      </c>
      <c r="BN451" s="63">
        <f t="shared" ref="BN451:BN514" si="91">$Q451*AA451</f>
        <v>0</v>
      </c>
      <c r="BO451" s="63">
        <f t="shared" ref="BO451:BO514" si="92">$Q451*AB451</f>
        <v>0</v>
      </c>
      <c r="BP451" s="63">
        <f t="shared" ref="BP451:BP514" si="93">$Q451*AC451</f>
        <v>0</v>
      </c>
      <c r="BQ451" s="63">
        <f t="shared" ref="BQ451:BQ514" si="94">$Q451*AD451</f>
        <v>0</v>
      </c>
      <c r="BR451" s="63">
        <f t="shared" ref="BR451:BR514" si="95">$Q451*AE451</f>
        <v>0</v>
      </c>
      <c r="BS451" s="63">
        <f t="shared" ref="BS451:BS514" si="96">$Q451*AF451</f>
        <v>0</v>
      </c>
    </row>
    <row r="452" spans="1:71">
      <c r="A452" s="28">
        <f t="shared" ref="A452:A515" si="97">ROW()-1</f>
        <v>451</v>
      </c>
      <c r="B452" s="29" t="s">
        <v>1308</v>
      </c>
      <c r="C452" s="30" t="s">
        <v>72</v>
      </c>
      <c r="D452" s="30" t="s">
        <v>1226</v>
      </c>
      <c r="E452" s="30" t="s">
        <v>1217</v>
      </c>
      <c r="F452" s="30"/>
      <c r="G452" s="30" t="s">
        <v>508</v>
      </c>
      <c r="H452" s="35"/>
      <c r="I452" s="30"/>
      <c r="J452" s="30"/>
      <c r="K452" s="30" t="s">
        <v>1240</v>
      </c>
      <c r="L452" s="39"/>
      <c r="M452" s="30" t="s">
        <v>56</v>
      </c>
      <c r="N452" s="31"/>
      <c r="O452" s="30"/>
      <c r="P452" s="42"/>
      <c r="Q452" s="42"/>
      <c r="R452" s="47">
        <f t="shared" ref="R452:R515" si="98">Q452*T452</f>
        <v>0</v>
      </c>
      <c r="S452" s="91"/>
      <c r="T452" s="48">
        <f t="shared" ref="T452:T515" si="99">SUM(Z452:AF452)</f>
        <v>0</v>
      </c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  <c r="AP452" s="39"/>
      <c r="AQ452" s="39"/>
      <c r="AR452" s="39"/>
      <c r="AS452" s="30"/>
      <c r="AT452" s="30" t="s">
        <v>80</v>
      </c>
      <c r="AU452" s="30" t="s">
        <v>573</v>
      </c>
      <c r="AV452" s="30"/>
      <c r="AW452" s="30"/>
      <c r="AX452" s="30"/>
      <c r="AY452" s="30"/>
      <c r="AZ452" s="30"/>
      <c r="BA452" s="30"/>
      <c r="BB452" s="30"/>
      <c r="BC452" s="58"/>
      <c r="BD452" s="30"/>
      <c r="BE452" s="55"/>
      <c r="BF452" s="55"/>
      <c r="BG452" s="55"/>
      <c r="BH452" s="55"/>
      <c r="BI452" s="55"/>
      <c r="BJ452" s="59"/>
      <c r="BK452" s="39"/>
      <c r="BL452" s="63">
        <f t="shared" si="89"/>
        <v>0</v>
      </c>
      <c r="BM452" s="63">
        <f t="shared" si="90"/>
        <v>0</v>
      </c>
      <c r="BN452" s="63">
        <f t="shared" si="91"/>
        <v>0</v>
      </c>
      <c r="BO452" s="63">
        <f t="shared" si="92"/>
        <v>0</v>
      </c>
      <c r="BP452" s="63">
        <f t="shared" si="93"/>
        <v>0</v>
      </c>
      <c r="BQ452" s="63">
        <f t="shared" si="94"/>
        <v>0</v>
      </c>
      <c r="BR452" s="63">
        <f t="shared" si="95"/>
        <v>0</v>
      </c>
      <c r="BS452" s="63">
        <f t="shared" si="96"/>
        <v>0</v>
      </c>
    </row>
    <row r="453" spans="1:71">
      <c r="A453" s="28">
        <f t="shared" si="97"/>
        <v>452</v>
      </c>
      <c r="B453" s="29" t="s">
        <v>1309</v>
      </c>
      <c r="C453" s="30" t="s">
        <v>92</v>
      </c>
      <c r="D453" s="30" t="s">
        <v>1226</v>
      </c>
      <c r="E453" s="30" t="s">
        <v>1217</v>
      </c>
      <c r="F453" s="30"/>
      <c r="G453" s="30" t="s">
        <v>210</v>
      </c>
      <c r="H453" s="35" t="s">
        <v>211</v>
      </c>
      <c r="I453" s="30"/>
      <c r="J453" s="30"/>
      <c r="K453" s="30"/>
      <c r="L453" s="39"/>
      <c r="M453" s="30"/>
      <c r="N453" s="31"/>
      <c r="O453" s="30"/>
      <c r="P453" s="42"/>
      <c r="Q453" s="42">
        <v>0.13</v>
      </c>
      <c r="R453" s="47">
        <f t="shared" si="98"/>
        <v>2730000</v>
      </c>
      <c r="S453" s="91"/>
      <c r="T453" s="48">
        <f t="shared" si="99"/>
        <v>21000000</v>
      </c>
      <c r="U453" s="39"/>
      <c r="V453" s="39"/>
      <c r="W453" s="39"/>
      <c r="X453" s="39"/>
      <c r="Y453" s="39">
        <v>3000000</v>
      </c>
      <c r="Z453" s="39">
        <v>3000000</v>
      </c>
      <c r="AA453" s="39">
        <v>3000000</v>
      </c>
      <c r="AB453" s="39">
        <v>3000000</v>
      </c>
      <c r="AC453" s="39">
        <v>3000000</v>
      </c>
      <c r="AD453" s="39">
        <v>3000000</v>
      </c>
      <c r="AE453" s="39">
        <v>3000000</v>
      </c>
      <c r="AF453" s="39">
        <v>3000000</v>
      </c>
      <c r="AG453" s="39"/>
      <c r="AH453" s="39"/>
      <c r="AI453" s="39"/>
      <c r="AJ453" s="39"/>
      <c r="AK453" s="39"/>
      <c r="AL453" s="39"/>
      <c r="AM453" s="39"/>
      <c r="AN453" s="39"/>
      <c r="AO453" s="39"/>
      <c r="AP453" s="39"/>
      <c r="AQ453" s="39"/>
      <c r="AR453" s="39"/>
      <c r="AS453" s="30"/>
      <c r="AT453" s="30" t="s">
        <v>80</v>
      </c>
      <c r="AU453" s="30" t="s">
        <v>81</v>
      </c>
      <c r="AV453" s="30"/>
      <c r="AW453" s="30"/>
      <c r="AX453" s="30"/>
      <c r="AY453" s="30"/>
      <c r="AZ453" s="30"/>
      <c r="BA453" s="30"/>
      <c r="BB453" s="30"/>
      <c r="BC453" s="58"/>
      <c r="BD453" s="30"/>
      <c r="BE453" s="55"/>
      <c r="BF453" s="55"/>
      <c r="BG453" s="55"/>
      <c r="BH453" s="55"/>
      <c r="BI453" s="55"/>
      <c r="BJ453" s="59"/>
      <c r="BK453" s="39"/>
      <c r="BL453" s="63">
        <f t="shared" si="89"/>
        <v>390000</v>
      </c>
      <c r="BM453" s="63">
        <f t="shared" si="90"/>
        <v>390000</v>
      </c>
      <c r="BN453" s="63">
        <f t="shared" si="91"/>
        <v>390000</v>
      </c>
      <c r="BO453" s="63">
        <f t="shared" si="92"/>
        <v>390000</v>
      </c>
      <c r="BP453" s="63">
        <f t="shared" si="93"/>
        <v>390000</v>
      </c>
      <c r="BQ453" s="63">
        <f t="shared" si="94"/>
        <v>390000</v>
      </c>
      <c r="BR453" s="63">
        <f t="shared" si="95"/>
        <v>390000</v>
      </c>
      <c r="BS453" s="63">
        <f t="shared" si="96"/>
        <v>390000</v>
      </c>
    </row>
    <row r="454" spans="1:71">
      <c r="A454" s="28">
        <f t="shared" si="97"/>
        <v>453</v>
      </c>
      <c r="B454" s="29" t="s">
        <v>1299</v>
      </c>
      <c r="C454" s="30" t="s">
        <v>72</v>
      </c>
      <c r="D454" s="30" t="s">
        <v>1226</v>
      </c>
      <c r="E454" s="30" t="s">
        <v>1217</v>
      </c>
      <c r="F454" s="30"/>
      <c r="G454" s="30" t="s">
        <v>206</v>
      </c>
      <c r="H454" s="35" t="s">
        <v>207</v>
      </c>
      <c r="I454" s="30"/>
      <c r="J454" s="30"/>
      <c r="K454" s="30" t="s">
        <v>836</v>
      </c>
      <c r="L454" s="39"/>
      <c r="M454" s="30" t="s">
        <v>57</v>
      </c>
      <c r="N454" s="31"/>
      <c r="O454" s="30"/>
      <c r="P454" s="42"/>
      <c r="Q454" s="42">
        <v>0.38</v>
      </c>
      <c r="R454" s="47">
        <f t="shared" si="98"/>
        <v>57000</v>
      </c>
      <c r="S454" s="91"/>
      <c r="T454" s="48">
        <f t="shared" si="99"/>
        <v>150000</v>
      </c>
      <c r="U454" s="39"/>
      <c r="V454" s="39"/>
      <c r="W454" s="39">
        <v>10000</v>
      </c>
      <c r="X454" s="39"/>
      <c r="Y454" s="39">
        <v>10000</v>
      </c>
      <c r="Z454" s="39"/>
      <c r="AA454" s="39"/>
      <c r="AB454" s="39">
        <v>30000</v>
      </c>
      <c r="AC454" s="39"/>
      <c r="AD454" s="39"/>
      <c r="AE454" s="39">
        <v>60000</v>
      </c>
      <c r="AF454" s="39">
        <v>60000</v>
      </c>
      <c r="AG454" s="39"/>
      <c r="AH454" s="39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0" t="s">
        <v>1217</v>
      </c>
      <c r="AT454" s="30" t="s">
        <v>80</v>
      </c>
      <c r="AU454" s="30" t="s">
        <v>81</v>
      </c>
      <c r="AV454" s="30" t="s">
        <v>581</v>
      </c>
      <c r="AW454" s="30" t="s">
        <v>582</v>
      </c>
      <c r="AX454" s="30" t="s">
        <v>1310</v>
      </c>
      <c r="AY454" s="30" t="s">
        <v>1311</v>
      </c>
      <c r="AZ454" s="30"/>
      <c r="BA454" s="30"/>
      <c r="BB454" s="30"/>
      <c r="BC454" s="58"/>
      <c r="BD454" s="30"/>
      <c r="BE454" s="55"/>
      <c r="BF454" s="55"/>
      <c r="BG454" s="55"/>
      <c r="BH454" s="55"/>
      <c r="BI454" s="55"/>
      <c r="BJ454" s="59"/>
      <c r="BK454" s="39"/>
      <c r="BL454" s="63">
        <f t="shared" si="89"/>
        <v>3800</v>
      </c>
      <c r="BM454" s="63">
        <f t="shared" si="90"/>
        <v>0</v>
      </c>
      <c r="BN454" s="63">
        <f t="shared" si="91"/>
        <v>0</v>
      </c>
      <c r="BO454" s="63">
        <f t="shared" si="92"/>
        <v>11400</v>
      </c>
      <c r="BP454" s="63">
        <f t="shared" si="93"/>
        <v>0</v>
      </c>
      <c r="BQ454" s="63">
        <f t="shared" si="94"/>
        <v>0</v>
      </c>
      <c r="BR454" s="63">
        <f t="shared" si="95"/>
        <v>22800</v>
      </c>
      <c r="BS454" s="63">
        <f t="shared" si="96"/>
        <v>22800</v>
      </c>
    </row>
    <row r="455" spans="1:71">
      <c r="A455" s="28">
        <f t="shared" si="97"/>
        <v>454</v>
      </c>
      <c r="B455" s="31" t="s">
        <v>1312</v>
      </c>
      <c r="C455" s="30" t="s">
        <v>527</v>
      </c>
      <c r="D455" s="30" t="s">
        <v>1313</v>
      </c>
      <c r="E455" s="30" t="s">
        <v>1305</v>
      </c>
      <c r="F455" s="30" t="s">
        <v>1314</v>
      </c>
      <c r="G455" s="30" t="s">
        <v>261</v>
      </c>
      <c r="H455" s="35" t="s">
        <v>262</v>
      </c>
      <c r="I455" s="30"/>
      <c r="J455" s="30"/>
      <c r="K455" s="30" t="s">
        <v>1315</v>
      </c>
      <c r="L455" s="40">
        <v>2400000</v>
      </c>
      <c r="M455" s="39" t="s">
        <v>79</v>
      </c>
      <c r="N455" s="31" t="s">
        <v>1316</v>
      </c>
      <c r="O455" s="30" t="s">
        <v>1317</v>
      </c>
      <c r="P455" s="30"/>
      <c r="Q455" s="89">
        <v>0.369</v>
      </c>
      <c r="R455" s="47">
        <f t="shared" si="98"/>
        <v>273429</v>
      </c>
      <c r="S455" s="75">
        <f t="shared" ref="S455:S495" si="100">Q455*SUM(AG455:AL455)</f>
        <v>0</v>
      </c>
      <c r="T455" s="48">
        <f t="shared" si="99"/>
        <v>741000</v>
      </c>
      <c r="U455" s="40">
        <v>200000</v>
      </c>
      <c r="V455" s="40">
        <v>200000</v>
      </c>
      <c r="W455" s="40">
        <v>200000</v>
      </c>
      <c r="X455" s="40">
        <v>201000</v>
      </c>
      <c r="Y455" s="40">
        <v>201000</v>
      </c>
      <c r="Z455" s="40">
        <v>201000</v>
      </c>
      <c r="AA455" s="40">
        <v>0</v>
      </c>
      <c r="AB455" s="40">
        <v>0</v>
      </c>
      <c r="AC455" s="40">
        <v>0</v>
      </c>
      <c r="AD455" s="40">
        <v>180000</v>
      </c>
      <c r="AE455" s="40">
        <v>180000</v>
      </c>
      <c r="AF455" s="40">
        <v>180000</v>
      </c>
      <c r="AG455" s="40">
        <v>0</v>
      </c>
      <c r="AH455" s="40">
        <v>0</v>
      </c>
      <c r="AI455" s="40">
        <v>0</v>
      </c>
      <c r="AJ455" s="40">
        <v>0</v>
      </c>
      <c r="AK455" s="40">
        <v>0</v>
      </c>
      <c r="AL455" s="40">
        <v>0</v>
      </c>
      <c r="AM455" s="40">
        <v>0</v>
      </c>
      <c r="AN455" s="40">
        <v>0</v>
      </c>
      <c r="AO455" s="40">
        <v>0</v>
      </c>
      <c r="AP455" s="40">
        <v>0</v>
      </c>
      <c r="AQ455" s="40">
        <v>0</v>
      </c>
      <c r="AR455" s="40">
        <v>0</v>
      </c>
      <c r="AS455" s="30" t="s">
        <v>93</v>
      </c>
      <c r="AT455" s="30" t="s">
        <v>116</v>
      </c>
      <c r="AU455" s="30" t="s">
        <v>81</v>
      </c>
      <c r="AV455" s="30" t="s">
        <v>117</v>
      </c>
      <c r="AW455" s="30" t="s">
        <v>143</v>
      </c>
      <c r="AX455" s="30" t="s">
        <v>798</v>
      </c>
      <c r="AY455" s="30" t="s">
        <v>799</v>
      </c>
      <c r="AZ455" s="30" t="s">
        <v>1155</v>
      </c>
      <c r="BA455" s="30"/>
      <c r="BB455" s="30"/>
      <c r="BC455" s="58">
        <v>3</v>
      </c>
      <c r="BD455" s="30"/>
      <c r="BE455" s="55"/>
      <c r="BF455" s="55"/>
      <c r="BG455" s="55"/>
      <c r="BH455" s="55"/>
      <c r="BI455" s="55"/>
      <c r="BJ455" s="64"/>
      <c r="BK455" s="39"/>
      <c r="BL455" s="63">
        <f t="shared" si="89"/>
        <v>74169</v>
      </c>
      <c r="BM455" s="63">
        <f t="shared" si="90"/>
        <v>74169</v>
      </c>
      <c r="BN455" s="63">
        <f t="shared" si="91"/>
        <v>0</v>
      </c>
      <c r="BO455" s="63">
        <f t="shared" si="92"/>
        <v>0</v>
      </c>
      <c r="BP455" s="63">
        <f t="shared" si="93"/>
        <v>0</v>
      </c>
      <c r="BQ455" s="63">
        <f t="shared" si="94"/>
        <v>66420</v>
      </c>
      <c r="BR455" s="63">
        <f t="shared" si="95"/>
        <v>66420</v>
      </c>
      <c r="BS455" s="63">
        <f t="shared" si="96"/>
        <v>66420</v>
      </c>
    </row>
    <row r="456" spans="1:71">
      <c r="A456" s="28">
        <f t="shared" si="97"/>
        <v>455</v>
      </c>
      <c r="B456" s="31" t="s">
        <v>1312</v>
      </c>
      <c r="C456" s="30" t="s">
        <v>527</v>
      </c>
      <c r="D456" s="30" t="s">
        <v>1313</v>
      </c>
      <c r="E456" s="30" t="s">
        <v>1305</v>
      </c>
      <c r="F456" s="30" t="s">
        <v>1314</v>
      </c>
      <c r="G456" s="30" t="s">
        <v>497</v>
      </c>
      <c r="H456" s="35"/>
      <c r="I456" s="30"/>
      <c r="J456" s="30"/>
      <c r="K456" s="30" t="s">
        <v>1315</v>
      </c>
      <c r="L456" s="40"/>
      <c r="M456" s="39" t="s">
        <v>57</v>
      </c>
      <c r="N456" s="31" t="s">
        <v>1318</v>
      </c>
      <c r="O456" s="30" t="s">
        <v>620</v>
      </c>
      <c r="P456" s="30"/>
      <c r="Q456" s="89">
        <v>0.38</v>
      </c>
      <c r="R456" s="47">
        <f t="shared" si="98"/>
        <v>0</v>
      </c>
      <c r="S456" s="75">
        <f t="shared" si="100"/>
        <v>0</v>
      </c>
      <c r="T456" s="48">
        <f t="shared" si="99"/>
        <v>0</v>
      </c>
      <c r="U456" s="40">
        <v>0</v>
      </c>
      <c r="V456" s="40">
        <v>0</v>
      </c>
      <c r="W456" s="40">
        <v>0</v>
      </c>
      <c r="X456" s="40">
        <v>0</v>
      </c>
      <c r="Y456" s="40">
        <v>0</v>
      </c>
      <c r="Z456" s="40">
        <v>0</v>
      </c>
      <c r="AA456" s="40">
        <v>0</v>
      </c>
      <c r="AB456" s="40">
        <v>0</v>
      </c>
      <c r="AC456" s="40">
        <v>0</v>
      </c>
      <c r="AD456" s="40">
        <v>0</v>
      </c>
      <c r="AE456" s="40">
        <v>0</v>
      </c>
      <c r="AF456" s="40">
        <v>0</v>
      </c>
      <c r="AG456" s="40">
        <v>0</v>
      </c>
      <c r="AH456" s="40">
        <v>0</v>
      </c>
      <c r="AI456" s="40">
        <v>0</v>
      </c>
      <c r="AJ456" s="40">
        <v>0</v>
      </c>
      <c r="AK456" s="40">
        <v>0</v>
      </c>
      <c r="AL456" s="40">
        <v>0</v>
      </c>
      <c r="AM456" s="40">
        <v>0</v>
      </c>
      <c r="AN456" s="40">
        <v>0</v>
      </c>
      <c r="AO456" s="40">
        <v>0</v>
      </c>
      <c r="AP456" s="40">
        <v>0</v>
      </c>
      <c r="AQ456" s="40">
        <v>0</v>
      </c>
      <c r="AR456" s="40">
        <v>0</v>
      </c>
      <c r="AS456" s="30" t="s">
        <v>93</v>
      </c>
      <c r="AT456" s="30" t="s">
        <v>116</v>
      </c>
      <c r="AU456" s="30" t="s">
        <v>788</v>
      </c>
      <c r="AV456" s="30" t="s">
        <v>117</v>
      </c>
      <c r="AW456" s="30" t="s">
        <v>143</v>
      </c>
      <c r="AX456" s="30" t="s">
        <v>798</v>
      </c>
      <c r="AY456" s="30" t="s">
        <v>799</v>
      </c>
      <c r="AZ456" s="30" t="s">
        <v>1155</v>
      </c>
      <c r="BA456" s="30"/>
      <c r="BB456" s="30"/>
      <c r="BC456" s="58">
        <v>3</v>
      </c>
      <c r="BD456" s="30"/>
      <c r="BE456" s="55"/>
      <c r="BF456" s="55"/>
      <c r="BG456" s="55"/>
      <c r="BH456" s="55"/>
      <c r="BI456" s="55"/>
      <c r="BJ456" s="64"/>
      <c r="BK456" s="39"/>
      <c r="BL456" s="63">
        <f t="shared" si="89"/>
        <v>0</v>
      </c>
      <c r="BM456" s="63">
        <f t="shared" si="90"/>
        <v>0</v>
      </c>
      <c r="BN456" s="63">
        <f t="shared" si="91"/>
        <v>0</v>
      </c>
      <c r="BO456" s="63">
        <f t="shared" si="92"/>
        <v>0</v>
      </c>
      <c r="BP456" s="63">
        <f t="shared" si="93"/>
        <v>0</v>
      </c>
      <c r="BQ456" s="63">
        <f t="shared" si="94"/>
        <v>0</v>
      </c>
      <c r="BR456" s="63">
        <f t="shared" si="95"/>
        <v>0</v>
      </c>
      <c r="BS456" s="63">
        <f t="shared" si="96"/>
        <v>0</v>
      </c>
    </row>
    <row r="457" spans="1:71">
      <c r="A457" s="28">
        <f t="shared" si="97"/>
        <v>456</v>
      </c>
      <c r="B457" s="31" t="s">
        <v>1312</v>
      </c>
      <c r="C457" s="30" t="s">
        <v>527</v>
      </c>
      <c r="D457" s="30" t="s">
        <v>1313</v>
      </c>
      <c r="E457" s="30" t="s">
        <v>1305</v>
      </c>
      <c r="F457" s="30" t="s">
        <v>1314</v>
      </c>
      <c r="G457" s="30" t="s">
        <v>306</v>
      </c>
      <c r="H457" s="35" t="s">
        <v>307</v>
      </c>
      <c r="I457" s="30"/>
      <c r="J457" s="30"/>
      <c r="K457" s="31" t="s">
        <v>1319</v>
      </c>
      <c r="L457" s="40">
        <v>4000000</v>
      </c>
      <c r="M457" s="39" t="s">
        <v>57</v>
      </c>
      <c r="N457" s="31" t="s">
        <v>1320</v>
      </c>
      <c r="O457" s="30" t="s">
        <v>1321</v>
      </c>
      <c r="P457" s="30"/>
      <c r="Q457" s="89">
        <v>0.66</v>
      </c>
      <c r="R457" s="47">
        <f t="shared" si="98"/>
        <v>330000</v>
      </c>
      <c r="S457" s="75">
        <f t="shared" si="100"/>
        <v>0</v>
      </c>
      <c r="T457" s="48">
        <f t="shared" si="99"/>
        <v>500000</v>
      </c>
      <c r="U457" s="40">
        <v>0</v>
      </c>
      <c r="V457" s="40">
        <v>0</v>
      </c>
      <c r="W457" s="40">
        <v>0</v>
      </c>
      <c r="X457" s="40">
        <v>0</v>
      </c>
      <c r="Y457" s="40">
        <v>30000</v>
      </c>
      <c r="Z457" s="40">
        <v>0</v>
      </c>
      <c r="AA457" s="40">
        <v>50000</v>
      </c>
      <c r="AB457" s="40">
        <v>0</v>
      </c>
      <c r="AC457" s="39">
        <v>50000</v>
      </c>
      <c r="AD457" s="39">
        <v>100000</v>
      </c>
      <c r="AE457" s="39">
        <v>100000</v>
      </c>
      <c r="AF457" s="39">
        <v>200000</v>
      </c>
      <c r="AG457" s="40">
        <v>0</v>
      </c>
      <c r="AH457" s="40">
        <v>0</v>
      </c>
      <c r="AI457" s="40">
        <v>0</v>
      </c>
      <c r="AJ457" s="40">
        <v>0</v>
      </c>
      <c r="AK457" s="40">
        <v>0</v>
      </c>
      <c r="AL457" s="40">
        <v>0</v>
      </c>
      <c r="AM457" s="40">
        <v>0</v>
      </c>
      <c r="AN457" s="40">
        <v>0</v>
      </c>
      <c r="AO457" s="40">
        <v>0</v>
      </c>
      <c r="AP457" s="40">
        <v>0</v>
      </c>
      <c r="AQ457" s="40">
        <v>0</v>
      </c>
      <c r="AR457" s="40">
        <v>0</v>
      </c>
      <c r="AS457" s="30" t="s">
        <v>93</v>
      </c>
      <c r="AT457" s="30" t="s">
        <v>116</v>
      </c>
      <c r="AU457" s="30" t="s">
        <v>81</v>
      </c>
      <c r="AV457" s="30" t="s">
        <v>117</v>
      </c>
      <c r="AW457" s="30" t="s">
        <v>143</v>
      </c>
      <c r="AX457" s="30" t="s">
        <v>1322</v>
      </c>
      <c r="AY457" s="30" t="s">
        <v>1323</v>
      </c>
      <c r="AZ457" s="30" t="s">
        <v>1155</v>
      </c>
      <c r="BA457" s="30"/>
      <c r="BB457" s="30"/>
      <c r="BC457" s="58">
        <v>1</v>
      </c>
      <c r="BD457" s="30"/>
      <c r="BE457" s="55"/>
      <c r="BF457" s="55"/>
      <c r="BG457" s="55"/>
      <c r="BH457" s="55"/>
      <c r="BI457" s="55"/>
      <c r="BJ457" s="64"/>
      <c r="BK457" s="39"/>
      <c r="BL457" s="63">
        <f t="shared" si="89"/>
        <v>19800</v>
      </c>
      <c r="BM457" s="63">
        <f t="shared" si="90"/>
        <v>0</v>
      </c>
      <c r="BN457" s="63">
        <f t="shared" si="91"/>
        <v>33000</v>
      </c>
      <c r="BO457" s="63">
        <f t="shared" si="92"/>
        <v>0</v>
      </c>
      <c r="BP457" s="63">
        <f t="shared" si="93"/>
        <v>33000</v>
      </c>
      <c r="BQ457" s="63">
        <f t="shared" si="94"/>
        <v>66000</v>
      </c>
      <c r="BR457" s="63">
        <f t="shared" si="95"/>
        <v>66000</v>
      </c>
      <c r="BS457" s="63">
        <f t="shared" si="96"/>
        <v>132000</v>
      </c>
    </row>
    <row r="458" spans="1:71">
      <c r="A458" s="28">
        <f t="shared" si="97"/>
        <v>457</v>
      </c>
      <c r="B458" s="31" t="s">
        <v>1312</v>
      </c>
      <c r="C458" s="30" t="s">
        <v>527</v>
      </c>
      <c r="D458" s="30" t="s">
        <v>1313</v>
      </c>
      <c r="E458" s="30" t="s">
        <v>1305</v>
      </c>
      <c r="F458" s="30" t="s">
        <v>1314</v>
      </c>
      <c r="G458" s="30" t="s">
        <v>303</v>
      </c>
      <c r="H458" s="35"/>
      <c r="I458" s="30"/>
      <c r="J458" s="30"/>
      <c r="K458" s="31" t="s">
        <v>1324</v>
      </c>
      <c r="L458" s="40"/>
      <c r="M458" s="39" t="s">
        <v>57</v>
      </c>
      <c r="N458" s="31" t="s">
        <v>1325</v>
      </c>
      <c r="O458" s="30" t="s">
        <v>620</v>
      </c>
      <c r="P458" s="30"/>
      <c r="Q458" s="89">
        <v>0.66</v>
      </c>
      <c r="R458" s="47">
        <f t="shared" si="98"/>
        <v>0</v>
      </c>
      <c r="S458" s="75">
        <f t="shared" si="100"/>
        <v>0</v>
      </c>
      <c r="T458" s="48">
        <f t="shared" si="99"/>
        <v>0</v>
      </c>
      <c r="U458" s="40">
        <v>0</v>
      </c>
      <c r="V458" s="40">
        <v>0</v>
      </c>
      <c r="W458" s="40">
        <v>0</v>
      </c>
      <c r="X458" s="40">
        <v>0</v>
      </c>
      <c r="Y458" s="40">
        <v>0</v>
      </c>
      <c r="Z458" s="40">
        <v>0</v>
      </c>
      <c r="AA458" s="40">
        <v>0</v>
      </c>
      <c r="AB458" s="40">
        <v>0</v>
      </c>
      <c r="AC458" s="40">
        <v>0</v>
      </c>
      <c r="AD458" s="40">
        <v>0</v>
      </c>
      <c r="AE458" s="40">
        <v>0</v>
      </c>
      <c r="AF458" s="40">
        <v>0</v>
      </c>
      <c r="AG458" s="40">
        <v>0</v>
      </c>
      <c r="AH458" s="40">
        <v>0</v>
      </c>
      <c r="AI458" s="40">
        <v>0</v>
      </c>
      <c r="AJ458" s="40">
        <v>0</v>
      </c>
      <c r="AK458" s="40">
        <v>0</v>
      </c>
      <c r="AL458" s="40">
        <v>0</v>
      </c>
      <c r="AM458" s="40">
        <v>0</v>
      </c>
      <c r="AN458" s="40">
        <v>0</v>
      </c>
      <c r="AO458" s="40">
        <v>0</v>
      </c>
      <c r="AP458" s="40">
        <v>0</v>
      </c>
      <c r="AQ458" s="40">
        <v>0</v>
      </c>
      <c r="AR458" s="40">
        <v>0</v>
      </c>
      <c r="AS458" s="30" t="s">
        <v>93</v>
      </c>
      <c r="AT458" s="30" t="s">
        <v>116</v>
      </c>
      <c r="AU458" s="30" t="s">
        <v>81</v>
      </c>
      <c r="AV458" s="30" t="s">
        <v>117</v>
      </c>
      <c r="AW458" s="30" t="s">
        <v>143</v>
      </c>
      <c r="AX458" s="30" t="s">
        <v>798</v>
      </c>
      <c r="AY458" s="30" t="s">
        <v>799</v>
      </c>
      <c r="AZ458" s="30" t="s">
        <v>1155</v>
      </c>
      <c r="BA458" s="30"/>
      <c r="BB458" s="30"/>
      <c r="BC458" s="58">
        <v>1</v>
      </c>
      <c r="BD458" s="30"/>
      <c r="BE458" s="55"/>
      <c r="BF458" s="55"/>
      <c r="BG458" s="55"/>
      <c r="BH458" s="55"/>
      <c r="BI458" s="55"/>
      <c r="BJ458" s="64"/>
      <c r="BK458" s="39"/>
      <c r="BL458" s="63">
        <f t="shared" si="89"/>
        <v>0</v>
      </c>
      <c r="BM458" s="63">
        <f t="shared" si="90"/>
        <v>0</v>
      </c>
      <c r="BN458" s="63">
        <f t="shared" si="91"/>
        <v>0</v>
      </c>
      <c r="BO458" s="63">
        <f t="shared" si="92"/>
        <v>0</v>
      </c>
      <c r="BP458" s="63">
        <f t="shared" si="93"/>
        <v>0</v>
      </c>
      <c r="BQ458" s="63">
        <f t="shared" si="94"/>
        <v>0</v>
      </c>
      <c r="BR458" s="63">
        <f t="shared" si="95"/>
        <v>0</v>
      </c>
      <c r="BS458" s="63">
        <f t="shared" si="96"/>
        <v>0</v>
      </c>
    </row>
    <row r="459" spans="1:71">
      <c r="A459" s="28">
        <f t="shared" si="97"/>
        <v>458</v>
      </c>
      <c r="B459" s="31" t="s">
        <v>1326</v>
      </c>
      <c r="C459" s="30" t="s">
        <v>527</v>
      </c>
      <c r="D459" s="30" t="s">
        <v>1327</v>
      </c>
      <c r="E459" s="30" t="s">
        <v>1305</v>
      </c>
      <c r="F459" s="30" t="s">
        <v>1328</v>
      </c>
      <c r="G459" s="30" t="s">
        <v>270</v>
      </c>
      <c r="H459" s="35" t="s">
        <v>271</v>
      </c>
      <c r="I459" s="30"/>
      <c r="J459" s="30"/>
      <c r="K459" s="31" t="s">
        <v>1028</v>
      </c>
      <c r="L459" s="40">
        <v>6000000</v>
      </c>
      <c r="M459" s="39" t="s">
        <v>79</v>
      </c>
      <c r="N459" s="95" t="s">
        <v>1329</v>
      </c>
      <c r="O459" s="30" t="s">
        <v>1213</v>
      </c>
      <c r="P459" s="30"/>
      <c r="Q459" s="89">
        <v>0.4</v>
      </c>
      <c r="R459" s="47">
        <f t="shared" si="98"/>
        <v>416000</v>
      </c>
      <c r="S459" s="75">
        <f t="shared" si="100"/>
        <v>0</v>
      </c>
      <c r="T459" s="48">
        <f t="shared" si="99"/>
        <v>1040000</v>
      </c>
      <c r="U459" s="40">
        <v>140000</v>
      </c>
      <c r="V459" s="40">
        <v>140000</v>
      </c>
      <c r="W459" s="40">
        <v>150000</v>
      </c>
      <c r="X459" s="40">
        <v>160000</v>
      </c>
      <c r="Y459" s="40">
        <v>120000</v>
      </c>
      <c r="Z459" s="40">
        <v>120000</v>
      </c>
      <c r="AA459" s="40">
        <v>120000</v>
      </c>
      <c r="AB459" s="40">
        <v>120000</v>
      </c>
      <c r="AC459" s="40">
        <v>160000</v>
      </c>
      <c r="AD459" s="40">
        <v>160000</v>
      </c>
      <c r="AE459" s="40">
        <v>180000</v>
      </c>
      <c r="AF459" s="40">
        <v>180000</v>
      </c>
      <c r="AG459" s="40">
        <v>0</v>
      </c>
      <c r="AH459" s="40">
        <v>0</v>
      </c>
      <c r="AI459" s="40">
        <v>0</v>
      </c>
      <c r="AJ459" s="40">
        <v>0</v>
      </c>
      <c r="AK459" s="40">
        <v>0</v>
      </c>
      <c r="AL459" s="40">
        <v>0</v>
      </c>
      <c r="AM459" s="40">
        <v>0</v>
      </c>
      <c r="AN459" s="40">
        <v>0</v>
      </c>
      <c r="AO459" s="40">
        <v>0</v>
      </c>
      <c r="AP459" s="40">
        <v>0</v>
      </c>
      <c r="AQ459" s="40">
        <v>0</v>
      </c>
      <c r="AR459" s="40">
        <v>0</v>
      </c>
      <c r="AS459" s="30" t="s">
        <v>93</v>
      </c>
      <c r="AT459" s="30" t="s">
        <v>116</v>
      </c>
      <c r="AU459" s="30" t="s">
        <v>81</v>
      </c>
      <c r="AV459" s="30" t="s">
        <v>117</v>
      </c>
      <c r="AW459" s="30" t="s">
        <v>143</v>
      </c>
      <c r="AX459" s="30" t="s">
        <v>1030</v>
      </c>
      <c r="AY459" s="30" t="s">
        <v>1028</v>
      </c>
      <c r="AZ459" s="30" t="s">
        <v>1330</v>
      </c>
      <c r="BA459" s="30"/>
      <c r="BB459" s="30"/>
      <c r="BC459" s="58">
        <v>1</v>
      </c>
      <c r="BD459" s="30"/>
      <c r="BE459" s="55"/>
      <c r="BF459" s="55"/>
      <c r="BG459" s="55"/>
      <c r="BH459" s="55"/>
      <c r="BI459" s="55"/>
      <c r="BJ459" s="64"/>
      <c r="BK459" s="39"/>
      <c r="BL459" s="63">
        <f t="shared" si="89"/>
        <v>48000</v>
      </c>
      <c r="BM459" s="63">
        <f t="shared" si="90"/>
        <v>48000</v>
      </c>
      <c r="BN459" s="63">
        <f t="shared" si="91"/>
        <v>48000</v>
      </c>
      <c r="BO459" s="63">
        <f t="shared" si="92"/>
        <v>48000</v>
      </c>
      <c r="BP459" s="63">
        <f t="shared" si="93"/>
        <v>64000</v>
      </c>
      <c r="BQ459" s="63">
        <f t="shared" si="94"/>
        <v>64000</v>
      </c>
      <c r="BR459" s="63">
        <f t="shared" si="95"/>
        <v>72000</v>
      </c>
      <c r="BS459" s="63">
        <f t="shared" si="96"/>
        <v>72000</v>
      </c>
    </row>
    <row r="460" spans="1:71">
      <c r="A460" s="28">
        <f t="shared" si="97"/>
        <v>459</v>
      </c>
      <c r="B460" s="31" t="s">
        <v>1326</v>
      </c>
      <c r="C460" s="30" t="s">
        <v>527</v>
      </c>
      <c r="D460" s="30" t="s">
        <v>1327</v>
      </c>
      <c r="E460" s="30" t="s">
        <v>1305</v>
      </c>
      <c r="F460" s="30" t="s">
        <v>1328</v>
      </c>
      <c r="G460" s="30" t="s">
        <v>251</v>
      </c>
      <c r="H460" s="35" t="s">
        <v>252</v>
      </c>
      <c r="I460" s="30"/>
      <c r="J460" s="30"/>
      <c r="K460" s="30" t="s">
        <v>1331</v>
      </c>
      <c r="L460" s="40">
        <v>400000</v>
      </c>
      <c r="M460" s="39" t="s">
        <v>79</v>
      </c>
      <c r="N460" s="95" t="s">
        <v>1332</v>
      </c>
      <c r="O460" s="30" t="s">
        <v>620</v>
      </c>
      <c r="P460" s="30"/>
      <c r="Q460" s="89">
        <v>0.4</v>
      </c>
      <c r="R460" s="47">
        <f t="shared" si="98"/>
        <v>88000</v>
      </c>
      <c r="S460" s="75">
        <f t="shared" si="100"/>
        <v>0</v>
      </c>
      <c r="T460" s="48">
        <f t="shared" si="99"/>
        <v>220000</v>
      </c>
      <c r="U460" s="40">
        <v>40000</v>
      </c>
      <c r="V460" s="40">
        <v>40000</v>
      </c>
      <c r="W460" s="40">
        <v>40000</v>
      </c>
      <c r="X460" s="40">
        <v>40000</v>
      </c>
      <c r="Y460" s="40">
        <v>40000</v>
      </c>
      <c r="Z460" s="40">
        <v>20000</v>
      </c>
      <c r="AA460" s="40">
        <v>20000</v>
      </c>
      <c r="AB460" s="40">
        <v>20000</v>
      </c>
      <c r="AC460" s="40">
        <v>40000</v>
      </c>
      <c r="AD460" s="40">
        <v>40000</v>
      </c>
      <c r="AE460" s="40">
        <v>40000</v>
      </c>
      <c r="AF460" s="40">
        <v>40000</v>
      </c>
      <c r="AG460" s="40">
        <v>0</v>
      </c>
      <c r="AH460" s="40">
        <v>0</v>
      </c>
      <c r="AI460" s="40">
        <v>0</v>
      </c>
      <c r="AJ460" s="40">
        <v>0</v>
      </c>
      <c r="AK460" s="40">
        <v>0</v>
      </c>
      <c r="AL460" s="40">
        <v>0</v>
      </c>
      <c r="AM460" s="40">
        <v>0</v>
      </c>
      <c r="AN460" s="40">
        <v>0</v>
      </c>
      <c r="AO460" s="40">
        <v>0</v>
      </c>
      <c r="AP460" s="40">
        <v>0</v>
      </c>
      <c r="AQ460" s="40">
        <v>0</v>
      </c>
      <c r="AR460" s="40">
        <v>0</v>
      </c>
      <c r="AS460" s="30" t="s">
        <v>93</v>
      </c>
      <c r="AT460" s="30" t="s">
        <v>116</v>
      </c>
      <c r="AU460" s="30" t="s">
        <v>81</v>
      </c>
      <c r="AV460" s="69" t="s">
        <v>117</v>
      </c>
      <c r="AW460" s="69" t="s">
        <v>143</v>
      </c>
      <c r="AX460" s="69" t="s">
        <v>1333</v>
      </c>
      <c r="AY460" s="69" t="s">
        <v>1334</v>
      </c>
      <c r="AZ460" s="30" t="s">
        <v>1335</v>
      </c>
      <c r="BA460" s="30"/>
      <c r="BB460" s="30" t="s">
        <v>1336</v>
      </c>
      <c r="BC460" s="58">
        <v>1</v>
      </c>
      <c r="BD460" s="30"/>
      <c r="BE460" s="55"/>
      <c r="BF460" s="55"/>
      <c r="BG460" s="55"/>
      <c r="BH460" s="55"/>
      <c r="BI460" s="55"/>
      <c r="BJ460" s="64"/>
      <c r="BK460" s="39"/>
      <c r="BL460" s="63">
        <f t="shared" si="89"/>
        <v>16000</v>
      </c>
      <c r="BM460" s="63">
        <f t="shared" si="90"/>
        <v>8000</v>
      </c>
      <c r="BN460" s="63">
        <f t="shared" si="91"/>
        <v>8000</v>
      </c>
      <c r="BO460" s="63">
        <f t="shared" si="92"/>
        <v>8000</v>
      </c>
      <c r="BP460" s="63">
        <f t="shared" si="93"/>
        <v>16000</v>
      </c>
      <c r="BQ460" s="63">
        <f t="shared" si="94"/>
        <v>16000</v>
      </c>
      <c r="BR460" s="63">
        <f t="shared" si="95"/>
        <v>16000</v>
      </c>
      <c r="BS460" s="63">
        <f t="shared" si="96"/>
        <v>16000</v>
      </c>
    </row>
    <row r="461" spans="1:71">
      <c r="A461" s="28">
        <f t="shared" si="97"/>
        <v>460</v>
      </c>
      <c r="B461" s="31" t="s">
        <v>1326</v>
      </c>
      <c r="C461" s="30" t="s">
        <v>527</v>
      </c>
      <c r="D461" s="30" t="s">
        <v>1327</v>
      </c>
      <c r="E461" s="30" t="s">
        <v>1305</v>
      </c>
      <c r="F461" s="30" t="s">
        <v>1328</v>
      </c>
      <c r="G461" s="30" t="s">
        <v>203</v>
      </c>
      <c r="H461" s="35" t="s">
        <v>204</v>
      </c>
      <c r="I461" s="30"/>
      <c r="J461" s="30"/>
      <c r="K461" s="30" t="s">
        <v>1337</v>
      </c>
      <c r="L461" s="40">
        <v>1000000</v>
      </c>
      <c r="M461" s="39" t="s">
        <v>79</v>
      </c>
      <c r="N461" s="95" t="s">
        <v>1338</v>
      </c>
      <c r="O461" s="30" t="s">
        <v>620</v>
      </c>
      <c r="P461" s="30"/>
      <c r="Q461" s="89">
        <v>0.4</v>
      </c>
      <c r="R461" s="47">
        <f t="shared" si="98"/>
        <v>120000</v>
      </c>
      <c r="S461" s="75">
        <f t="shared" si="100"/>
        <v>0</v>
      </c>
      <c r="T461" s="48">
        <f t="shared" si="99"/>
        <v>300000</v>
      </c>
      <c r="U461" s="40">
        <v>0</v>
      </c>
      <c r="V461" s="40">
        <v>0</v>
      </c>
      <c r="W461" s="40">
        <v>0</v>
      </c>
      <c r="X461" s="40">
        <v>0</v>
      </c>
      <c r="Y461" s="40">
        <v>54000</v>
      </c>
      <c r="Z461" s="40">
        <v>0</v>
      </c>
      <c r="AA461" s="40">
        <v>0</v>
      </c>
      <c r="AB461" s="40">
        <v>60000</v>
      </c>
      <c r="AC461" s="40">
        <v>60000</v>
      </c>
      <c r="AD461" s="40">
        <v>60000</v>
      </c>
      <c r="AE461" s="40">
        <v>60000</v>
      </c>
      <c r="AF461" s="40">
        <v>60000</v>
      </c>
      <c r="AG461" s="40">
        <v>0</v>
      </c>
      <c r="AH461" s="40">
        <v>0</v>
      </c>
      <c r="AI461" s="40">
        <v>0</v>
      </c>
      <c r="AJ461" s="40">
        <v>0</v>
      </c>
      <c r="AK461" s="40">
        <v>0</v>
      </c>
      <c r="AL461" s="40">
        <v>0</v>
      </c>
      <c r="AM461" s="40">
        <v>0</v>
      </c>
      <c r="AN461" s="40">
        <v>0</v>
      </c>
      <c r="AO461" s="40">
        <v>0</v>
      </c>
      <c r="AP461" s="40">
        <v>0</v>
      </c>
      <c r="AQ461" s="40">
        <v>0</v>
      </c>
      <c r="AR461" s="40">
        <v>0</v>
      </c>
      <c r="AS461" s="30" t="s">
        <v>93</v>
      </c>
      <c r="AT461" s="30" t="s">
        <v>116</v>
      </c>
      <c r="AU461" s="30" t="s">
        <v>81</v>
      </c>
      <c r="AV461" s="69" t="s">
        <v>117</v>
      </c>
      <c r="AW461" s="69" t="s">
        <v>143</v>
      </c>
      <c r="AX461" s="69" t="s">
        <v>1333</v>
      </c>
      <c r="AY461" s="69" t="s">
        <v>1337</v>
      </c>
      <c r="AZ461" s="30" t="s">
        <v>1339</v>
      </c>
      <c r="BA461" s="30"/>
      <c r="BB461" s="30" t="s">
        <v>1340</v>
      </c>
      <c r="BC461" s="58">
        <v>3</v>
      </c>
      <c r="BD461" s="30"/>
      <c r="BE461" s="55"/>
      <c r="BF461" s="55"/>
      <c r="BG461" s="55"/>
      <c r="BH461" s="55"/>
      <c r="BI461" s="55"/>
      <c r="BJ461" s="64"/>
      <c r="BK461" s="39"/>
      <c r="BL461" s="63">
        <f t="shared" si="89"/>
        <v>21600</v>
      </c>
      <c r="BM461" s="63">
        <f t="shared" si="90"/>
        <v>0</v>
      </c>
      <c r="BN461" s="63">
        <f t="shared" si="91"/>
        <v>0</v>
      </c>
      <c r="BO461" s="63">
        <f t="shared" si="92"/>
        <v>24000</v>
      </c>
      <c r="BP461" s="63">
        <f t="shared" si="93"/>
        <v>24000</v>
      </c>
      <c r="BQ461" s="63">
        <f t="shared" si="94"/>
        <v>24000</v>
      </c>
      <c r="BR461" s="63">
        <f t="shared" si="95"/>
        <v>24000</v>
      </c>
      <c r="BS461" s="63">
        <f t="shared" si="96"/>
        <v>24000</v>
      </c>
    </row>
    <row r="462" spans="1:71">
      <c r="A462" s="28">
        <f t="shared" si="97"/>
        <v>461</v>
      </c>
      <c r="B462" s="31" t="s">
        <v>1341</v>
      </c>
      <c r="C462" s="28" t="s">
        <v>72</v>
      </c>
      <c r="D462" s="30" t="s">
        <v>1327</v>
      </c>
      <c r="E462" s="30" t="s">
        <v>1305</v>
      </c>
      <c r="F462" s="30" t="s">
        <v>1328</v>
      </c>
      <c r="G462" s="30" t="s">
        <v>363</v>
      </c>
      <c r="H462" s="35"/>
      <c r="I462" s="30"/>
      <c r="J462" s="30"/>
      <c r="K462" s="31" t="s">
        <v>1342</v>
      </c>
      <c r="L462" s="40">
        <v>20000</v>
      </c>
      <c r="M462" s="39" t="s">
        <v>57</v>
      </c>
      <c r="N462" s="28" t="s">
        <v>1343</v>
      </c>
      <c r="O462" s="30"/>
      <c r="P462" s="30"/>
      <c r="Q462" s="89">
        <v>5</v>
      </c>
      <c r="R462" s="47">
        <f t="shared" si="98"/>
        <v>0</v>
      </c>
      <c r="S462" s="75"/>
      <c r="T462" s="48">
        <f t="shared" si="99"/>
        <v>0</v>
      </c>
      <c r="U462" s="40"/>
      <c r="V462" s="40"/>
      <c r="W462" s="40"/>
      <c r="X462" s="40"/>
      <c r="Y462" s="40"/>
      <c r="Z462" s="40"/>
      <c r="AA462" s="40"/>
      <c r="AB462" s="39"/>
      <c r="AC462" s="39"/>
      <c r="AD462" s="39"/>
      <c r="AE462" s="39"/>
      <c r="AF462" s="39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30" t="s">
        <v>1344</v>
      </c>
      <c r="AT462" s="30" t="s">
        <v>116</v>
      </c>
      <c r="AU462" s="30" t="s">
        <v>532</v>
      </c>
      <c r="AV462" s="30"/>
      <c r="AW462" s="30"/>
      <c r="AX462" s="30"/>
      <c r="AY462" s="30"/>
      <c r="AZ462" s="30"/>
      <c r="BA462" s="30"/>
      <c r="BB462" s="30"/>
      <c r="BC462" s="58"/>
      <c r="BD462" s="30"/>
      <c r="BE462" s="55"/>
      <c r="BF462" s="55"/>
      <c r="BG462" s="55"/>
      <c r="BH462" s="55"/>
      <c r="BI462" s="55"/>
      <c r="BJ462" s="64"/>
      <c r="BK462" s="39"/>
      <c r="BL462" s="63">
        <f t="shared" si="89"/>
        <v>0</v>
      </c>
      <c r="BM462" s="63">
        <f t="shared" si="90"/>
        <v>0</v>
      </c>
      <c r="BN462" s="63">
        <f t="shared" si="91"/>
        <v>0</v>
      </c>
      <c r="BO462" s="63">
        <f t="shared" si="92"/>
        <v>0</v>
      </c>
      <c r="BP462" s="63">
        <f t="shared" si="93"/>
        <v>0</v>
      </c>
      <c r="BQ462" s="63">
        <f t="shared" si="94"/>
        <v>0</v>
      </c>
      <c r="BR462" s="63">
        <f t="shared" si="95"/>
        <v>0</v>
      </c>
      <c r="BS462" s="63">
        <f t="shared" si="96"/>
        <v>0</v>
      </c>
    </row>
    <row r="463" spans="1:71">
      <c r="A463" s="28">
        <f t="shared" si="97"/>
        <v>462</v>
      </c>
      <c r="B463" s="31" t="s">
        <v>1345</v>
      </c>
      <c r="C463" s="30" t="s">
        <v>92</v>
      </c>
      <c r="D463" s="30" t="s">
        <v>1346</v>
      </c>
      <c r="E463" s="30" t="s">
        <v>1305</v>
      </c>
      <c r="F463" s="30" t="s">
        <v>1347</v>
      </c>
      <c r="G463" s="30" t="s">
        <v>297</v>
      </c>
      <c r="H463" s="35" t="s">
        <v>298</v>
      </c>
      <c r="I463" s="30"/>
      <c r="J463" s="30"/>
      <c r="K463" s="30" t="s">
        <v>1348</v>
      </c>
      <c r="L463" s="40">
        <v>2000000</v>
      </c>
      <c r="M463" s="39" t="s">
        <v>79</v>
      </c>
      <c r="N463" s="31" t="s">
        <v>1349</v>
      </c>
      <c r="O463" s="30" t="s">
        <v>620</v>
      </c>
      <c r="P463" s="30"/>
      <c r="Q463" s="89">
        <v>0.58</v>
      </c>
      <c r="R463" s="47">
        <f t="shared" si="98"/>
        <v>278400</v>
      </c>
      <c r="S463" s="75">
        <f t="shared" si="100"/>
        <v>0</v>
      </c>
      <c r="T463" s="48">
        <f t="shared" si="99"/>
        <v>480000</v>
      </c>
      <c r="U463" s="40">
        <v>60000</v>
      </c>
      <c r="V463" s="39">
        <v>0</v>
      </c>
      <c r="W463" s="39">
        <v>0</v>
      </c>
      <c r="X463" s="39">
        <v>0</v>
      </c>
      <c r="Y463" s="39">
        <v>0</v>
      </c>
      <c r="Z463" s="39">
        <v>60000</v>
      </c>
      <c r="AA463" s="39">
        <v>0</v>
      </c>
      <c r="AB463" s="39">
        <v>60000</v>
      </c>
      <c r="AC463" s="39">
        <v>60000</v>
      </c>
      <c r="AD463" s="39">
        <v>100000</v>
      </c>
      <c r="AE463" s="39">
        <v>100000</v>
      </c>
      <c r="AF463" s="39">
        <v>100000</v>
      </c>
      <c r="AG463" s="40">
        <v>0</v>
      </c>
      <c r="AH463" s="40">
        <v>0</v>
      </c>
      <c r="AI463" s="40">
        <v>0</v>
      </c>
      <c r="AJ463" s="40">
        <v>0</v>
      </c>
      <c r="AK463" s="40">
        <v>0</v>
      </c>
      <c r="AL463" s="40">
        <v>0</v>
      </c>
      <c r="AM463" s="40">
        <v>0</v>
      </c>
      <c r="AN463" s="40">
        <v>0</v>
      </c>
      <c r="AO463" s="40">
        <v>0</v>
      </c>
      <c r="AP463" s="40">
        <v>0</v>
      </c>
      <c r="AQ463" s="40">
        <v>0</v>
      </c>
      <c r="AR463" s="40">
        <v>0</v>
      </c>
      <c r="AS463" s="30" t="s">
        <v>93</v>
      </c>
      <c r="AT463" s="30" t="s">
        <v>116</v>
      </c>
      <c r="AU463" s="30" t="s">
        <v>81</v>
      </c>
      <c r="AV463" s="30" t="s">
        <v>117</v>
      </c>
      <c r="AW463" s="30" t="s">
        <v>553</v>
      </c>
      <c r="AX463" s="30" t="s">
        <v>1350</v>
      </c>
      <c r="AY463" s="30" t="s">
        <v>555</v>
      </c>
      <c r="AZ463" s="30" t="s">
        <v>1351</v>
      </c>
      <c r="BA463" s="30"/>
      <c r="BB463" s="30"/>
      <c r="BC463" s="58">
        <v>1</v>
      </c>
      <c r="BD463" s="30"/>
      <c r="BE463" s="55"/>
      <c r="BF463" s="55"/>
      <c r="BG463" s="55"/>
      <c r="BH463" s="55"/>
      <c r="BI463" s="55"/>
      <c r="BJ463" s="64"/>
      <c r="BK463" s="39"/>
      <c r="BL463" s="63">
        <f t="shared" si="89"/>
        <v>0</v>
      </c>
      <c r="BM463" s="63">
        <f t="shared" si="90"/>
        <v>34800</v>
      </c>
      <c r="BN463" s="63">
        <f t="shared" si="91"/>
        <v>0</v>
      </c>
      <c r="BO463" s="63">
        <f t="shared" si="92"/>
        <v>34800</v>
      </c>
      <c r="BP463" s="63">
        <f t="shared" si="93"/>
        <v>34800</v>
      </c>
      <c r="BQ463" s="63">
        <f t="shared" si="94"/>
        <v>58000</v>
      </c>
      <c r="BR463" s="63">
        <f t="shared" si="95"/>
        <v>58000</v>
      </c>
      <c r="BS463" s="63">
        <f t="shared" si="96"/>
        <v>58000</v>
      </c>
    </row>
    <row r="464" spans="1:71">
      <c r="A464" s="28">
        <f t="shared" si="97"/>
        <v>463</v>
      </c>
      <c r="B464" s="31" t="s">
        <v>1345</v>
      </c>
      <c r="C464" s="30" t="s">
        <v>92</v>
      </c>
      <c r="D464" s="30" t="s">
        <v>1346</v>
      </c>
      <c r="E464" s="30" t="s">
        <v>1305</v>
      </c>
      <c r="F464" s="30" t="s">
        <v>1347</v>
      </c>
      <c r="G464" s="30" t="s">
        <v>297</v>
      </c>
      <c r="H464" s="35" t="s">
        <v>298</v>
      </c>
      <c r="I464" s="30"/>
      <c r="J464" s="30"/>
      <c r="K464" s="30" t="s">
        <v>1352</v>
      </c>
      <c r="L464" s="40">
        <v>0</v>
      </c>
      <c r="M464" s="39" t="s">
        <v>114</v>
      </c>
      <c r="N464" s="31" t="s">
        <v>1353</v>
      </c>
      <c r="O464" s="30" t="s">
        <v>620</v>
      </c>
      <c r="P464" s="30"/>
      <c r="Q464" s="89">
        <v>0.58</v>
      </c>
      <c r="R464" s="47">
        <f t="shared" si="98"/>
        <v>5800</v>
      </c>
      <c r="S464" s="75">
        <f t="shared" si="100"/>
        <v>0</v>
      </c>
      <c r="T464" s="48">
        <f t="shared" si="99"/>
        <v>10000</v>
      </c>
      <c r="U464" s="40">
        <v>0</v>
      </c>
      <c r="V464" s="40">
        <v>0</v>
      </c>
      <c r="W464" s="40">
        <v>0</v>
      </c>
      <c r="X464" s="40">
        <v>0</v>
      </c>
      <c r="Y464" s="40">
        <v>0</v>
      </c>
      <c r="Z464" s="40">
        <v>0</v>
      </c>
      <c r="AA464" s="40">
        <v>0</v>
      </c>
      <c r="AB464" s="40">
        <v>0</v>
      </c>
      <c r="AC464" s="40">
        <v>0</v>
      </c>
      <c r="AD464" s="40">
        <v>0</v>
      </c>
      <c r="AE464" s="40">
        <v>0</v>
      </c>
      <c r="AF464" s="39">
        <v>10000</v>
      </c>
      <c r="AG464" s="40">
        <v>0</v>
      </c>
      <c r="AH464" s="40">
        <v>0</v>
      </c>
      <c r="AI464" s="40">
        <v>0</v>
      </c>
      <c r="AJ464" s="40">
        <v>0</v>
      </c>
      <c r="AK464" s="40">
        <v>0</v>
      </c>
      <c r="AL464" s="40">
        <v>0</v>
      </c>
      <c r="AM464" s="40">
        <v>0</v>
      </c>
      <c r="AN464" s="40">
        <v>0</v>
      </c>
      <c r="AO464" s="40">
        <v>0</v>
      </c>
      <c r="AP464" s="40">
        <v>0</v>
      </c>
      <c r="AQ464" s="40">
        <v>0</v>
      </c>
      <c r="AR464" s="40">
        <v>0</v>
      </c>
      <c r="AS464" s="30" t="s">
        <v>93</v>
      </c>
      <c r="AT464" s="30" t="s">
        <v>116</v>
      </c>
      <c r="AU464" s="30" t="s">
        <v>81</v>
      </c>
      <c r="AV464" s="30" t="s">
        <v>117</v>
      </c>
      <c r="AW464" s="30" t="s">
        <v>553</v>
      </c>
      <c r="AX464" s="30" t="s">
        <v>1350</v>
      </c>
      <c r="AY464" s="30" t="s">
        <v>1049</v>
      </c>
      <c r="AZ464" s="30" t="s">
        <v>1351</v>
      </c>
      <c r="BA464" s="30"/>
      <c r="BB464" s="30"/>
      <c r="BC464" s="58">
        <v>1</v>
      </c>
      <c r="BD464" s="30"/>
      <c r="BE464" s="55"/>
      <c r="BF464" s="55"/>
      <c r="BG464" s="55"/>
      <c r="BH464" s="55"/>
      <c r="BI464" s="55"/>
      <c r="BJ464" s="64"/>
      <c r="BK464" s="39"/>
      <c r="BL464" s="63">
        <f t="shared" si="89"/>
        <v>0</v>
      </c>
      <c r="BM464" s="63">
        <f t="shared" si="90"/>
        <v>0</v>
      </c>
      <c r="BN464" s="63">
        <f t="shared" si="91"/>
        <v>0</v>
      </c>
      <c r="BO464" s="63">
        <f t="shared" si="92"/>
        <v>0</v>
      </c>
      <c r="BP464" s="63">
        <f t="shared" si="93"/>
        <v>0</v>
      </c>
      <c r="BQ464" s="63">
        <f t="shared" si="94"/>
        <v>0</v>
      </c>
      <c r="BR464" s="63">
        <f t="shared" si="95"/>
        <v>0</v>
      </c>
      <c r="BS464" s="63">
        <f t="shared" si="96"/>
        <v>5800</v>
      </c>
    </row>
    <row r="465" spans="1:71">
      <c r="A465" s="28">
        <f t="shared" si="97"/>
        <v>464</v>
      </c>
      <c r="B465" s="31" t="s">
        <v>1354</v>
      </c>
      <c r="C465" s="30" t="s">
        <v>72</v>
      </c>
      <c r="D465" s="30" t="s">
        <v>1354</v>
      </c>
      <c r="E465" s="30" t="s">
        <v>1305</v>
      </c>
      <c r="F465" s="30" t="s">
        <v>1355</v>
      </c>
      <c r="G465" s="30" t="s">
        <v>290</v>
      </c>
      <c r="H465" s="35" t="s">
        <v>291</v>
      </c>
      <c r="I465" s="30"/>
      <c r="J465" s="30"/>
      <c r="K465" s="31" t="s">
        <v>1356</v>
      </c>
      <c r="L465" s="40">
        <v>6000000</v>
      </c>
      <c r="M465" s="39" t="s">
        <v>79</v>
      </c>
      <c r="N465" s="95" t="s">
        <v>1357</v>
      </c>
      <c r="O465" s="30" t="s">
        <v>620</v>
      </c>
      <c r="P465" s="30"/>
      <c r="Q465" s="89">
        <v>0.26</v>
      </c>
      <c r="R465" s="47">
        <f t="shared" si="98"/>
        <v>179400</v>
      </c>
      <c r="S465" s="75">
        <f t="shared" si="100"/>
        <v>0</v>
      </c>
      <c r="T465" s="48">
        <f t="shared" si="99"/>
        <v>690000</v>
      </c>
      <c r="U465" s="40">
        <v>0</v>
      </c>
      <c r="V465" s="40">
        <v>0</v>
      </c>
      <c r="W465" s="40">
        <v>390000</v>
      </c>
      <c r="X465" s="40">
        <v>0</v>
      </c>
      <c r="Y465" s="40">
        <v>300000</v>
      </c>
      <c r="Z465" s="40">
        <v>690000</v>
      </c>
      <c r="AA465" s="100">
        <v>0</v>
      </c>
      <c r="AB465" s="100">
        <v>0</v>
      </c>
      <c r="AC465" s="100">
        <v>0</v>
      </c>
      <c r="AD465" s="100">
        <v>0</v>
      </c>
      <c r="AE465" s="100">
        <v>0</v>
      </c>
      <c r="AF465" s="100">
        <v>0</v>
      </c>
      <c r="AG465" s="40">
        <v>0</v>
      </c>
      <c r="AH465" s="40">
        <v>0</v>
      </c>
      <c r="AI465" s="40">
        <v>0</v>
      </c>
      <c r="AJ465" s="40">
        <v>0</v>
      </c>
      <c r="AK465" s="40">
        <v>0</v>
      </c>
      <c r="AL465" s="40">
        <v>0</v>
      </c>
      <c r="AM465" s="40">
        <v>0</v>
      </c>
      <c r="AN465" s="40">
        <v>0</v>
      </c>
      <c r="AO465" s="40">
        <v>0</v>
      </c>
      <c r="AP465" s="40">
        <v>0</v>
      </c>
      <c r="AQ465" s="40">
        <v>0</v>
      </c>
      <c r="AR465" s="40">
        <v>0</v>
      </c>
      <c r="AS465" s="30" t="s">
        <v>93</v>
      </c>
      <c r="AT465" s="30" t="s">
        <v>116</v>
      </c>
      <c r="AU465" s="30" t="s">
        <v>81</v>
      </c>
      <c r="AV465" s="30" t="s">
        <v>106</v>
      </c>
      <c r="AW465" s="30" t="s">
        <v>638</v>
      </c>
      <c r="AX465" s="30" t="s">
        <v>649</v>
      </c>
      <c r="AY465" s="30" t="s">
        <v>655</v>
      </c>
      <c r="AZ465" s="30"/>
      <c r="BA465" s="30"/>
      <c r="BB465" s="30"/>
      <c r="BC465" s="58">
        <v>64</v>
      </c>
      <c r="BD465" s="30"/>
      <c r="BE465" s="55"/>
      <c r="BF465" s="55"/>
      <c r="BG465" s="55"/>
      <c r="BH465" s="55"/>
      <c r="BI465" s="55"/>
      <c r="BJ465" s="64"/>
      <c r="BK465" s="39"/>
      <c r="BL465" s="63">
        <f t="shared" si="89"/>
        <v>78000</v>
      </c>
      <c r="BM465" s="63">
        <f t="shared" si="90"/>
        <v>179400</v>
      </c>
      <c r="BN465" s="63">
        <f t="shared" si="91"/>
        <v>0</v>
      </c>
      <c r="BO465" s="63">
        <f t="shared" si="92"/>
        <v>0</v>
      </c>
      <c r="BP465" s="63">
        <f t="shared" si="93"/>
        <v>0</v>
      </c>
      <c r="BQ465" s="63">
        <f t="shared" si="94"/>
        <v>0</v>
      </c>
      <c r="BR465" s="63">
        <f t="shared" si="95"/>
        <v>0</v>
      </c>
      <c r="BS465" s="63">
        <f t="shared" si="96"/>
        <v>0</v>
      </c>
    </row>
    <row r="466" spans="1:71">
      <c r="A466" s="28">
        <f t="shared" si="97"/>
        <v>465</v>
      </c>
      <c r="B466" s="31" t="s">
        <v>1358</v>
      </c>
      <c r="C466" s="30" t="s">
        <v>72</v>
      </c>
      <c r="D466" s="30" t="s">
        <v>1313</v>
      </c>
      <c r="E466" s="30" t="s">
        <v>1305</v>
      </c>
      <c r="F466" s="30" t="s">
        <v>1314</v>
      </c>
      <c r="G466" s="30" t="s">
        <v>464</v>
      </c>
      <c r="H466" s="35"/>
      <c r="I466" s="30"/>
      <c r="J466" s="30"/>
      <c r="K466" s="30" t="s">
        <v>1359</v>
      </c>
      <c r="L466" s="40"/>
      <c r="M466" s="39" t="s">
        <v>114</v>
      </c>
      <c r="N466" s="31" t="s">
        <v>1360</v>
      </c>
      <c r="O466" s="30" t="s">
        <v>736</v>
      </c>
      <c r="P466" s="30"/>
      <c r="Q466" s="89">
        <v>7.1</v>
      </c>
      <c r="R466" s="47">
        <f t="shared" si="98"/>
        <v>0</v>
      </c>
      <c r="S466" s="75">
        <f t="shared" si="100"/>
        <v>0</v>
      </c>
      <c r="T466" s="48">
        <f t="shared" si="99"/>
        <v>0</v>
      </c>
      <c r="U466" s="40">
        <v>0</v>
      </c>
      <c r="V466" s="40">
        <v>0</v>
      </c>
      <c r="W466" s="40">
        <v>0</v>
      </c>
      <c r="X466" s="40">
        <v>0</v>
      </c>
      <c r="Y466" s="40">
        <v>0</v>
      </c>
      <c r="Z466" s="40">
        <v>0</v>
      </c>
      <c r="AA466" s="40">
        <v>0</v>
      </c>
      <c r="AB466" s="40">
        <v>0</v>
      </c>
      <c r="AC466" s="40">
        <v>0</v>
      </c>
      <c r="AD466" s="40">
        <v>0</v>
      </c>
      <c r="AE466" s="40">
        <v>0</v>
      </c>
      <c r="AF466" s="40">
        <v>0</v>
      </c>
      <c r="AG466" s="40">
        <v>0</v>
      </c>
      <c r="AH466" s="40">
        <v>0</v>
      </c>
      <c r="AI466" s="40">
        <v>0</v>
      </c>
      <c r="AJ466" s="40">
        <v>0</v>
      </c>
      <c r="AK466" s="40">
        <v>0</v>
      </c>
      <c r="AL466" s="40">
        <v>0</v>
      </c>
      <c r="AM466" s="40">
        <v>0</v>
      </c>
      <c r="AN466" s="40">
        <v>0</v>
      </c>
      <c r="AO466" s="40">
        <v>0</v>
      </c>
      <c r="AP466" s="40">
        <v>0</v>
      </c>
      <c r="AQ466" s="40">
        <v>0</v>
      </c>
      <c r="AR466" s="40">
        <v>0</v>
      </c>
      <c r="AS466" s="30" t="s">
        <v>552</v>
      </c>
      <c r="AT466" s="30" t="s">
        <v>116</v>
      </c>
      <c r="AU466" s="30" t="s">
        <v>688</v>
      </c>
      <c r="AV466" s="69" t="s">
        <v>106</v>
      </c>
      <c r="AW466" s="69" t="s">
        <v>638</v>
      </c>
      <c r="AX466" s="69" t="s">
        <v>649</v>
      </c>
      <c r="AY466" s="69" t="s">
        <v>655</v>
      </c>
      <c r="AZ466" s="30"/>
      <c r="BA466" s="30"/>
      <c r="BB466" s="30"/>
      <c r="BC466" s="58"/>
      <c r="BD466" s="30"/>
      <c r="BE466" s="55"/>
      <c r="BF466" s="55"/>
      <c r="BG466" s="55"/>
      <c r="BH466" s="55"/>
      <c r="BI466" s="55"/>
      <c r="BJ466" s="64"/>
      <c r="BK466" s="39"/>
      <c r="BL466" s="63">
        <f t="shared" si="89"/>
        <v>0</v>
      </c>
      <c r="BM466" s="63">
        <f t="shared" si="90"/>
        <v>0</v>
      </c>
      <c r="BN466" s="63">
        <f t="shared" si="91"/>
        <v>0</v>
      </c>
      <c r="BO466" s="63">
        <f t="shared" si="92"/>
        <v>0</v>
      </c>
      <c r="BP466" s="63">
        <f t="shared" si="93"/>
        <v>0</v>
      </c>
      <c r="BQ466" s="63">
        <f t="shared" si="94"/>
        <v>0</v>
      </c>
      <c r="BR466" s="63">
        <f t="shared" si="95"/>
        <v>0</v>
      </c>
      <c r="BS466" s="63">
        <f t="shared" si="96"/>
        <v>0</v>
      </c>
    </row>
    <row r="467" spans="1:71">
      <c r="A467" s="28">
        <f t="shared" si="97"/>
        <v>466</v>
      </c>
      <c r="B467" s="31" t="s">
        <v>1358</v>
      </c>
      <c r="C467" s="30" t="s">
        <v>72</v>
      </c>
      <c r="D467" s="30" t="s">
        <v>1313</v>
      </c>
      <c r="E467" s="30" t="s">
        <v>1305</v>
      </c>
      <c r="F467" s="30" t="s">
        <v>1314</v>
      </c>
      <c r="G467" s="30" t="s">
        <v>391</v>
      </c>
      <c r="H467" s="35" t="s">
        <v>392</v>
      </c>
      <c r="I467" s="30"/>
      <c r="J467" s="30"/>
      <c r="K467" s="30" t="s">
        <v>1361</v>
      </c>
      <c r="L467" s="40"/>
      <c r="M467" s="39" t="s">
        <v>56</v>
      </c>
      <c r="N467" s="31" t="s">
        <v>1362</v>
      </c>
      <c r="O467" s="30" t="s">
        <v>736</v>
      </c>
      <c r="P467" s="30"/>
      <c r="Q467" s="89">
        <v>2.8</v>
      </c>
      <c r="R467" s="47">
        <f t="shared" si="98"/>
        <v>0</v>
      </c>
      <c r="S467" s="75">
        <f t="shared" ref="S467:S468" si="101">Q467*SUM(AG467:AL467)</f>
        <v>0</v>
      </c>
      <c r="T467" s="48">
        <f t="shared" si="99"/>
        <v>0</v>
      </c>
      <c r="U467" s="40">
        <v>0</v>
      </c>
      <c r="V467" s="40">
        <v>0</v>
      </c>
      <c r="W467" s="40">
        <v>0</v>
      </c>
      <c r="X467" s="40">
        <v>0</v>
      </c>
      <c r="Y467" s="40">
        <v>0</v>
      </c>
      <c r="Z467" s="40">
        <v>0</v>
      </c>
      <c r="AA467" s="40">
        <v>0</v>
      </c>
      <c r="AB467" s="40">
        <v>0</v>
      </c>
      <c r="AC467" s="40">
        <v>0</v>
      </c>
      <c r="AD467" s="40">
        <v>0</v>
      </c>
      <c r="AE467" s="40">
        <v>0</v>
      </c>
      <c r="AF467" s="40">
        <v>0</v>
      </c>
      <c r="AG467" s="40">
        <v>0</v>
      </c>
      <c r="AH467" s="40">
        <v>0</v>
      </c>
      <c r="AI467" s="40">
        <v>0</v>
      </c>
      <c r="AJ467" s="40">
        <v>0</v>
      </c>
      <c r="AK467" s="40">
        <v>0</v>
      </c>
      <c r="AL467" s="40">
        <v>0</v>
      </c>
      <c r="AM467" s="40">
        <v>0</v>
      </c>
      <c r="AN467" s="40">
        <v>0</v>
      </c>
      <c r="AO467" s="40">
        <v>0</v>
      </c>
      <c r="AP467" s="40">
        <v>0</v>
      </c>
      <c r="AQ467" s="40">
        <v>0</v>
      </c>
      <c r="AR467" s="40">
        <v>0</v>
      </c>
      <c r="AS467" s="30" t="s">
        <v>552</v>
      </c>
      <c r="AT467" s="30" t="s">
        <v>116</v>
      </c>
      <c r="AU467" s="30" t="s">
        <v>545</v>
      </c>
      <c r="AV467" s="69" t="s">
        <v>106</v>
      </c>
      <c r="AW467" s="69" t="s">
        <v>638</v>
      </c>
      <c r="AX467" s="69" t="s">
        <v>649</v>
      </c>
      <c r="AY467" s="69" t="s">
        <v>655</v>
      </c>
      <c r="AZ467" s="30"/>
      <c r="BA467" s="30"/>
      <c r="BB467" s="30"/>
      <c r="BC467" s="58"/>
      <c r="BD467" s="30"/>
      <c r="BE467" s="55"/>
      <c r="BF467" s="55"/>
      <c r="BG467" s="55"/>
      <c r="BH467" s="55"/>
      <c r="BI467" s="55"/>
      <c r="BJ467" s="64"/>
      <c r="BK467" s="39"/>
      <c r="BL467" s="63">
        <f t="shared" si="89"/>
        <v>0</v>
      </c>
      <c r="BM467" s="63">
        <f t="shared" si="90"/>
        <v>0</v>
      </c>
      <c r="BN467" s="63">
        <f t="shared" si="91"/>
        <v>0</v>
      </c>
      <c r="BO467" s="63">
        <f t="shared" si="92"/>
        <v>0</v>
      </c>
      <c r="BP467" s="63">
        <f t="shared" si="93"/>
        <v>0</v>
      </c>
      <c r="BQ467" s="63">
        <f t="shared" si="94"/>
        <v>0</v>
      </c>
      <c r="BR467" s="63">
        <f t="shared" si="95"/>
        <v>0</v>
      </c>
      <c r="BS467" s="63">
        <f t="shared" si="96"/>
        <v>0</v>
      </c>
    </row>
    <row r="468" spans="1:71">
      <c r="A468" s="28">
        <f t="shared" si="97"/>
        <v>467</v>
      </c>
      <c r="B468" s="31" t="s">
        <v>1358</v>
      </c>
      <c r="C468" s="30" t="s">
        <v>72</v>
      </c>
      <c r="D468" s="30" t="s">
        <v>1313</v>
      </c>
      <c r="E468" s="30" t="s">
        <v>1305</v>
      </c>
      <c r="F468" s="30" t="s">
        <v>1314</v>
      </c>
      <c r="G468" s="30" t="s">
        <v>443</v>
      </c>
      <c r="H468" s="35" t="s">
        <v>444</v>
      </c>
      <c r="I468" s="30"/>
      <c r="J468" s="30"/>
      <c r="K468" s="30" t="s">
        <v>1363</v>
      </c>
      <c r="L468" s="40"/>
      <c r="M468" s="39" t="s">
        <v>56</v>
      </c>
      <c r="N468" s="31" t="s">
        <v>1364</v>
      </c>
      <c r="O468" s="30" t="s">
        <v>736</v>
      </c>
      <c r="P468" s="30"/>
      <c r="Q468" s="89">
        <v>2.8</v>
      </c>
      <c r="R468" s="47">
        <f t="shared" si="98"/>
        <v>0</v>
      </c>
      <c r="S468" s="75">
        <f t="shared" si="101"/>
        <v>0</v>
      </c>
      <c r="T468" s="48">
        <f t="shared" si="99"/>
        <v>0</v>
      </c>
      <c r="U468" s="40">
        <v>0</v>
      </c>
      <c r="V468" s="40">
        <v>0</v>
      </c>
      <c r="W468" s="40">
        <v>0</v>
      </c>
      <c r="X468" s="40">
        <v>0</v>
      </c>
      <c r="Y468" s="40">
        <v>0</v>
      </c>
      <c r="Z468" s="40">
        <v>0</v>
      </c>
      <c r="AA468" s="40">
        <v>0</v>
      </c>
      <c r="AB468" s="40">
        <v>0</v>
      </c>
      <c r="AC468" s="40">
        <v>0</v>
      </c>
      <c r="AD468" s="40">
        <v>0</v>
      </c>
      <c r="AE468" s="40">
        <v>0</v>
      </c>
      <c r="AF468" s="40">
        <v>0</v>
      </c>
      <c r="AG468" s="40">
        <v>0</v>
      </c>
      <c r="AH468" s="40">
        <v>0</v>
      </c>
      <c r="AI468" s="40">
        <v>0</v>
      </c>
      <c r="AJ468" s="40">
        <v>0</v>
      </c>
      <c r="AK468" s="40">
        <v>0</v>
      </c>
      <c r="AL468" s="40">
        <v>0</v>
      </c>
      <c r="AM468" s="40">
        <v>0</v>
      </c>
      <c r="AN468" s="40">
        <v>0</v>
      </c>
      <c r="AO468" s="40">
        <v>0</v>
      </c>
      <c r="AP468" s="40">
        <v>0</v>
      </c>
      <c r="AQ468" s="40">
        <v>0</v>
      </c>
      <c r="AR468" s="40">
        <v>0</v>
      </c>
      <c r="AS468" s="30" t="s">
        <v>552</v>
      </c>
      <c r="AT468" s="30" t="s">
        <v>116</v>
      </c>
      <c r="AU468" s="30" t="s">
        <v>688</v>
      </c>
      <c r="AV468" s="69" t="s">
        <v>106</v>
      </c>
      <c r="AW468" s="69" t="s">
        <v>638</v>
      </c>
      <c r="AX468" s="69" t="s">
        <v>649</v>
      </c>
      <c r="AY468" s="69" t="s">
        <v>655</v>
      </c>
      <c r="AZ468" s="30"/>
      <c r="BA468" s="30"/>
      <c r="BB468" s="30"/>
      <c r="BC468" s="58"/>
      <c r="BD468" s="30"/>
      <c r="BE468" s="55"/>
      <c r="BF468" s="55"/>
      <c r="BG468" s="55"/>
      <c r="BH468" s="55"/>
      <c r="BI468" s="55"/>
      <c r="BJ468" s="64"/>
      <c r="BK468" s="39"/>
      <c r="BL468" s="63">
        <f t="shared" si="89"/>
        <v>0</v>
      </c>
      <c r="BM468" s="63">
        <f t="shared" si="90"/>
        <v>0</v>
      </c>
      <c r="BN468" s="63">
        <f t="shared" si="91"/>
        <v>0</v>
      </c>
      <c r="BO468" s="63">
        <f t="shared" si="92"/>
        <v>0</v>
      </c>
      <c r="BP468" s="63">
        <f t="shared" si="93"/>
        <v>0</v>
      </c>
      <c r="BQ468" s="63">
        <f t="shared" si="94"/>
        <v>0</v>
      </c>
      <c r="BR468" s="63">
        <f t="shared" si="95"/>
        <v>0</v>
      </c>
      <c r="BS468" s="63">
        <f t="shared" si="96"/>
        <v>0</v>
      </c>
    </row>
    <row r="469" spans="1:71">
      <c r="A469" s="28">
        <f t="shared" si="97"/>
        <v>468</v>
      </c>
      <c r="B469" s="77" t="s">
        <v>1365</v>
      </c>
      <c r="C469" s="31" t="s">
        <v>92</v>
      </c>
      <c r="D469" s="31" t="s">
        <v>1366</v>
      </c>
      <c r="E469" s="30" t="s">
        <v>1305</v>
      </c>
      <c r="F469" s="31" t="s">
        <v>1367</v>
      </c>
      <c r="G469" s="31" t="s">
        <v>210</v>
      </c>
      <c r="H469" s="35" t="s">
        <v>211</v>
      </c>
      <c r="I469" s="31"/>
      <c r="J469" s="31"/>
      <c r="K469" s="31" t="s">
        <v>1368</v>
      </c>
      <c r="L469" s="40">
        <v>2500000</v>
      </c>
      <c r="M469" s="31" t="s">
        <v>79</v>
      </c>
      <c r="N469" s="31" t="s">
        <v>1369</v>
      </c>
      <c r="O469" s="31" t="s">
        <v>620</v>
      </c>
      <c r="P469" s="31"/>
      <c r="Q469" s="89">
        <v>0.237</v>
      </c>
      <c r="R469" s="47">
        <f t="shared" si="98"/>
        <v>341280</v>
      </c>
      <c r="S469" s="75">
        <f t="shared" si="100"/>
        <v>0</v>
      </c>
      <c r="T469" s="48">
        <f t="shared" si="99"/>
        <v>1440000</v>
      </c>
      <c r="U469" s="31">
        <v>900000</v>
      </c>
      <c r="V469" s="40">
        <v>0</v>
      </c>
      <c r="W469" s="40">
        <v>0</v>
      </c>
      <c r="X469" s="40">
        <v>0</v>
      </c>
      <c r="Y469" s="40">
        <v>0</v>
      </c>
      <c r="Z469" s="40">
        <v>0</v>
      </c>
      <c r="AA469" s="40">
        <v>0</v>
      </c>
      <c r="AB469" s="40">
        <v>0</v>
      </c>
      <c r="AC469" s="31">
        <v>480000</v>
      </c>
      <c r="AD469" s="40">
        <v>0</v>
      </c>
      <c r="AE469" s="31">
        <v>480000</v>
      </c>
      <c r="AF469" s="31">
        <v>480000</v>
      </c>
      <c r="AG469" s="40">
        <v>0</v>
      </c>
      <c r="AH469" s="40">
        <v>0</v>
      </c>
      <c r="AI469" s="40">
        <v>0</v>
      </c>
      <c r="AJ469" s="40">
        <v>0</v>
      </c>
      <c r="AK469" s="40">
        <v>0</v>
      </c>
      <c r="AL469" s="40">
        <v>0</v>
      </c>
      <c r="AM469" s="40">
        <v>0</v>
      </c>
      <c r="AN469" s="40">
        <v>0</v>
      </c>
      <c r="AO469" s="40">
        <v>0</v>
      </c>
      <c r="AP469" s="40">
        <v>0</v>
      </c>
      <c r="AQ469" s="40">
        <v>0</v>
      </c>
      <c r="AR469" s="40">
        <v>0</v>
      </c>
      <c r="AS469" s="31" t="s">
        <v>93</v>
      </c>
      <c r="AT469" s="30" t="s">
        <v>116</v>
      </c>
      <c r="AU469" s="30" t="s">
        <v>81</v>
      </c>
      <c r="AV469" s="31" t="s">
        <v>581</v>
      </c>
      <c r="AW469" s="31" t="s">
        <v>1370</v>
      </c>
      <c r="AX469" s="31" t="s">
        <v>583</v>
      </c>
      <c r="AY469" s="31" t="s">
        <v>1371</v>
      </c>
      <c r="AZ469" s="31"/>
      <c r="BA469" s="31"/>
      <c r="BB469" s="31"/>
      <c r="BC469" s="31"/>
      <c r="BD469" s="31"/>
      <c r="BE469" s="31"/>
      <c r="BF469" s="31"/>
      <c r="BG469" s="31"/>
      <c r="BH469" s="31"/>
      <c r="BI469" s="31"/>
      <c r="BJ469" s="31"/>
      <c r="BK469" s="31"/>
      <c r="BL469" s="63">
        <f t="shared" si="89"/>
        <v>0</v>
      </c>
      <c r="BM469" s="63">
        <f t="shared" si="90"/>
        <v>0</v>
      </c>
      <c r="BN469" s="63">
        <f t="shared" si="91"/>
        <v>0</v>
      </c>
      <c r="BO469" s="63">
        <f t="shared" si="92"/>
        <v>0</v>
      </c>
      <c r="BP469" s="63">
        <f t="shared" si="93"/>
        <v>113760</v>
      </c>
      <c r="BQ469" s="63">
        <f t="shared" si="94"/>
        <v>0</v>
      </c>
      <c r="BR469" s="63">
        <f t="shared" si="95"/>
        <v>113760</v>
      </c>
      <c r="BS469" s="63">
        <f t="shared" si="96"/>
        <v>113760</v>
      </c>
    </row>
    <row r="470" spans="1:71">
      <c r="A470" s="28">
        <f t="shared" si="97"/>
        <v>469</v>
      </c>
      <c r="B470" s="77" t="s">
        <v>1372</v>
      </c>
      <c r="C470" s="31" t="s">
        <v>92</v>
      </c>
      <c r="D470" s="31" t="s">
        <v>1366</v>
      </c>
      <c r="E470" s="30" t="s">
        <v>1305</v>
      </c>
      <c r="F470" s="31" t="s">
        <v>1367</v>
      </c>
      <c r="G470" s="31" t="s">
        <v>259</v>
      </c>
      <c r="H470" s="68" t="s">
        <v>260</v>
      </c>
      <c r="I470" s="31"/>
      <c r="J470" s="31"/>
      <c r="K470" s="31" t="s">
        <v>1373</v>
      </c>
      <c r="L470" s="40">
        <v>1500000</v>
      </c>
      <c r="M470" s="31" t="s">
        <v>79</v>
      </c>
      <c r="N470" s="31" t="s">
        <v>1374</v>
      </c>
      <c r="O470" s="31" t="s">
        <v>620</v>
      </c>
      <c r="P470" s="31"/>
      <c r="Q470" s="89">
        <v>0.48</v>
      </c>
      <c r="R470" s="47">
        <f t="shared" si="98"/>
        <v>153600</v>
      </c>
      <c r="S470" s="75">
        <f t="shared" si="100"/>
        <v>0</v>
      </c>
      <c r="T470" s="48">
        <f t="shared" si="99"/>
        <v>320000</v>
      </c>
      <c r="U470" s="40">
        <v>0</v>
      </c>
      <c r="V470" s="40">
        <v>0</v>
      </c>
      <c r="W470" s="31">
        <v>120000</v>
      </c>
      <c r="X470" s="40">
        <v>0</v>
      </c>
      <c r="Y470" s="31">
        <v>120000</v>
      </c>
      <c r="Z470" s="40">
        <v>0</v>
      </c>
      <c r="AA470" s="40">
        <v>0</v>
      </c>
      <c r="AB470" s="40">
        <v>0</v>
      </c>
      <c r="AC470" s="40">
        <v>0</v>
      </c>
      <c r="AD470" s="31">
        <v>120000</v>
      </c>
      <c r="AE470" s="31">
        <v>100000</v>
      </c>
      <c r="AF470" s="31">
        <v>100000</v>
      </c>
      <c r="AG470" s="40">
        <v>0</v>
      </c>
      <c r="AH470" s="40">
        <v>0</v>
      </c>
      <c r="AI470" s="40">
        <v>0</v>
      </c>
      <c r="AJ470" s="40">
        <v>0</v>
      </c>
      <c r="AK470" s="40">
        <v>0</v>
      </c>
      <c r="AL470" s="40">
        <v>0</v>
      </c>
      <c r="AM470" s="40">
        <v>0</v>
      </c>
      <c r="AN470" s="40">
        <v>0</v>
      </c>
      <c r="AO470" s="40">
        <v>0</v>
      </c>
      <c r="AP470" s="40">
        <v>0</v>
      </c>
      <c r="AQ470" s="40">
        <v>0</v>
      </c>
      <c r="AR470" s="40">
        <v>0</v>
      </c>
      <c r="AS470" s="31" t="s">
        <v>93</v>
      </c>
      <c r="AT470" s="30" t="s">
        <v>116</v>
      </c>
      <c r="AU470" s="30" t="s">
        <v>81</v>
      </c>
      <c r="AV470" s="31" t="s">
        <v>581</v>
      </c>
      <c r="AW470" s="31" t="s">
        <v>1370</v>
      </c>
      <c r="AX470" s="31" t="s">
        <v>1375</v>
      </c>
      <c r="AY470" s="31" t="s">
        <v>1376</v>
      </c>
      <c r="AZ470" s="31"/>
      <c r="BA470" s="31"/>
      <c r="BB470" s="31"/>
      <c r="BC470" s="31"/>
      <c r="BD470" s="31"/>
      <c r="BE470" s="31"/>
      <c r="BF470" s="31"/>
      <c r="BG470" s="31"/>
      <c r="BH470" s="31"/>
      <c r="BI470" s="31"/>
      <c r="BJ470" s="31"/>
      <c r="BK470" s="31"/>
      <c r="BL470" s="63">
        <f t="shared" si="89"/>
        <v>57600</v>
      </c>
      <c r="BM470" s="63">
        <f t="shared" si="90"/>
        <v>0</v>
      </c>
      <c r="BN470" s="63">
        <f t="shared" si="91"/>
        <v>0</v>
      </c>
      <c r="BO470" s="63">
        <f t="shared" si="92"/>
        <v>0</v>
      </c>
      <c r="BP470" s="63">
        <f t="shared" si="93"/>
        <v>0</v>
      </c>
      <c r="BQ470" s="63">
        <f t="shared" si="94"/>
        <v>57600</v>
      </c>
      <c r="BR470" s="63">
        <f t="shared" si="95"/>
        <v>48000</v>
      </c>
      <c r="BS470" s="63">
        <f t="shared" si="96"/>
        <v>48000</v>
      </c>
    </row>
    <row r="471" spans="1:71">
      <c r="A471" s="28">
        <f t="shared" si="97"/>
        <v>470</v>
      </c>
      <c r="B471" s="28" t="s">
        <v>1377</v>
      </c>
      <c r="C471" s="28" t="s">
        <v>72</v>
      </c>
      <c r="D471" s="30" t="s">
        <v>1346</v>
      </c>
      <c r="E471" s="30" t="s">
        <v>1305</v>
      </c>
      <c r="F471" s="31" t="s">
        <v>1347</v>
      </c>
      <c r="G471" s="28" t="s">
        <v>270</v>
      </c>
      <c r="H471" s="35" t="s">
        <v>271</v>
      </c>
      <c r="I471" s="28"/>
      <c r="J471" s="28"/>
      <c r="K471" s="28" t="s">
        <v>1378</v>
      </c>
      <c r="L471" s="40">
        <v>500000</v>
      </c>
      <c r="M471" s="28" t="s">
        <v>114</v>
      </c>
      <c r="N471" s="28" t="s">
        <v>1379</v>
      </c>
      <c r="O471" s="28"/>
      <c r="P471" s="28"/>
      <c r="Q471" s="89">
        <v>0.52</v>
      </c>
      <c r="R471" s="47">
        <f t="shared" si="98"/>
        <v>15600</v>
      </c>
      <c r="S471" s="75">
        <f t="shared" si="100"/>
        <v>0</v>
      </c>
      <c r="T471" s="48">
        <f t="shared" si="99"/>
        <v>30000</v>
      </c>
      <c r="U471" s="40">
        <v>0</v>
      </c>
      <c r="V471" s="40">
        <v>0</v>
      </c>
      <c r="W471" s="40">
        <v>0</v>
      </c>
      <c r="X471" s="40">
        <v>0</v>
      </c>
      <c r="Y471" s="40">
        <v>0</v>
      </c>
      <c r="Z471" s="40">
        <v>0</v>
      </c>
      <c r="AA471" s="40">
        <v>0</v>
      </c>
      <c r="AB471" s="40">
        <v>0</v>
      </c>
      <c r="AC471" s="40">
        <v>0</v>
      </c>
      <c r="AD471" s="40">
        <v>0</v>
      </c>
      <c r="AE471" s="28">
        <v>10000</v>
      </c>
      <c r="AF471" s="28">
        <v>20000</v>
      </c>
      <c r="AG471" s="40">
        <v>0</v>
      </c>
      <c r="AH471" s="40">
        <v>0</v>
      </c>
      <c r="AI471" s="40">
        <v>0</v>
      </c>
      <c r="AJ471" s="40">
        <v>0</v>
      </c>
      <c r="AK471" s="40">
        <v>0</v>
      </c>
      <c r="AL471" s="40">
        <v>0</v>
      </c>
      <c r="AM471" s="40">
        <v>0</v>
      </c>
      <c r="AN471" s="40">
        <v>0</v>
      </c>
      <c r="AO471" s="40">
        <v>0</v>
      </c>
      <c r="AP471" s="40">
        <v>0</v>
      </c>
      <c r="AQ471" s="40">
        <v>0</v>
      </c>
      <c r="AR471" s="40">
        <v>0</v>
      </c>
      <c r="AS471" s="31" t="s">
        <v>93</v>
      </c>
      <c r="AT471" s="30" t="s">
        <v>116</v>
      </c>
      <c r="AU471" s="30" t="s">
        <v>81</v>
      </c>
      <c r="AV471" s="31" t="s">
        <v>117</v>
      </c>
      <c r="AW471" s="31" t="s">
        <v>143</v>
      </c>
      <c r="AX471" s="31" t="s">
        <v>1030</v>
      </c>
      <c r="AY471" s="31" t="s">
        <v>1028</v>
      </c>
      <c r="AZ471" s="31"/>
      <c r="BA471" s="31"/>
      <c r="BB471" s="31"/>
      <c r="BC471" s="31"/>
      <c r="BD471" s="31"/>
      <c r="BE471" s="31"/>
      <c r="BF471" s="31"/>
      <c r="BG471" s="31"/>
      <c r="BH471" s="31"/>
      <c r="BI471" s="31"/>
      <c r="BJ471" s="31"/>
      <c r="BK471" s="31"/>
      <c r="BL471" s="63">
        <f t="shared" si="89"/>
        <v>0</v>
      </c>
      <c r="BM471" s="63">
        <f t="shared" si="90"/>
        <v>0</v>
      </c>
      <c r="BN471" s="63">
        <f t="shared" si="91"/>
        <v>0</v>
      </c>
      <c r="BO471" s="63">
        <f t="shared" si="92"/>
        <v>0</v>
      </c>
      <c r="BP471" s="63">
        <f t="shared" si="93"/>
        <v>0</v>
      </c>
      <c r="BQ471" s="63">
        <f t="shared" si="94"/>
        <v>0</v>
      </c>
      <c r="BR471" s="63">
        <f t="shared" si="95"/>
        <v>5200</v>
      </c>
      <c r="BS471" s="63">
        <f t="shared" si="96"/>
        <v>10400</v>
      </c>
    </row>
    <row r="472" spans="1:71">
      <c r="A472" s="28">
        <f t="shared" si="97"/>
        <v>471</v>
      </c>
      <c r="B472" s="28" t="s">
        <v>1380</v>
      </c>
      <c r="C472" s="28" t="s">
        <v>92</v>
      </c>
      <c r="D472" s="30" t="s">
        <v>1346</v>
      </c>
      <c r="E472" s="30" t="s">
        <v>1305</v>
      </c>
      <c r="F472" s="31" t="s">
        <v>1347</v>
      </c>
      <c r="G472" s="28" t="s">
        <v>299</v>
      </c>
      <c r="H472" s="93" t="s">
        <v>300</v>
      </c>
      <c r="I472" s="28"/>
      <c r="J472" s="28"/>
      <c r="K472" s="28" t="s">
        <v>1381</v>
      </c>
      <c r="L472" s="40">
        <v>2500000</v>
      </c>
      <c r="M472" s="39" t="s">
        <v>57</v>
      </c>
      <c r="N472" s="28" t="s">
        <v>1382</v>
      </c>
      <c r="O472" s="28"/>
      <c r="P472" s="28"/>
      <c r="Q472" s="89">
        <v>0.72</v>
      </c>
      <c r="R472" s="47">
        <f t="shared" si="98"/>
        <v>7200</v>
      </c>
      <c r="S472" s="75">
        <f t="shared" si="100"/>
        <v>0</v>
      </c>
      <c r="T472" s="48">
        <f t="shared" si="99"/>
        <v>10000</v>
      </c>
      <c r="U472" s="40">
        <v>0</v>
      </c>
      <c r="V472" s="40">
        <v>0</v>
      </c>
      <c r="W472" s="40">
        <v>0</v>
      </c>
      <c r="X472" s="40">
        <v>0</v>
      </c>
      <c r="Y472" s="40">
        <v>0</v>
      </c>
      <c r="Z472" s="40">
        <v>0</v>
      </c>
      <c r="AA472" s="40">
        <v>0</v>
      </c>
      <c r="AB472" s="40">
        <v>0</v>
      </c>
      <c r="AC472" s="40">
        <v>0</v>
      </c>
      <c r="AD472" s="40">
        <v>0</v>
      </c>
      <c r="AE472" s="40">
        <v>0</v>
      </c>
      <c r="AF472" s="28">
        <v>10000</v>
      </c>
      <c r="AG472" s="40">
        <v>0</v>
      </c>
      <c r="AH472" s="40">
        <v>0</v>
      </c>
      <c r="AI472" s="40">
        <v>0</v>
      </c>
      <c r="AJ472" s="40">
        <v>0</v>
      </c>
      <c r="AK472" s="40">
        <v>0</v>
      </c>
      <c r="AL472" s="40">
        <v>0</v>
      </c>
      <c r="AM472" s="40">
        <v>0</v>
      </c>
      <c r="AN472" s="40">
        <v>0</v>
      </c>
      <c r="AO472" s="40">
        <v>0</v>
      </c>
      <c r="AP472" s="40">
        <v>0</v>
      </c>
      <c r="AQ472" s="40">
        <v>0</v>
      </c>
      <c r="AR472" s="40">
        <v>0</v>
      </c>
      <c r="AS472" s="31" t="s">
        <v>93</v>
      </c>
      <c r="AT472" s="30" t="s">
        <v>116</v>
      </c>
      <c r="AU472" s="30" t="s">
        <v>81</v>
      </c>
      <c r="AV472" s="31" t="s">
        <v>117</v>
      </c>
      <c r="AW472" s="31" t="s">
        <v>143</v>
      </c>
      <c r="AX472" s="31" t="s">
        <v>1322</v>
      </c>
      <c r="AY472" s="31" t="s">
        <v>1323</v>
      </c>
      <c r="AZ472" s="31"/>
      <c r="BA472" s="31"/>
      <c r="BB472" s="31"/>
      <c r="BC472" s="31"/>
      <c r="BD472" s="31"/>
      <c r="BE472" s="31"/>
      <c r="BF472" s="31"/>
      <c r="BG472" s="31"/>
      <c r="BH472" s="31"/>
      <c r="BI472" s="31"/>
      <c r="BJ472" s="31"/>
      <c r="BK472" s="31"/>
      <c r="BL472" s="63">
        <f t="shared" si="89"/>
        <v>0</v>
      </c>
      <c r="BM472" s="63">
        <f t="shared" si="90"/>
        <v>0</v>
      </c>
      <c r="BN472" s="63">
        <f t="shared" si="91"/>
        <v>0</v>
      </c>
      <c r="BO472" s="63">
        <f t="shared" si="92"/>
        <v>0</v>
      </c>
      <c r="BP472" s="63">
        <f t="shared" si="93"/>
        <v>0</v>
      </c>
      <c r="BQ472" s="63">
        <f t="shared" si="94"/>
        <v>0</v>
      </c>
      <c r="BR472" s="63">
        <f t="shared" si="95"/>
        <v>0</v>
      </c>
      <c r="BS472" s="63">
        <f t="shared" si="96"/>
        <v>7200</v>
      </c>
    </row>
    <row r="473" spans="1:71">
      <c r="A473" s="28">
        <f t="shared" si="97"/>
        <v>472</v>
      </c>
      <c r="B473" s="28" t="s">
        <v>1380</v>
      </c>
      <c r="C473" s="28" t="s">
        <v>92</v>
      </c>
      <c r="D473" s="30" t="s">
        <v>1346</v>
      </c>
      <c r="E473" s="30" t="s">
        <v>1305</v>
      </c>
      <c r="F473" s="31" t="s">
        <v>1347</v>
      </c>
      <c r="G473" s="28" t="s">
        <v>299</v>
      </c>
      <c r="H473" s="93" t="s">
        <v>300</v>
      </c>
      <c r="I473" s="28"/>
      <c r="J473" s="28"/>
      <c r="K473" s="28" t="s">
        <v>1383</v>
      </c>
      <c r="L473" s="40">
        <v>2500000</v>
      </c>
      <c r="M473" s="39" t="s">
        <v>57</v>
      </c>
      <c r="N473" s="28" t="s">
        <v>1382</v>
      </c>
      <c r="O473" s="28"/>
      <c r="P473" s="28"/>
      <c r="Q473" s="89">
        <v>0.72</v>
      </c>
      <c r="R473" s="47">
        <f t="shared" si="98"/>
        <v>7200</v>
      </c>
      <c r="S473" s="75">
        <f t="shared" ref="S473:S478" si="102">Q473*SUM(AG473:AL473)</f>
        <v>0</v>
      </c>
      <c r="T473" s="48">
        <f t="shared" si="99"/>
        <v>10000</v>
      </c>
      <c r="U473" s="40">
        <v>0</v>
      </c>
      <c r="V473" s="40">
        <v>0</v>
      </c>
      <c r="W473" s="40">
        <v>0</v>
      </c>
      <c r="X473" s="40">
        <v>0</v>
      </c>
      <c r="Y473" s="40">
        <v>0</v>
      </c>
      <c r="Z473" s="40">
        <v>0</v>
      </c>
      <c r="AA473" s="40">
        <v>0</v>
      </c>
      <c r="AB473" s="40">
        <v>0</v>
      </c>
      <c r="AC473" s="40">
        <v>0</v>
      </c>
      <c r="AD473" s="40">
        <v>0</v>
      </c>
      <c r="AE473" s="40">
        <v>0</v>
      </c>
      <c r="AF473" s="28">
        <v>10000</v>
      </c>
      <c r="AG473" s="40">
        <v>0</v>
      </c>
      <c r="AH473" s="40">
        <v>0</v>
      </c>
      <c r="AI473" s="40">
        <v>0</v>
      </c>
      <c r="AJ473" s="40">
        <v>0</v>
      </c>
      <c r="AK473" s="40">
        <v>0</v>
      </c>
      <c r="AL473" s="40">
        <v>0</v>
      </c>
      <c r="AM473" s="40">
        <v>0</v>
      </c>
      <c r="AN473" s="40">
        <v>0</v>
      </c>
      <c r="AO473" s="40">
        <v>0</v>
      </c>
      <c r="AP473" s="40">
        <v>0</v>
      </c>
      <c r="AQ473" s="40">
        <v>0</v>
      </c>
      <c r="AR473" s="40">
        <v>0</v>
      </c>
      <c r="AS473" s="31" t="s">
        <v>93</v>
      </c>
      <c r="AT473" s="30" t="s">
        <v>116</v>
      </c>
      <c r="AU473" s="30" t="s">
        <v>81</v>
      </c>
      <c r="AV473" s="31" t="s">
        <v>117</v>
      </c>
      <c r="AW473" s="31" t="s">
        <v>143</v>
      </c>
      <c r="AX473" s="31" t="s">
        <v>1322</v>
      </c>
      <c r="AY473" s="31" t="s">
        <v>1323</v>
      </c>
      <c r="AZ473" s="31"/>
      <c r="BA473" s="31"/>
      <c r="BB473" s="31"/>
      <c r="BC473" s="31"/>
      <c r="BD473" s="31"/>
      <c r="BE473" s="31"/>
      <c r="BF473" s="31"/>
      <c r="BG473" s="31"/>
      <c r="BH473" s="31"/>
      <c r="BI473" s="31"/>
      <c r="BJ473" s="31"/>
      <c r="BK473" s="31"/>
      <c r="BL473" s="63">
        <f t="shared" si="89"/>
        <v>0</v>
      </c>
      <c r="BM473" s="63">
        <f t="shared" si="90"/>
        <v>0</v>
      </c>
      <c r="BN473" s="63">
        <f t="shared" si="91"/>
        <v>0</v>
      </c>
      <c r="BO473" s="63">
        <f t="shared" si="92"/>
        <v>0</v>
      </c>
      <c r="BP473" s="63">
        <f t="shared" si="93"/>
        <v>0</v>
      </c>
      <c r="BQ473" s="63">
        <f t="shared" si="94"/>
        <v>0</v>
      </c>
      <c r="BR473" s="63">
        <f t="shared" si="95"/>
        <v>0</v>
      </c>
      <c r="BS473" s="63">
        <f t="shared" si="96"/>
        <v>7200</v>
      </c>
    </row>
    <row r="474" spans="1:71">
      <c r="A474" s="28">
        <f t="shared" si="97"/>
        <v>473</v>
      </c>
      <c r="B474" s="28" t="s">
        <v>1380</v>
      </c>
      <c r="C474" s="28" t="s">
        <v>92</v>
      </c>
      <c r="D474" s="30" t="s">
        <v>1346</v>
      </c>
      <c r="E474" s="30" t="s">
        <v>1305</v>
      </c>
      <c r="F474" s="31" t="s">
        <v>1347</v>
      </c>
      <c r="G474" s="28" t="s">
        <v>304</v>
      </c>
      <c r="H474" s="93" t="s">
        <v>305</v>
      </c>
      <c r="I474" s="28"/>
      <c r="J474" s="28"/>
      <c r="K474" s="28" t="s">
        <v>1170</v>
      </c>
      <c r="L474" s="40"/>
      <c r="M474" s="39" t="s">
        <v>56</v>
      </c>
      <c r="N474" s="28" t="s">
        <v>1384</v>
      </c>
      <c r="O474" s="28"/>
      <c r="P474" s="28"/>
      <c r="Q474" s="89">
        <v>0.72</v>
      </c>
      <c r="R474" s="47">
        <f t="shared" si="98"/>
        <v>7200</v>
      </c>
      <c r="S474" s="75">
        <f t="shared" si="102"/>
        <v>0</v>
      </c>
      <c r="T474" s="48">
        <f t="shared" si="99"/>
        <v>10000</v>
      </c>
      <c r="U474" s="40">
        <v>0</v>
      </c>
      <c r="V474" s="40">
        <v>0</v>
      </c>
      <c r="W474" s="40">
        <v>0</v>
      </c>
      <c r="X474" s="40">
        <v>0</v>
      </c>
      <c r="Y474" s="40">
        <v>0</v>
      </c>
      <c r="Z474" s="40">
        <v>0</v>
      </c>
      <c r="AA474" s="40">
        <v>0</v>
      </c>
      <c r="AB474" s="40">
        <v>0</v>
      </c>
      <c r="AC474" s="40">
        <v>0</v>
      </c>
      <c r="AD474" s="40">
        <v>0</v>
      </c>
      <c r="AE474" s="40">
        <v>0</v>
      </c>
      <c r="AF474" s="28">
        <v>10000</v>
      </c>
      <c r="AG474" s="40">
        <v>0</v>
      </c>
      <c r="AH474" s="40">
        <v>0</v>
      </c>
      <c r="AI474" s="40">
        <v>0</v>
      </c>
      <c r="AJ474" s="40">
        <v>0</v>
      </c>
      <c r="AK474" s="40">
        <v>0</v>
      </c>
      <c r="AL474" s="40">
        <v>0</v>
      </c>
      <c r="AM474" s="40">
        <v>0</v>
      </c>
      <c r="AN474" s="40">
        <v>0</v>
      </c>
      <c r="AO474" s="40">
        <v>0</v>
      </c>
      <c r="AP474" s="40">
        <v>0</v>
      </c>
      <c r="AQ474" s="40">
        <v>0</v>
      </c>
      <c r="AR474" s="40">
        <v>0</v>
      </c>
      <c r="AS474" s="31" t="s">
        <v>93</v>
      </c>
      <c r="AT474" s="30" t="s">
        <v>116</v>
      </c>
      <c r="AU474" s="30" t="s">
        <v>81</v>
      </c>
      <c r="AV474" s="31" t="s">
        <v>117</v>
      </c>
      <c r="AW474" s="31" t="s">
        <v>143</v>
      </c>
      <c r="AX474" s="31" t="s">
        <v>1322</v>
      </c>
      <c r="AY474" s="31" t="s">
        <v>1323</v>
      </c>
      <c r="AZ474" s="31"/>
      <c r="BA474" s="31"/>
      <c r="BB474" s="31"/>
      <c r="BC474" s="31"/>
      <c r="BD474" s="31"/>
      <c r="BE474" s="31"/>
      <c r="BF474" s="31"/>
      <c r="BG474" s="31"/>
      <c r="BH474" s="31"/>
      <c r="BI474" s="31"/>
      <c r="BJ474" s="31"/>
      <c r="BK474" s="31"/>
      <c r="BL474" s="63">
        <f t="shared" si="89"/>
        <v>0</v>
      </c>
      <c r="BM474" s="63">
        <f t="shared" si="90"/>
        <v>0</v>
      </c>
      <c r="BN474" s="63">
        <f t="shared" si="91"/>
        <v>0</v>
      </c>
      <c r="BO474" s="63">
        <f t="shared" si="92"/>
        <v>0</v>
      </c>
      <c r="BP474" s="63">
        <f t="shared" si="93"/>
        <v>0</v>
      </c>
      <c r="BQ474" s="63">
        <f t="shared" si="94"/>
        <v>0</v>
      </c>
      <c r="BR474" s="63">
        <f t="shared" si="95"/>
        <v>0</v>
      </c>
      <c r="BS474" s="63">
        <f t="shared" si="96"/>
        <v>7200</v>
      </c>
    </row>
    <row r="475" spans="1:71">
      <c r="A475" s="28">
        <f t="shared" si="97"/>
        <v>474</v>
      </c>
      <c r="B475" s="28" t="s">
        <v>872</v>
      </c>
      <c r="C475" s="28" t="s">
        <v>72</v>
      </c>
      <c r="D475" s="30" t="s">
        <v>1313</v>
      </c>
      <c r="E475" s="30" t="s">
        <v>1305</v>
      </c>
      <c r="F475" s="31" t="s">
        <v>1385</v>
      </c>
      <c r="G475" s="28" t="s">
        <v>499</v>
      </c>
      <c r="H475" s="93"/>
      <c r="I475" s="28"/>
      <c r="J475" s="28"/>
      <c r="K475" s="28" t="s">
        <v>1386</v>
      </c>
      <c r="L475" s="40"/>
      <c r="M475" s="39" t="s">
        <v>57</v>
      </c>
      <c r="N475" s="28" t="s">
        <v>1387</v>
      </c>
      <c r="O475" s="28"/>
      <c r="P475" s="28"/>
      <c r="Q475" s="89">
        <v>0.7</v>
      </c>
      <c r="R475" s="47">
        <f t="shared" si="98"/>
        <v>0</v>
      </c>
      <c r="S475" s="75">
        <f t="shared" si="102"/>
        <v>0</v>
      </c>
      <c r="T475" s="48">
        <f t="shared" si="99"/>
        <v>0</v>
      </c>
      <c r="U475" s="40">
        <v>0</v>
      </c>
      <c r="V475" s="40">
        <v>0</v>
      </c>
      <c r="W475" s="40">
        <v>0</v>
      </c>
      <c r="X475" s="40">
        <v>0</v>
      </c>
      <c r="Y475" s="40">
        <v>0</v>
      </c>
      <c r="Z475" s="40">
        <v>0</v>
      </c>
      <c r="AA475" s="40">
        <v>0</v>
      </c>
      <c r="AB475" s="40">
        <v>0</v>
      </c>
      <c r="AC475" s="40">
        <v>0</v>
      </c>
      <c r="AD475" s="40">
        <v>0</v>
      </c>
      <c r="AE475" s="40">
        <v>0</v>
      </c>
      <c r="AF475" s="40">
        <v>0</v>
      </c>
      <c r="AG475" s="40">
        <v>0</v>
      </c>
      <c r="AH475" s="40">
        <v>0</v>
      </c>
      <c r="AI475" s="40">
        <v>0</v>
      </c>
      <c r="AJ475" s="40">
        <v>0</v>
      </c>
      <c r="AK475" s="40">
        <v>0</v>
      </c>
      <c r="AL475" s="40">
        <v>0</v>
      </c>
      <c r="AM475" s="40">
        <v>0</v>
      </c>
      <c r="AN475" s="40">
        <v>0</v>
      </c>
      <c r="AO475" s="40">
        <v>0</v>
      </c>
      <c r="AP475" s="40">
        <v>0</v>
      </c>
      <c r="AQ475" s="40">
        <v>0</v>
      </c>
      <c r="AR475" s="40">
        <v>0</v>
      </c>
      <c r="AS475" s="31" t="s">
        <v>1167</v>
      </c>
      <c r="AT475" s="30" t="s">
        <v>116</v>
      </c>
      <c r="AU475" s="30" t="s">
        <v>788</v>
      </c>
      <c r="AV475" s="31" t="s">
        <v>117</v>
      </c>
      <c r="AW475" s="31" t="s">
        <v>143</v>
      </c>
      <c r="AX475" s="31" t="s">
        <v>561</v>
      </c>
      <c r="AY475" s="31"/>
      <c r="AZ475" s="31"/>
      <c r="BA475" s="31"/>
      <c r="BB475" s="31"/>
      <c r="BC475" s="31"/>
      <c r="BD475" s="31"/>
      <c r="BE475" s="31"/>
      <c r="BF475" s="31"/>
      <c r="BG475" s="31"/>
      <c r="BH475" s="31"/>
      <c r="BI475" s="31"/>
      <c r="BJ475" s="31"/>
      <c r="BK475" s="31"/>
      <c r="BL475" s="63">
        <f t="shared" si="89"/>
        <v>0</v>
      </c>
      <c r="BM475" s="63">
        <f t="shared" si="90"/>
        <v>0</v>
      </c>
      <c r="BN475" s="63">
        <f t="shared" si="91"/>
        <v>0</v>
      </c>
      <c r="BO475" s="63">
        <f t="shared" si="92"/>
        <v>0</v>
      </c>
      <c r="BP475" s="63">
        <f t="shared" si="93"/>
        <v>0</v>
      </c>
      <c r="BQ475" s="63">
        <f t="shared" si="94"/>
        <v>0</v>
      </c>
      <c r="BR475" s="63">
        <f t="shared" si="95"/>
        <v>0</v>
      </c>
      <c r="BS475" s="63">
        <f t="shared" si="96"/>
        <v>0</v>
      </c>
    </row>
    <row r="476" spans="1:71">
      <c r="A476" s="28">
        <f t="shared" si="97"/>
        <v>475</v>
      </c>
      <c r="B476" s="28" t="s">
        <v>872</v>
      </c>
      <c r="C476" s="28" t="s">
        <v>72</v>
      </c>
      <c r="D476" s="30" t="s">
        <v>1313</v>
      </c>
      <c r="E476" s="30" t="s">
        <v>1305</v>
      </c>
      <c r="F476" s="31" t="s">
        <v>1385</v>
      </c>
      <c r="G476" s="28" t="s">
        <v>502</v>
      </c>
      <c r="H476" s="93"/>
      <c r="I476" s="28"/>
      <c r="J476" s="28"/>
      <c r="K476" s="28" t="s">
        <v>1386</v>
      </c>
      <c r="L476" s="40"/>
      <c r="M476" s="39" t="s">
        <v>56</v>
      </c>
      <c r="N476" s="28" t="s">
        <v>1388</v>
      </c>
      <c r="O476" s="28"/>
      <c r="P476" s="28"/>
      <c r="Q476" s="89">
        <v>0.7</v>
      </c>
      <c r="R476" s="47">
        <f t="shared" si="98"/>
        <v>0</v>
      </c>
      <c r="S476" s="75">
        <f t="shared" si="102"/>
        <v>0</v>
      </c>
      <c r="T476" s="48">
        <f t="shared" si="99"/>
        <v>0</v>
      </c>
      <c r="U476" s="40">
        <v>0</v>
      </c>
      <c r="V476" s="40">
        <v>0</v>
      </c>
      <c r="W476" s="40">
        <v>0</v>
      </c>
      <c r="X476" s="40">
        <v>0</v>
      </c>
      <c r="Y476" s="40">
        <v>0</v>
      </c>
      <c r="Z476" s="40">
        <v>0</v>
      </c>
      <c r="AA476" s="40">
        <v>0</v>
      </c>
      <c r="AB476" s="40">
        <v>0</v>
      </c>
      <c r="AC476" s="40">
        <v>0</v>
      </c>
      <c r="AD476" s="40">
        <v>0</v>
      </c>
      <c r="AE476" s="40">
        <v>0</v>
      </c>
      <c r="AF476" s="40">
        <v>0</v>
      </c>
      <c r="AG476" s="40">
        <v>0</v>
      </c>
      <c r="AH476" s="40">
        <v>0</v>
      </c>
      <c r="AI476" s="40">
        <v>0</v>
      </c>
      <c r="AJ476" s="40">
        <v>0</v>
      </c>
      <c r="AK476" s="40">
        <v>0</v>
      </c>
      <c r="AL476" s="40">
        <v>0</v>
      </c>
      <c r="AM476" s="40">
        <v>0</v>
      </c>
      <c r="AN476" s="40">
        <v>0</v>
      </c>
      <c r="AO476" s="40">
        <v>0</v>
      </c>
      <c r="AP476" s="40">
        <v>0</v>
      </c>
      <c r="AQ476" s="40">
        <v>0</v>
      </c>
      <c r="AR476" s="40">
        <v>0</v>
      </c>
      <c r="AS476" s="31" t="s">
        <v>1167</v>
      </c>
      <c r="AT476" s="30" t="s">
        <v>116</v>
      </c>
      <c r="AU476" s="30" t="s">
        <v>788</v>
      </c>
      <c r="AV476" s="31"/>
      <c r="AW476" s="31"/>
      <c r="AX476" s="31"/>
      <c r="AY476" s="31"/>
      <c r="AZ476" s="31"/>
      <c r="BA476" s="31"/>
      <c r="BB476" s="31"/>
      <c r="BC476" s="31"/>
      <c r="BD476" s="31"/>
      <c r="BE476" s="31"/>
      <c r="BF476" s="31"/>
      <c r="BG476" s="31"/>
      <c r="BH476" s="31"/>
      <c r="BI476" s="31"/>
      <c r="BJ476" s="31"/>
      <c r="BK476" s="31"/>
      <c r="BL476" s="63">
        <f t="shared" si="89"/>
        <v>0</v>
      </c>
      <c r="BM476" s="63">
        <f t="shared" si="90"/>
        <v>0</v>
      </c>
      <c r="BN476" s="63">
        <f t="shared" si="91"/>
        <v>0</v>
      </c>
      <c r="BO476" s="63">
        <f t="shared" si="92"/>
        <v>0</v>
      </c>
      <c r="BP476" s="63">
        <f t="shared" si="93"/>
        <v>0</v>
      </c>
      <c r="BQ476" s="63">
        <f t="shared" si="94"/>
        <v>0</v>
      </c>
      <c r="BR476" s="63">
        <f t="shared" si="95"/>
        <v>0</v>
      </c>
      <c r="BS476" s="63">
        <f t="shared" si="96"/>
        <v>0</v>
      </c>
    </row>
    <row r="477" spans="1:71">
      <c r="A477" s="28">
        <f t="shared" si="97"/>
        <v>476</v>
      </c>
      <c r="B477" s="28" t="s">
        <v>872</v>
      </c>
      <c r="C477" s="28" t="s">
        <v>72</v>
      </c>
      <c r="D477" s="30" t="s">
        <v>1313</v>
      </c>
      <c r="E477" s="30" t="s">
        <v>1305</v>
      </c>
      <c r="F477" s="31" t="s">
        <v>1385</v>
      </c>
      <c r="G477" s="28" t="s">
        <v>423</v>
      </c>
      <c r="H477" s="93"/>
      <c r="I477" s="28"/>
      <c r="J477" s="28"/>
      <c r="K477" s="28" t="s">
        <v>689</v>
      </c>
      <c r="L477" s="40"/>
      <c r="M477" s="39" t="s">
        <v>56</v>
      </c>
      <c r="N477" s="28" t="s">
        <v>1389</v>
      </c>
      <c r="O477" s="28"/>
      <c r="P477" s="28"/>
      <c r="Q477" s="89">
        <v>0.7</v>
      </c>
      <c r="R477" s="47">
        <f t="shared" si="98"/>
        <v>0</v>
      </c>
      <c r="S477" s="75">
        <f t="shared" si="102"/>
        <v>0</v>
      </c>
      <c r="T477" s="48">
        <f t="shared" si="99"/>
        <v>0</v>
      </c>
      <c r="U477" s="40">
        <v>0</v>
      </c>
      <c r="V477" s="40">
        <v>0</v>
      </c>
      <c r="W477" s="40">
        <v>0</v>
      </c>
      <c r="X477" s="40">
        <v>0</v>
      </c>
      <c r="Y477" s="40">
        <v>0</v>
      </c>
      <c r="Z477" s="40">
        <v>0</v>
      </c>
      <c r="AA477" s="40">
        <v>0</v>
      </c>
      <c r="AB477" s="40">
        <v>0</v>
      </c>
      <c r="AC477" s="40">
        <v>0</v>
      </c>
      <c r="AD477" s="40">
        <v>0</v>
      </c>
      <c r="AE477" s="40">
        <v>0</v>
      </c>
      <c r="AF477" s="40">
        <v>0</v>
      </c>
      <c r="AG477" s="40">
        <v>0</v>
      </c>
      <c r="AH477" s="40">
        <v>0</v>
      </c>
      <c r="AI477" s="40">
        <v>0</v>
      </c>
      <c r="AJ477" s="40">
        <v>0</v>
      </c>
      <c r="AK477" s="40">
        <v>0</v>
      </c>
      <c r="AL477" s="40">
        <v>0</v>
      </c>
      <c r="AM477" s="40">
        <v>0</v>
      </c>
      <c r="AN477" s="40">
        <v>0</v>
      </c>
      <c r="AO477" s="40">
        <v>0</v>
      </c>
      <c r="AP477" s="40">
        <v>0</v>
      </c>
      <c r="AQ477" s="40">
        <v>0</v>
      </c>
      <c r="AR477" s="40">
        <v>0</v>
      </c>
      <c r="AS477" s="31" t="s">
        <v>552</v>
      </c>
      <c r="AT477" s="30" t="s">
        <v>116</v>
      </c>
      <c r="AU477" s="30" t="s">
        <v>688</v>
      </c>
      <c r="AV477" s="31"/>
      <c r="AW477" s="31"/>
      <c r="AX477" s="31"/>
      <c r="AY477" s="31"/>
      <c r="AZ477" s="31"/>
      <c r="BA477" s="31"/>
      <c r="BB477" s="31"/>
      <c r="BC477" s="31"/>
      <c r="BD477" s="31"/>
      <c r="BE477" s="31"/>
      <c r="BF477" s="31"/>
      <c r="BG477" s="31"/>
      <c r="BH477" s="31"/>
      <c r="BI477" s="31"/>
      <c r="BJ477" s="31"/>
      <c r="BK477" s="31"/>
      <c r="BL477" s="63">
        <f t="shared" si="89"/>
        <v>0</v>
      </c>
      <c r="BM477" s="63">
        <f t="shared" si="90"/>
        <v>0</v>
      </c>
      <c r="BN477" s="63">
        <f t="shared" si="91"/>
        <v>0</v>
      </c>
      <c r="BO477" s="63">
        <f t="shared" si="92"/>
        <v>0</v>
      </c>
      <c r="BP477" s="63">
        <f t="shared" si="93"/>
        <v>0</v>
      </c>
      <c r="BQ477" s="63">
        <f t="shared" si="94"/>
        <v>0</v>
      </c>
      <c r="BR477" s="63">
        <f t="shared" si="95"/>
        <v>0</v>
      </c>
      <c r="BS477" s="63">
        <f t="shared" si="96"/>
        <v>0</v>
      </c>
    </row>
    <row r="478" spans="1:71">
      <c r="A478" s="28">
        <f t="shared" si="97"/>
        <v>477</v>
      </c>
      <c r="B478" s="28" t="s">
        <v>872</v>
      </c>
      <c r="C478" s="28" t="s">
        <v>72</v>
      </c>
      <c r="D478" s="30" t="s">
        <v>1313</v>
      </c>
      <c r="E478" s="30" t="s">
        <v>1305</v>
      </c>
      <c r="F478" s="31" t="s">
        <v>1385</v>
      </c>
      <c r="G478" s="28" t="s">
        <v>235</v>
      </c>
      <c r="H478" s="93"/>
      <c r="I478" s="28"/>
      <c r="J478" s="28"/>
      <c r="K478" s="28" t="s">
        <v>1390</v>
      </c>
      <c r="L478" s="40"/>
      <c r="M478" s="39" t="s">
        <v>57</v>
      </c>
      <c r="N478" s="28" t="s">
        <v>1391</v>
      </c>
      <c r="O478" s="28"/>
      <c r="P478" s="28"/>
      <c r="Q478" s="89">
        <v>0.7</v>
      </c>
      <c r="R478" s="47">
        <f t="shared" si="98"/>
        <v>0</v>
      </c>
      <c r="S478" s="75">
        <f t="shared" si="102"/>
        <v>0</v>
      </c>
      <c r="T478" s="48">
        <f t="shared" si="99"/>
        <v>0</v>
      </c>
      <c r="U478" s="40">
        <v>0</v>
      </c>
      <c r="V478" s="40">
        <v>0</v>
      </c>
      <c r="W478" s="40">
        <v>0</v>
      </c>
      <c r="X478" s="40">
        <v>0</v>
      </c>
      <c r="Y478" s="40">
        <v>0</v>
      </c>
      <c r="Z478" s="40">
        <v>0</v>
      </c>
      <c r="AA478" s="40">
        <v>0</v>
      </c>
      <c r="AB478" s="40">
        <v>0</v>
      </c>
      <c r="AC478" s="40">
        <v>0</v>
      </c>
      <c r="AD478" s="40">
        <v>0</v>
      </c>
      <c r="AE478" s="40">
        <v>0</v>
      </c>
      <c r="AF478" s="40">
        <v>0</v>
      </c>
      <c r="AG478" s="40">
        <v>0</v>
      </c>
      <c r="AH478" s="40">
        <v>0</v>
      </c>
      <c r="AI478" s="40">
        <v>0</v>
      </c>
      <c r="AJ478" s="40">
        <v>0</v>
      </c>
      <c r="AK478" s="40">
        <v>0</v>
      </c>
      <c r="AL478" s="40">
        <v>0</v>
      </c>
      <c r="AM478" s="40">
        <v>0</v>
      </c>
      <c r="AN478" s="40">
        <v>0</v>
      </c>
      <c r="AO478" s="40">
        <v>0</v>
      </c>
      <c r="AP478" s="40">
        <v>0</v>
      </c>
      <c r="AQ478" s="40">
        <v>0</v>
      </c>
      <c r="AR478" s="40">
        <v>0</v>
      </c>
      <c r="AS478" s="31" t="s">
        <v>93</v>
      </c>
      <c r="AT478" s="30" t="s">
        <v>116</v>
      </c>
      <c r="AU478" s="30" t="s">
        <v>81</v>
      </c>
      <c r="AV478" s="31" t="s">
        <v>117</v>
      </c>
      <c r="AW478" s="31" t="s">
        <v>118</v>
      </c>
      <c r="AX478" s="31" t="s">
        <v>1392</v>
      </c>
      <c r="AY478" s="31" t="s">
        <v>838</v>
      </c>
      <c r="AZ478" s="31"/>
      <c r="BA478" s="31"/>
      <c r="BB478" s="31"/>
      <c r="BC478" s="31"/>
      <c r="BD478" s="31"/>
      <c r="BE478" s="31"/>
      <c r="BF478" s="31"/>
      <c r="BG478" s="31"/>
      <c r="BH478" s="31"/>
      <c r="BI478" s="31"/>
      <c r="BJ478" s="31"/>
      <c r="BK478" s="31"/>
      <c r="BL478" s="63">
        <f t="shared" si="89"/>
        <v>0</v>
      </c>
      <c r="BM478" s="63">
        <f t="shared" si="90"/>
        <v>0</v>
      </c>
      <c r="BN478" s="63">
        <f t="shared" si="91"/>
        <v>0</v>
      </c>
      <c r="BO478" s="63">
        <f t="shared" si="92"/>
        <v>0</v>
      </c>
      <c r="BP478" s="63">
        <f t="shared" si="93"/>
        <v>0</v>
      </c>
      <c r="BQ478" s="63">
        <f t="shared" si="94"/>
        <v>0</v>
      </c>
      <c r="BR478" s="63">
        <f t="shared" si="95"/>
        <v>0</v>
      </c>
      <c r="BS478" s="63">
        <f t="shared" si="96"/>
        <v>0</v>
      </c>
    </row>
    <row r="479" spans="1:71">
      <c r="A479" s="28">
        <f t="shared" si="97"/>
        <v>478</v>
      </c>
      <c r="B479" s="28" t="s">
        <v>1393</v>
      </c>
      <c r="C479" s="28" t="s">
        <v>72</v>
      </c>
      <c r="D479" s="30" t="s">
        <v>1346</v>
      </c>
      <c r="E479" s="30" t="s">
        <v>1305</v>
      </c>
      <c r="F479" s="31" t="s">
        <v>1347</v>
      </c>
      <c r="G479" s="28" t="s">
        <v>270</v>
      </c>
      <c r="H479" s="35" t="s">
        <v>271</v>
      </c>
      <c r="I479" s="28"/>
      <c r="J479" s="28"/>
      <c r="K479" s="28" t="s">
        <v>1394</v>
      </c>
      <c r="L479" s="40">
        <v>100000</v>
      </c>
      <c r="M479" s="39" t="s">
        <v>114</v>
      </c>
      <c r="N479" s="28" t="s">
        <v>1395</v>
      </c>
      <c r="O479" s="28"/>
      <c r="P479" s="28"/>
      <c r="Q479" s="89">
        <v>0.52</v>
      </c>
      <c r="R479" s="47">
        <f t="shared" si="98"/>
        <v>22880</v>
      </c>
      <c r="S479" s="75">
        <f t="shared" si="100"/>
        <v>0</v>
      </c>
      <c r="T479" s="48">
        <f t="shared" si="99"/>
        <v>44000</v>
      </c>
      <c r="U479" s="40">
        <v>0</v>
      </c>
      <c r="V479" s="40">
        <v>0</v>
      </c>
      <c r="W479" s="40">
        <v>0</v>
      </c>
      <c r="X479" s="40">
        <v>0</v>
      </c>
      <c r="Y479" s="39">
        <v>4000</v>
      </c>
      <c r="Z479" s="39">
        <v>4000</v>
      </c>
      <c r="AA479" s="39">
        <v>4000</v>
      </c>
      <c r="AB479" s="39">
        <v>4000</v>
      </c>
      <c r="AC479" s="39">
        <v>8000</v>
      </c>
      <c r="AD479" s="39">
        <v>8000</v>
      </c>
      <c r="AE479" s="39">
        <v>8000</v>
      </c>
      <c r="AF479" s="39">
        <v>8000</v>
      </c>
      <c r="AG479" s="40">
        <v>0</v>
      </c>
      <c r="AH479" s="40">
        <v>0</v>
      </c>
      <c r="AI479" s="40">
        <v>0</v>
      </c>
      <c r="AJ479" s="40">
        <v>0</v>
      </c>
      <c r="AK479" s="40">
        <v>0</v>
      </c>
      <c r="AL479" s="40">
        <v>0</v>
      </c>
      <c r="AM479" s="40">
        <v>0</v>
      </c>
      <c r="AN479" s="40">
        <v>0</v>
      </c>
      <c r="AO479" s="40">
        <v>0</v>
      </c>
      <c r="AP479" s="40">
        <v>0</v>
      </c>
      <c r="AQ479" s="40">
        <v>0</v>
      </c>
      <c r="AR479" s="40">
        <v>0</v>
      </c>
      <c r="AS479" s="31" t="s">
        <v>93</v>
      </c>
      <c r="AT479" s="30" t="s">
        <v>116</v>
      </c>
      <c r="AU479" s="30" t="s">
        <v>81</v>
      </c>
      <c r="AV479" s="31" t="s">
        <v>117</v>
      </c>
      <c r="AW479" s="31" t="s">
        <v>143</v>
      </c>
      <c r="AX479" s="31" t="s">
        <v>144</v>
      </c>
      <c r="AY479" s="31" t="s">
        <v>765</v>
      </c>
      <c r="AZ479" s="31"/>
      <c r="BA479" s="31"/>
      <c r="BB479" s="31"/>
      <c r="BC479" s="31"/>
      <c r="BD479" s="31"/>
      <c r="BE479" s="31"/>
      <c r="BF479" s="31"/>
      <c r="BG479" s="31"/>
      <c r="BH479" s="31"/>
      <c r="BI479" s="31"/>
      <c r="BJ479" s="31"/>
      <c r="BK479" s="31"/>
      <c r="BL479" s="63">
        <f t="shared" si="89"/>
        <v>2080</v>
      </c>
      <c r="BM479" s="63">
        <f t="shared" si="90"/>
        <v>2080</v>
      </c>
      <c r="BN479" s="63">
        <f t="shared" si="91"/>
        <v>2080</v>
      </c>
      <c r="BO479" s="63">
        <f t="shared" si="92"/>
        <v>2080</v>
      </c>
      <c r="BP479" s="63">
        <f t="shared" si="93"/>
        <v>4160</v>
      </c>
      <c r="BQ479" s="63">
        <f t="shared" si="94"/>
        <v>4160</v>
      </c>
      <c r="BR479" s="63">
        <f t="shared" si="95"/>
        <v>4160</v>
      </c>
      <c r="BS479" s="63">
        <f t="shared" si="96"/>
        <v>4160</v>
      </c>
    </row>
    <row r="480" spans="1:71">
      <c r="A480" s="28">
        <f t="shared" si="97"/>
        <v>479</v>
      </c>
      <c r="B480" s="28" t="s">
        <v>1396</v>
      </c>
      <c r="C480" s="28" t="s">
        <v>72</v>
      </c>
      <c r="D480" s="30" t="s">
        <v>1346</v>
      </c>
      <c r="E480" s="30" t="s">
        <v>1305</v>
      </c>
      <c r="F480" s="31" t="s">
        <v>1347</v>
      </c>
      <c r="G480" s="28" t="s">
        <v>326</v>
      </c>
      <c r="H480" s="93" t="s">
        <v>327</v>
      </c>
      <c r="I480" s="28"/>
      <c r="J480" s="28"/>
      <c r="K480" s="28" t="s">
        <v>1397</v>
      </c>
      <c r="L480" s="40">
        <v>320000</v>
      </c>
      <c r="M480" s="39" t="s">
        <v>79</v>
      </c>
      <c r="N480" s="96" t="s">
        <v>1398</v>
      </c>
      <c r="O480" s="28"/>
      <c r="P480" s="28"/>
      <c r="Q480" s="89">
        <v>0.749</v>
      </c>
      <c r="R480" s="47">
        <f t="shared" si="98"/>
        <v>74900</v>
      </c>
      <c r="S480" s="75">
        <f t="shared" si="100"/>
        <v>0</v>
      </c>
      <c r="T480" s="48">
        <f t="shared" si="99"/>
        <v>100000</v>
      </c>
      <c r="U480" s="28">
        <v>4000</v>
      </c>
      <c r="V480" s="40">
        <v>0</v>
      </c>
      <c r="W480" s="28">
        <v>20000</v>
      </c>
      <c r="X480" s="40">
        <v>0</v>
      </c>
      <c r="Y480" s="40">
        <v>0</v>
      </c>
      <c r="Z480" s="39">
        <v>20000</v>
      </c>
      <c r="AA480" s="40">
        <v>0</v>
      </c>
      <c r="AB480" s="40">
        <v>20000</v>
      </c>
      <c r="AC480" s="40">
        <v>0</v>
      </c>
      <c r="AD480" s="39">
        <v>20000</v>
      </c>
      <c r="AE480" s="39">
        <v>20000</v>
      </c>
      <c r="AF480" s="39">
        <v>20000</v>
      </c>
      <c r="AG480" s="40">
        <v>0</v>
      </c>
      <c r="AH480" s="40">
        <v>0</v>
      </c>
      <c r="AI480" s="40">
        <v>0</v>
      </c>
      <c r="AJ480" s="40">
        <v>0</v>
      </c>
      <c r="AK480" s="40">
        <v>0</v>
      </c>
      <c r="AL480" s="40">
        <v>0</v>
      </c>
      <c r="AM480" s="40">
        <v>0</v>
      </c>
      <c r="AN480" s="40">
        <v>0</v>
      </c>
      <c r="AO480" s="40">
        <v>0</v>
      </c>
      <c r="AP480" s="40">
        <v>0</v>
      </c>
      <c r="AQ480" s="40">
        <v>0</v>
      </c>
      <c r="AR480" s="40">
        <v>0</v>
      </c>
      <c r="AS480" s="31" t="s">
        <v>74</v>
      </c>
      <c r="AT480" s="30" t="s">
        <v>116</v>
      </c>
      <c r="AU480" s="30" t="s">
        <v>81</v>
      </c>
      <c r="AV480" s="31" t="s">
        <v>789</v>
      </c>
      <c r="AW480" s="31" t="s">
        <v>1399</v>
      </c>
      <c r="AX480" s="31" t="s">
        <v>1400</v>
      </c>
      <c r="AY480" s="31" t="s">
        <v>1401</v>
      </c>
      <c r="AZ480" s="31"/>
      <c r="BA480" s="31"/>
      <c r="BB480" s="31"/>
      <c r="BC480" s="31"/>
      <c r="BD480" s="31"/>
      <c r="BE480" s="31"/>
      <c r="BF480" s="31"/>
      <c r="BG480" s="31"/>
      <c r="BH480" s="31"/>
      <c r="BI480" s="31"/>
      <c r="BJ480" s="31"/>
      <c r="BK480" s="31"/>
      <c r="BL480" s="63">
        <f t="shared" si="89"/>
        <v>0</v>
      </c>
      <c r="BM480" s="63">
        <f t="shared" si="90"/>
        <v>14980</v>
      </c>
      <c r="BN480" s="63">
        <f t="shared" si="91"/>
        <v>0</v>
      </c>
      <c r="BO480" s="63">
        <f t="shared" si="92"/>
        <v>14980</v>
      </c>
      <c r="BP480" s="63">
        <f t="shared" si="93"/>
        <v>0</v>
      </c>
      <c r="BQ480" s="63">
        <f t="shared" si="94"/>
        <v>14980</v>
      </c>
      <c r="BR480" s="63">
        <f t="shared" si="95"/>
        <v>14980</v>
      </c>
      <c r="BS480" s="63">
        <f t="shared" si="96"/>
        <v>14980</v>
      </c>
    </row>
    <row r="481" spans="1:71">
      <c r="A481" s="28">
        <f t="shared" si="97"/>
        <v>480</v>
      </c>
      <c r="B481" s="28" t="s">
        <v>603</v>
      </c>
      <c r="C481" s="28" t="s">
        <v>92</v>
      </c>
      <c r="D481" s="30" t="s">
        <v>1346</v>
      </c>
      <c r="E481" s="30" t="s">
        <v>1305</v>
      </c>
      <c r="F481" s="31" t="s">
        <v>1347</v>
      </c>
      <c r="G481" s="28" t="s">
        <v>326</v>
      </c>
      <c r="H481" s="93" t="s">
        <v>327</v>
      </c>
      <c r="I481" s="28"/>
      <c r="J481" s="28"/>
      <c r="K481" s="28" t="s">
        <v>1402</v>
      </c>
      <c r="L481" s="28"/>
      <c r="M481" s="39" t="s">
        <v>114</v>
      </c>
      <c r="N481" s="28" t="s">
        <v>1403</v>
      </c>
      <c r="O481" s="28"/>
      <c r="P481" s="28"/>
      <c r="Q481" s="89">
        <v>0.75</v>
      </c>
      <c r="R481" s="47">
        <f t="shared" si="98"/>
        <v>87375</v>
      </c>
      <c r="S481" s="75">
        <f t="shared" si="100"/>
        <v>0</v>
      </c>
      <c r="T481" s="48">
        <f t="shared" si="99"/>
        <v>116500</v>
      </c>
      <c r="U481" s="40">
        <v>0</v>
      </c>
      <c r="V481" s="40">
        <v>0</v>
      </c>
      <c r="W481" s="40">
        <v>0</v>
      </c>
      <c r="X481" s="39">
        <v>500</v>
      </c>
      <c r="Y481" s="40">
        <v>0</v>
      </c>
      <c r="Z481" s="39">
        <v>500</v>
      </c>
      <c r="AA481" s="39">
        <v>6000</v>
      </c>
      <c r="AB481" s="39">
        <v>10000</v>
      </c>
      <c r="AC481" s="40">
        <v>0</v>
      </c>
      <c r="AD481" s="39">
        <v>50000</v>
      </c>
      <c r="AE481" s="40">
        <v>0</v>
      </c>
      <c r="AF481" s="39">
        <v>50000</v>
      </c>
      <c r="AG481" s="40">
        <v>0</v>
      </c>
      <c r="AH481" s="40">
        <v>0</v>
      </c>
      <c r="AI481" s="40">
        <v>0</v>
      </c>
      <c r="AJ481" s="40">
        <v>0</v>
      </c>
      <c r="AK481" s="40">
        <v>0</v>
      </c>
      <c r="AL481" s="40">
        <v>0</v>
      </c>
      <c r="AM481" s="40">
        <v>0</v>
      </c>
      <c r="AN481" s="40">
        <v>0</v>
      </c>
      <c r="AO481" s="40">
        <v>0</v>
      </c>
      <c r="AP481" s="40">
        <v>0</v>
      </c>
      <c r="AQ481" s="40">
        <v>0</v>
      </c>
      <c r="AR481" s="40">
        <v>0</v>
      </c>
      <c r="AS481" s="31" t="s">
        <v>74</v>
      </c>
      <c r="AT481" s="30" t="s">
        <v>116</v>
      </c>
      <c r="AU481" s="30" t="s">
        <v>81</v>
      </c>
      <c r="AV481" s="31" t="s">
        <v>789</v>
      </c>
      <c r="AW481" s="31" t="s">
        <v>1399</v>
      </c>
      <c r="AX481" s="31" t="s">
        <v>1400</v>
      </c>
      <c r="AY481" s="31" t="s">
        <v>1401</v>
      </c>
      <c r="AZ481" s="31"/>
      <c r="BA481" s="31"/>
      <c r="BB481" s="31"/>
      <c r="BC481" s="31"/>
      <c r="BD481" s="31"/>
      <c r="BE481" s="31"/>
      <c r="BF481" s="31"/>
      <c r="BG481" s="31"/>
      <c r="BH481" s="31"/>
      <c r="BI481" s="31"/>
      <c r="BJ481" s="31"/>
      <c r="BK481" s="31"/>
      <c r="BL481" s="63">
        <f t="shared" si="89"/>
        <v>0</v>
      </c>
      <c r="BM481" s="63">
        <f t="shared" si="90"/>
        <v>375</v>
      </c>
      <c r="BN481" s="63">
        <f t="shared" si="91"/>
        <v>4500</v>
      </c>
      <c r="BO481" s="63">
        <f t="shared" si="92"/>
        <v>7500</v>
      </c>
      <c r="BP481" s="63">
        <f t="shared" si="93"/>
        <v>0</v>
      </c>
      <c r="BQ481" s="63">
        <f t="shared" si="94"/>
        <v>37500</v>
      </c>
      <c r="BR481" s="63">
        <f t="shared" si="95"/>
        <v>0</v>
      </c>
      <c r="BS481" s="63">
        <f t="shared" si="96"/>
        <v>37500</v>
      </c>
    </row>
    <row r="482" spans="1:71">
      <c r="A482" s="28">
        <f t="shared" si="97"/>
        <v>481</v>
      </c>
      <c r="B482" s="28" t="s">
        <v>1404</v>
      </c>
      <c r="C482" s="28" t="s">
        <v>72</v>
      </c>
      <c r="D482" s="30" t="s">
        <v>1346</v>
      </c>
      <c r="E482" s="30" t="s">
        <v>1305</v>
      </c>
      <c r="F482" s="31" t="s">
        <v>1347</v>
      </c>
      <c r="G482" s="28" t="s">
        <v>285</v>
      </c>
      <c r="H482" s="35" t="s">
        <v>286</v>
      </c>
      <c r="I482" s="28"/>
      <c r="J482" s="28"/>
      <c r="K482" s="28" t="s">
        <v>1405</v>
      </c>
      <c r="L482" s="40">
        <v>100000</v>
      </c>
      <c r="M482" s="39" t="s">
        <v>57</v>
      </c>
      <c r="N482" s="28"/>
      <c r="O482" s="28"/>
      <c r="P482" s="28"/>
      <c r="Q482" s="89">
        <v>0</v>
      </c>
      <c r="R482" s="47">
        <f t="shared" si="98"/>
        <v>0</v>
      </c>
      <c r="S482" s="75">
        <f t="shared" si="100"/>
        <v>0</v>
      </c>
      <c r="T482" s="48">
        <f t="shared" si="99"/>
        <v>0</v>
      </c>
      <c r="U482" s="40">
        <v>0</v>
      </c>
      <c r="V482" s="40">
        <v>0</v>
      </c>
      <c r="W482" s="40">
        <v>0</v>
      </c>
      <c r="X482" s="40">
        <v>0</v>
      </c>
      <c r="Y482" s="40">
        <v>0</v>
      </c>
      <c r="Z482" s="40">
        <v>0</v>
      </c>
      <c r="AA482" s="40">
        <v>0</v>
      </c>
      <c r="AB482" s="40">
        <v>0</v>
      </c>
      <c r="AC482" s="40">
        <v>0</v>
      </c>
      <c r="AD482" s="40">
        <v>0</v>
      </c>
      <c r="AE482" s="40">
        <v>0</v>
      </c>
      <c r="AF482" s="40">
        <v>0</v>
      </c>
      <c r="AG482" s="40">
        <v>0</v>
      </c>
      <c r="AH482" s="40">
        <v>0</v>
      </c>
      <c r="AI482" s="40">
        <v>0</v>
      </c>
      <c r="AJ482" s="40">
        <v>0</v>
      </c>
      <c r="AK482" s="40">
        <v>0</v>
      </c>
      <c r="AL482" s="40">
        <v>0</v>
      </c>
      <c r="AM482" s="40">
        <v>0</v>
      </c>
      <c r="AN482" s="40">
        <v>0</v>
      </c>
      <c r="AO482" s="40">
        <v>0</v>
      </c>
      <c r="AP482" s="40">
        <v>0</v>
      </c>
      <c r="AQ482" s="40">
        <v>0</v>
      </c>
      <c r="AR482" s="40">
        <v>0</v>
      </c>
      <c r="AS482" s="31" t="s">
        <v>93</v>
      </c>
      <c r="AT482" s="30" t="s">
        <v>116</v>
      </c>
      <c r="AU482" s="30" t="s">
        <v>81</v>
      </c>
      <c r="AV482" s="31" t="s">
        <v>117</v>
      </c>
      <c r="AW482" s="31" t="s">
        <v>546</v>
      </c>
      <c r="AX482" s="31" t="s">
        <v>547</v>
      </c>
      <c r="AY482" s="31" t="s">
        <v>689</v>
      </c>
      <c r="AZ482" s="31"/>
      <c r="BA482" s="31"/>
      <c r="BB482" s="31"/>
      <c r="BC482" s="31"/>
      <c r="BD482" s="31"/>
      <c r="BE482" s="31"/>
      <c r="BF482" s="31"/>
      <c r="BG482" s="31"/>
      <c r="BH482" s="31"/>
      <c r="BI482" s="31"/>
      <c r="BJ482" s="31"/>
      <c r="BK482" s="31"/>
      <c r="BL482" s="63">
        <f t="shared" si="89"/>
        <v>0</v>
      </c>
      <c r="BM482" s="63">
        <f t="shared" si="90"/>
        <v>0</v>
      </c>
      <c r="BN482" s="63">
        <f t="shared" si="91"/>
        <v>0</v>
      </c>
      <c r="BO482" s="63">
        <f t="shared" si="92"/>
        <v>0</v>
      </c>
      <c r="BP482" s="63">
        <f t="shared" si="93"/>
        <v>0</v>
      </c>
      <c r="BQ482" s="63">
        <f t="shared" si="94"/>
        <v>0</v>
      </c>
      <c r="BR482" s="63">
        <f t="shared" si="95"/>
        <v>0</v>
      </c>
      <c r="BS482" s="63">
        <f t="shared" si="96"/>
        <v>0</v>
      </c>
    </row>
    <row r="483" spans="1:71">
      <c r="A483" s="28">
        <f t="shared" si="97"/>
        <v>482</v>
      </c>
      <c r="B483" s="28" t="s">
        <v>1406</v>
      </c>
      <c r="C483" s="28" t="s">
        <v>72</v>
      </c>
      <c r="D483" s="30" t="s">
        <v>1346</v>
      </c>
      <c r="E483" s="30" t="s">
        <v>1305</v>
      </c>
      <c r="F483" s="31" t="s">
        <v>1407</v>
      </c>
      <c r="G483" s="28" t="s">
        <v>469</v>
      </c>
      <c r="H483" s="93" t="s">
        <v>470</v>
      </c>
      <c r="I483" s="28"/>
      <c r="J483" s="28"/>
      <c r="K483" s="28" t="s">
        <v>1408</v>
      </c>
      <c r="L483" s="40">
        <v>200000</v>
      </c>
      <c r="M483" s="39" t="s">
        <v>114</v>
      </c>
      <c r="N483" s="96" t="s">
        <v>1409</v>
      </c>
      <c r="O483" s="28" t="s">
        <v>1410</v>
      </c>
      <c r="P483" s="28"/>
      <c r="Q483" s="89">
        <v>4.07</v>
      </c>
      <c r="R483" s="47">
        <f t="shared" si="98"/>
        <v>0</v>
      </c>
      <c r="S483" s="75">
        <f t="shared" si="100"/>
        <v>0</v>
      </c>
      <c r="T483" s="48">
        <f t="shared" si="99"/>
        <v>0</v>
      </c>
      <c r="U483" s="40">
        <v>0</v>
      </c>
      <c r="V483" s="40">
        <v>0</v>
      </c>
      <c r="W483" s="40">
        <v>0</v>
      </c>
      <c r="X483" s="28">
        <v>0</v>
      </c>
      <c r="Y483" s="40">
        <v>0</v>
      </c>
      <c r="Z483" s="28">
        <v>0</v>
      </c>
      <c r="AA483" s="40">
        <v>0</v>
      </c>
      <c r="AB483" s="28">
        <v>0</v>
      </c>
      <c r="AC483" s="40">
        <v>0</v>
      </c>
      <c r="AD483" s="28">
        <v>0</v>
      </c>
      <c r="AE483" s="40">
        <v>0</v>
      </c>
      <c r="AF483" s="28">
        <v>0</v>
      </c>
      <c r="AG483" s="40">
        <v>0</v>
      </c>
      <c r="AH483" s="40">
        <v>0</v>
      </c>
      <c r="AI483" s="40">
        <v>0</v>
      </c>
      <c r="AJ483" s="40">
        <v>0</v>
      </c>
      <c r="AK483" s="40">
        <v>0</v>
      </c>
      <c r="AL483" s="40">
        <v>0</v>
      </c>
      <c r="AM483" s="40">
        <v>0</v>
      </c>
      <c r="AN483" s="40">
        <v>0</v>
      </c>
      <c r="AO483" s="40">
        <v>0</v>
      </c>
      <c r="AP483" s="40">
        <v>0</v>
      </c>
      <c r="AQ483" s="40">
        <v>0</v>
      </c>
      <c r="AR483" s="40">
        <v>0</v>
      </c>
      <c r="AS483" s="31" t="s">
        <v>552</v>
      </c>
      <c r="AT483" s="30" t="s">
        <v>116</v>
      </c>
      <c r="AU483" s="30" t="s">
        <v>688</v>
      </c>
      <c r="AV483" s="31" t="s">
        <v>117</v>
      </c>
      <c r="AW483" s="31" t="s">
        <v>546</v>
      </c>
      <c r="AX483" s="31" t="s">
        <v>547</v>
      </c>
      <c r="AY483" s="31" t="s">
        <v>689</v>
      </c>
      <c r="AZ483" s="31"/>
      <c r="BA483" s="31"/>
      <c r="BB483" s="31"/>
      <c r="BC483" s="31"/>
      <c r="BD483" s="31"/>
      <c r="BE483" s="31"/>
      <c r="BF483" s="31"/>
      <c r="BG483" s="31"/>
      <c r="BH483" s="31"/>
      <c r="BI483" s="31"/>
      <c r="BJ483" s="31"/>
      <c r="BK483" s="31"/>
      <c r="BL483" s="63">
        <f t="shared" si="89"/>
        <v>0</v>
      </c>
      <c r="BM483" s="63">
        <f t="shared" si="90"/>
        <v>0</v>
      </c>
      <c r="BN483" s="63">
        <f t="shared" si="91"/>
        <v>0</v>
      </c>
      <c r="BO483" s="63">
        <f t="shared" si="92"/>
        <v>0</v>
      </c>
      <c r="BP483" s="63">
        <f t="shared" si="93"/>
        <v>0</v>
      </c>
      <c r="BQ483" s="63">
        <f t="shared" si="94"/>
        <v>0</v>
      </c>
      <c r="BR483" s="63">
        <f t="shared" si="95"/>
        <v>0</v>
      </c>
      <c r="BS483" s="63">
        <f t="shared" si="96"/>
        <v>0</v>
      </c>
    </row>
    <row r="484" spans="1:71">
      <c r="A484" s="28">
        <f t="shared" si="97"/>
        <v>483</v>
      </c>
      <c r="B484" s="31" t="s">
        <v>1411</v>
      </c>
      <c r="C484" s="28" t="s">
        <v>72</v>
      </c>
      <c r="D484" s="30" t="s">
        <v>1346</v>
      </c>
      <c r="E484" s="30" t="s">
        <v>1305</v>
      </c>
      <c r="F484" s="30" t="s">
        <v>1347</v>
      </c>
      <c r="G484" s="30" t="s">
        <v>171</v>
      </c>
      <c r="H484" s="35" t="s">
        <v>172</v>
      </c>
      <c r="I484" s="30"/>
      <c r="J484" s="30"/>
      <c r="K484" s="31" t="s">
        <v>1412</v>
      </c>
      <c r="L484" s="40"/>
      <c r="M484" s="39" t="s">
        <v>57</v>
      </c>
      <c r="N484" s="28" t="s">
        <v>1413</v>
      </c>
      <c r="O484" s="30"/>
      <c r="P484" s="30"/>
      <c r="Q484" s="89">
        <v>0.35</v>
      </c>
      <c r="R484" s="47">
        <f t="shared" si="98"/>
        <v>0</v>
      </c>
      <c r="S484" s="75"/>
      <c r="T484" s="48">
        <f t="shared" si="99"/>
        <v>0</v>
      </c>
      <c r="U484" s="40"/>
      <c r="V484" s="40"/>
      <c r="W484" s="40"/>
      <c r="X484" s="40"/>
      <c r="Y484" s="40"/>
      <c r="Z484" s="40"/>
      <c r="AA484" s="40"/>
      <c r="AB484" s="39"/>
      <c r="AC484" s="39"/>
      <c r="AD484" s="39"/>
      <c r="AE484" s="39"/>
      <c r="AF484" s="39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30"/>
      <c r="AT484" s="30" t="s">
        <v>116</v>
      </c>
      <c r="AU484" s="30" t="s">
        <v>81</v>
      </c>
      <c r="AV484" s="30"/>
      <c r="AW484" s="30"/>
      <c r="AX484" s="30"/>
      <c r="AY484" s="30"/>
      <c r="AZ484" s="30"/>
      <c r="BA484" s="30"/>
      <c r="BB484" s="30"/>
      <c r="BC484" s="58"/>
      <c r="BD484" s="30"/>
      <c r="BE484" s="55"/>
      <c r="BF484" s="55"/>
      <c r="BG484" s="55"/>
      <c r="BH484" s="55"/>
      <c r="BI484" s="55"/>
      <c r="BJ484" s="64"/>
      <c r="BK484" s="39"/>
      <c r="BL484" s="63">
        <f t="shared" si="89"/>
        <v>0</v>
      </c>
      <c r="BM484" s="63">
        <f t="shared" si="90"/>
        <v>0</v>
      </c>
      <c r="BN484" s="63">
        <f t="shared" si="91"/>
        <v>0</v>
      </c>
      <c r="BO484" s="63">
        <f t="shared" si="92"/>
        <v>0</v>
      </c>
      <c r="BP484" s="63">
        <f t="shared" si="93"/>
        <v>0</v>
      </c>
      <c r="BQ484" s="63">
        <f t="shared" si="94"/>
        <v>0</v>
      </c>
      <c r="BR484" s="63">
        <f t="shared" si="95"/>
        <v>0</v>
      </c>
      <c r="BS484" s="63">
        <f t="shared" si="96"/>
        <v>0</v>
      </c>
    </row>
    <row r="485" spans="1:71">
      <c r="A485" s="28">
        <f t="shared" si="97"/>
        <v>484</v>
      </c>
      <c r="B485" s="31" t="s">
        <v>1414</v>
      </c>
      <c r="C485" s="28" t="s">
        <v>72</v>
      </c>
      <c r="D485" s="30" t="s">
        <v>1346</v>
      </c>
      <c r="E485" s="30" t="s">
        <v>1305</v>
      </c>
      <c r="F485" s="30" t="s">
        <v>1347</v>
      </c>
      <c r="G485" s="30" t="s">
        <v>245</v>
      </c>
      <c r="H485" s="35" t="s">
        <v>246</v>
      </c>
      <c r="I485" s="30"/>
      <c r="J485" s="30"/>
      <c r="K485" s="31" t="s">
        <v>1415</v>
      </c>
      <c r="L485" s="40"/>
      <c r="M485" s="39" t="s">
        <v>57</v>
      </c>
      <c r="N485" s="28" t="s">
        <v>1416</v>
      </c>
      <c r="O485" s="30"/>
      <c r="P485" s="30"/>
      <c r="Q485" s="89">
        <v>0.55</v>
      </c>
      <c r="R485" s="47">
        <f t="shared" si="98"/>
        <v>0</v>
      </c>
      <c r="S485" s="75"/>
      <c r="T485" s="48">
        <f t="shared" si="99"/>
        <v>0</v>
      </c>
      <c r="U485" s="40"/>
      <c r="V485" s="40"/>
      <c r="W485" s="40"/>
      <c r="X485" s="40"/>
      <c r="Y485" s="40"/>
      <c r="Z485" s="40"/>
      <c r="AA485" s="40"/>
      <c r="AB485" s="39"/>
      <c r="AC485" s="39"/>
      <c r="AD485" s="39"/>
      <c r="AE485" s="39"/>
      <c r="AF485" s="39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30"/>
      <c r="AT485" s="30" t="s">
        <v>116</v>
      </c>
      <c r="AU485" s="30" t="s">
        <v>81</v>
      </c>
      <c r="AV485" s="30"/>
      <c r="AW485" s="30"/>
      <c r="AX485" s="30"/>
      <c r="AY485" s="30"/>
      <c r="AZ485" s="30"/>
      <c r="BA485" s="30"/>
      <c r="BB485" s="30"/>
      <c r="BC485" s="58"/>
      <c r="BD485" s="30"/>
      <c r="BE485" s="55"/>
      <c r="BF485" s="55"/>
      <c r="BG485" s="55"/>
      <c r="BH485" s="55"/>
      <c r="BI485" s="55"/>
      <c r="BJ485" s="64"/>
      <c r="BK485" s="39"/>
      <c r="BL485" s="63">
        <f t="shared" si="89"/>
        <v>0</v>
      </c>
      <c r="BM485" s="63">
        <f t="shared" si="90"/>
        <v>0</v>
      </c>
      <c r="BN485" s="63">
        <f t="shared" si="91"/>
        <v>0</v>
      </c>
      <c r="BO485" s="63">
        <f t="shared" si="92"/>
        <v>0</v>
      </c>
      <c r="BP485" s="63">
        <f t="shared" si="93"/>
        <v>0</v>
      </c>
      <c r="BQ485" s="63">
        <f t="shared" si="94"/>
        <v>0</v>
      </c>
      <c r="BR485" s="63">
        <f t="shared" si="95"/>
        <v>0</v>
      </c>
      <c r="BS485" s="63">
        <f t="shared" si="96"/>
        <v>0</v>
      </c>
    </row>
    <row r="486" spans="1:71">
      <c r="A486" s="28">
        <f t="shared" si="97"/>
        <v>485</v>
      </c>
      <c r="B486" s="31" t="s">
        <v>1417</v>
      </c>
      <c r="C486" s="30" t="s">
        <v>72</v>
      </c>
      <c r="D486" s="30" t="s">
        <v>1418</v>
      </c>
      <c r="E486" s="30" t="s">
        <v>1305</v>
      </c>
      <c r="F486" s="30" t="s">
        <v>1419</v>
      </c>
      <c r="G486" s="30" t="s">
        <v>415</v>
      </c>
      <c r="H486" s="35" t="s">
        <v>416</v>
      </c>
      <c r="I486" s="30"/>
      <c r="J486" s="30"/>
      <c r="K486" s="30" t="s">
        <v>1420</v>
      </c>
      <c r="L486" s="40">
        <v>200000</v>
      </c>
      <c r="M486" s="39" t="s">
        <v>79</v>
      </c>
      <c r="N486" s="31" t="s">
        <v>1421</v>
      </c>
      <c r="O486" s="30" t="s">
        <v>1173</v>
      </c>
      <c r="P486" s="30"/>
      <c r="Q486" s="89">
        <v>3.8</v>
      </c>
      <c r="R486" s="47">
        <f t="shared" si="98"/>
        <v>45600</v>
      </c>
      <c r="S486" s="75">
        <f t="shared" si="100"/>
        <v>0</v>
      </c>
      <c r="T486" s="48">
        <f t="shared" si="99"/>
        <v>12000</v>
      </c>
      <c r="U486" s="40">
        <v>0</v>
      </c>
      <c r="V486" s="40">
        <v>0</v>
      </c>
      <c r="W486" s="39">
        <v>4000</v>
      </c>
      <c r="X486" s="40">
        <v>0</v>
      </c>
      <c r="Y486" s="40">
        <v>4000</v>
      </c>
      <c r="Z486" s="40">
        <v>0</v>
      </c>
      <c r="AA486" s="40">
        <v>0</v>
      </c>
      <c r="AB486" s="40">
        <v>0</v>
      </c>
      <c r="AC486" s="39">
        <v>4000</v>
      </c>
      <c r="AD486" s="40">
        <v>0</v>
      </c>
      <c r="AE486" s="39">
        <v>4000</v>
      </c>
      <c r="AF486" s="39">
        <v>4000</v>
      </c>
      <c r="AG486" s="40">
        <v>0</v>
      </c>
      <c r="AH486" s="40">
        <v>0</v>
      </c>
      <c r="AI486" s="40">
        <v>0</v>
      </c>
      <c r="AJ486" s="40">
        <v>0</v>
      </c>
      <c r="AK486" s="40">
        <v>0</v>
      </c>
      <c r="AL486" s="40">
        <v>0</v>
      </c>
      <c r="AM486" s="40">
        <v>0</v>
      </c>
      <c r="AN486" s="40">
        <v>0</v>
      </c>
      <c r="AO486" s="40">
        <v>0</v>
      </c>
      <c r="AP486" s="40">
        <v>0</v>
      </c>
      <c r="AQ486" s="40">
        <v>0</v>
      </c>
      <c r="AR486" s="40">
        <v>0</v>
      </c>
      <c r="AS486" s="30" t="s">
        <v>705</v>
      </c>
      <c r="AT486" s="30" t="s">
        <v>116</v>
      </c>
      <c r="AU486" s="30" t="s">
        <v>545</v>
      </c>
      <c r="AV486" s="30" t="s">
        <v>789</v>
      </c>
      <c r="AW486" s="30" t="s">
        <v>790</v>
      </c>
      <c r="AX486" s="30" t="s">
        <v>1422</v>
      </c>
      <c r="AY486" s="30" t="s">
        <v>845</v>
      </c>
      <c r="AZ486" s="30" t="s">
        <v>1423</v>
      </c>
      <c r="BA486" s="30"/>
      <c r="BB486" s="30"/>
      <c r="BC486" s="58">
        <v>1</v>
      </c>
      <c r="BD486" s="30"/>
      <c r="BE486" s="55"/>
      <c r="BF486" s="55"/>
      <c r="BG486" s="55"/>
      <c r="BH486" s="55"/>
      <c r="BI486" s="55"/>
      <c r="BJ486" s="64"/>
      <c r="BK486" s="39"/>
      <c r="BL486" s="63">
        <f t="shared" si="89"/>
        <v>15200</v>
      </c>
      <c r="BM486" s="63">
        <f t="shared" si="90"/>
        <v>0</v>
      </c>
      <c r="BN486" s="63">
        <f t="shared" si="91"/>
        <v>0</v>
      </c>
      <c r="BO486" s="63">
        <f t="shared" si="92"/>
        <v>0</v>
      </c>
      <c r="BP486" s="63">
        <f t="shared" si="93"/>
        <v>15200</v>
      </c>
      <c r="BQ486" s="63">
        <f t="shared" si="94"/>
        <v>0</v>
      </c>
      <c r="BR486" s="63">
        <f t="shared" si="95"/>
        <v>15200</v>
      </c>
      <c r="BS486" s="63">
        <f t="shared" si="96"/>
        <v>15200</v>
      </c>
    </row>
    <row r="487" spans="1:71">
      <c r="A487" s="28">
        <f t="shared" si="97"/>
        <v>486</v>
      </c>
      <c r="B487" s="31" t="s">
        <v>1417</v>
      </c>
      <c r="C487" s="30" t="s">
        <v>72</v>
      </c>
      <c r="D487" s="30" t="s">
        <v>1418</v>
      </c>
      <c r="E487" s="30" t="s">
        <v>1305</v>
      </c>
      <c r="F487" s="30" t="s">
        <v>1419</v>
      </c>
      <c r="G487" s="30" t="s">
        <v>391</v>
      </c>
      <c r="H487" s="35" t="s">
        <v>392</v>
      </c>
      <c r="I487" s="30"/>
      <c r="J487" s="30"/>
      <c r="K487" s="30" t="s">
        <v>1424</v>
      </c>
      <c r="L487" s="40">
        <v>150000</v>
      </c>
      <c r="M487" s="39" t="s">
        <v>79</v>
      </c>
      <c r="N487" s="31" t="s">
        <v>1425</v>
      </c>
      <c r="O487" s="30" t="s">
        <v>1152</v>
      </c>
      <c r="P487" s="30"/>
      <c r="Q487" s="89">
        <v>2.73</v>
      </c>
      <c r="R487" s="47">
        <f t="shared" si="98"/>
        <v>207480</v>
      </c>
      <c r="S487" s="75">
        <f t="shared" si="100"/>
        <v>0</v>
      </c>
      <c r="T487" s="48">
        <f t="shared" si="99"/>
        <v>76000</v>
      </c>
      <c r="U487" s="40">
        <v>0</v>
      </c>
      <c r="V487" s="40">
        <v>0</v>
      </c>
      <c r="W487" s="39">
        <v>2950</v>
      </c>
      <c r="X487" s="39">
        <v>16000</v>
      </c>
      <c r="Y487" s="39">
        <v>28000</v>
      </c>
      <c r="Z487" s="39">
        <v>20000</v>
      </c>
      <c r="AA487" s="40">
        <v>0</v>
      </c>
      <c r="AB487" s="39">
        <v>8000</v>
      </c>
      <c r="AC487" s="39">
        <v>12000</v>
      </c>
      <c r="AD487" s="39">
        <v>12000</v>
      </c>
      <c r="AE487" s="39">
        <v>12000</v>
      </c>
      <c r="AF487" s="39">
        <v>12000</v>
      </c>
      <c r="AG487" s="40">
        <v>0</v>
      </c>
      <c r="AH487" s="40">
        <v>0</v>
      </c>
      <c r="AI487" s="40">
        <v>0</v>
      </c>
      <c r="AJ487" s="40">
        <v>0</v>
      </c>
      <c r="AK487" s="40">
        <v>0</v>
      </c>
      <c r="AL487" s="40">
        <v>0</v>
      </c>
      <c r="AM487" s="40">
        <v>0</v>
      </c>
      <c r="AN487" s="40">
        <v>0</v>
      </c>
      <c r="AO487" s="40">
        <v>0</v>
      </c>
      <c r="AP487" s="40">
        <v>0</v>
      </c>
      <c r="AQ487" s="40">
        <v>0</v>
      </c>
      <c r="AR487" s="40">
        <v>0</v>
      </c>
      <c r="AS487" s="30" t="s">
        <v>1150</v>
      </c>
      <c r="AT487" s="30" t="s">
        <v>116</v>
      </c>
      <c r="AU487" s="30" t="s">
        <v>545</v>
      </c>
      <c r="AV487" s="30" t="s">
        <v>789</v>
      </c>
      <c r="AW487" s="30" t="s">
        <v>790</v>
      </c>
      <c r="AX487" s="30" t="s">
        <v>1422</v>
      </c>
      <c r="AY487" s="30" t="s">
        <v>845</v>
      </c>
      <c r="AZ487" s="30" t="s">
        <v>1423</v>
      </c>
      <c r="BA487" s="30"/>
      <c r="BB487" s="30"/>
      <c r="BC487" s="58">
        <v>1</v>
      </c>
      <c r="BD487" s="30"/>
      <c r="BE487" s="55"/>
      <c r="BF487" s="55"/>
      <c r="BG487" s="55"/>
      <c r="BH487" s="55"/>
      <c r="BI487" s="55"/>
      <c r="BJ487" s="64"/>
      <c r="BK487" s="39"/>
      <c r="BL487" s="63">
        <f t="shared" si="89"/>
        <v>76440</v>
      </c>
      <c r="BM487" s="63">
        <f t="shared" si="90"/>
        <v>54600</v>
      </c>
      <c r="BN487" s="63">
        <f t="shared" si="91"/>
        <v>0</v>
      </c>
      <c r="BO487" s="63">
        <f t="shared" si="92"/>
        <v>21840</v>
      </c>
      <c r="BP487" s="63">
        <f t="shared" si="93"/>
        <v>32760</v>
      </c>
      <c r="BQ487" s="63">
        <f t="shared" si="94"/>
        <v>32760</v>
      </c>
      <c r="BR487" s="63">
        <f t="shared" si="95"/>
        <v>32760</v>
      </c>
      <c r="BS487" s="63">
        <f t="shared" si="96"/>
        <v>32760</v>
      </c>
    </row>
    <row r="488" spans="1:71">
      <c r="A488" s="28">
        <f t="shared" si="97"/>
        <v>487</v>
      </c>
      <c r="B488" s="31" t="s">
        <v>1417</v>
      </c>
      <c r="C488" s="30" t="s">
        <v>72</v>
      </c>
      <c r="D488" s="30" t="s">
        <v>1418</v>
      </c>
      <c r="E488" s="30" t="s">
        <v>1305</v>
      </c>
      <c r="F488" s="30" t="s">
        <v>1419</v>
      </c>
      <c r="G488" s="30" t="s">
        <v>304</v>
      </c>
      <c r="H488" s="93" t="s">
        <v>305</v>
      </c>
      <c r="I488" s="30"/>
      <c r="J488" s="30"/>
      <c r="K488" s="30" t="s">
        <v>1426</v>
      </c>
      <c r="L488" s="40">
        <v>150000</v>
      </c>
      <c r="M488" s="39" t="s">
        <v>57</v>
      </c>
      <c r="N488" s="31" t="s">
        <v>1427</v>
      </c>
      <c r="O488" s="30" t="s">
        <v>1428</v>
      </c>
      <c r="P488" s="30"/>
      <c r="Q488" s="89"/>
      <c r="R488" s="47">
        <f t="shared" si="98"/>
        <v>0</v>
      </c>
      <c r="S488" s="75">
        <f t="shared" si="100"/>
        <v>0</v>
      </c>
      <c r="T488" s="48">
        <f t="shared" si="99"/>
        <v>0</v>
      </c>
      <c r="U488" s="40">
        <v>0</v>
      </c>
      <c r="V488" s="40">
        <v>0</v>
      </c>
      <c r="W488" s="40">
        <v>0</v>
      </c>
      <c r="X488" s="40">
        <v>0</v>
      </c>
      <c r="Y488" s="40">
        <v>0</v>
      </c>
      <c r="Z488" s="40">
        <v>0</v>
      </c>
      <c r="AA488" s="40">
        <v>0</v>
      </c>
      <c r="AB488" s="40">
        <v>0</v>
      </c>
      <c r="AC488" s="40">
        <v>0</v>
      </c>
      <c r="AD488" s="40">
        <v>0</v>
      </c>
      <c r="AE488" s="40">
        <v>0</v>
      </c>
      <c r="AF488" s="40">
        <v>0</v>
      </c>
      <c r="AG488" s="40">
        <v>0</v>
      </c>
      <c r="AH488" s="40">
        <v>0</v>
      </c>
      <c r="AI488" s="40">
        <v>0</v>
      </c>
      <c r="AJ488" s="40">
        <v>0</v>
      </c>
      <c r="AK488" s="40">
        <v>0</v>
      </c>
      <c r="AL488" s="40">
        <v>0</v>
      </c>
      <c r="AM488" s="40">
        <v>0</v>
      </c>
      <c r="AN488" s="40">
        <v>0</v>
      </c>
      <c r="AO488" s="40">
        <v>0</v>
      </c>
      <c r="AP488" s="40">
        <v>0</v>
      </c>
      <c r="AQ488" s="40">
        <v>0</v>
      </c>
      <c r="AR488" s="40">
        <v>0</v>
      </c>
      <c r="AS488" s="30" t="s">
        <v>93</v>
      </c>
      <c r="AT488" s="30" t="s">
        <v>116</v>
      </c>
      <c r="AU488" s="30" t="s">
        <v>81</v>
      </c>
      <c r="AV488" s="30" t="s">
        <v>789</v>
      </c>
      <c r="AW488" s="30" t="s">
        <v>790</v>
      </c>
      <c r="AX488" s="30" t="s">
        <v>1422</v>
      </c>
      <c r="AY488" s="30" t="s">
        <v>1429</v>
      </c>
      <c r="AZ488" s="30" t="s">
        <v>1423</v>
      </c>
      <c r="BA488" s="30"/>
      <c r="BB488" s="30"/>
      <c r="BC488" s="58">
        <v>1</v>
      </c>
      <c r="BD488" s="30"/>
      <c r="BE488" s="55"/>
      <c r="BF488" s="55"/>
      <c r="BG488" s="55"/>
      <c r="BH488" s="55"/>
      <c r="BI488" s="55"/>
      <c r="BJ488" s="64"/>
      <c r="BK488" s="39"/>
      <c r="BL488" s="63">
        <f t="shared" si="89"/>
        <v>0</v>
      </c>
      <c r="BM488" s="63">
        <f t="shared" si="90"/>
        <v>0</v>
      </c>
      <c r="BN488" s="63">
        <f t="shared" si="91"/>
        <v>0</v>
      </c>
      <c r="BO488" s="63">
        <f t="shared" si="92"/>
        <v>0</v>
      </c>
      <c r="BP488" s="63">
        <f t="shared" si="93"/>
        <v>0</v>
      </c>
      <c r="BQ488" s="63">
        <f t="shared" si="94"/>
        <v>0</v>
      </c>
      <c r="BR488" s="63">
        <f t="shared" si="95"/>
        <v>0</v>
      </c>
      <c r="BS488" s="63">
        <f t="shared" si="96"/>
        <v>0</v>
      </c>
    </row>
    <row r="489" spans="1:71">
      <c r="A489" s="28">
        <f t="shared" si="97"/>
        <v>488</v>
      </c>
      <c r="B489" s="31" t="s">
        <v>1430</v>
      </c>
      <c r="C489" s="30" t="s">
        <v>72</v>
      </c>
      <c r="D489" s="30" t="s">
        <v>1418</v>
      </c>
      <c r="E489" s="30" t="s">
        <v>1305</v>
      </c>
      <c r="F489" s="30" t="s">
        <v>1419</v>
      </c>
      <c r="G489" s="30" t="s">
        <v>326</v>
      </c>
      <c r="H489" s="93" t="s">
        <v>327</v>
      </c>
      <c r="I489" s="30"/>
      <c r="J489" s="30"/>
      <c r="K489" s="30" t="s">
        <v>1431</v>
      </c>
      <c r="L489" s="40">
        <v>800000</v>
      </c>
      <c r="M489" s="39" t="s">
        <v>79</v>
      </c>
      <c r="N489" s="31" t="s">
        <v>1432</v>
      </c>
      <c r="O489" s="30" t="s">
        <v>620</v>
      </c>
      <c r="P489" s="30"/>
      <c r="Q489" s="89">
        <v>0.695</v>
      </c>
      <c r="R489" s="47">
        <f t="shared" si="98"/>
        <v>255760</v>
      </c>
      <c r="S489" s="75">
        <f t="shared" si="100"/>
        <v>0</v>
      </c>
      <c r="T489" s="48">
        <f t="shared" si="99"/>
        <v>368000</v>
      </c>
      <c r="U489" s="40">
        <v>0</v>
      </c>
      <c r="V489" s="39">
        <v>128000</v>
      </c>
      <c r="W489" s="40">
        <v>0</v>
      </c>
      <c r="X489" s="40">
        <v>80000</v>
      </c>
      <c r="Y489" s="39">
        <v>100000</v>
      </c>
      <c r="Z489" s="40">
        <v>80000</v>
      </c>
      <c r="AA489" s="39">
        <v>80000</v>
      </c>
      <c r="AB489" s="39">
        <v>80000</v>
      </c>
      <c r="AC489" s="40">
        <v>0</v>
      </c>
      <c r="AD489" s="40">
        <v>0</v>
      </c>
      <c r="AE489" s="40">
        <v>0</v>
      </c>
      <c r="AF489" s="39">
        <v>128000</v>
      </c>
      <c r="AG489" s="40">
        <v>0</v>
      </c>
      <c r="AH489" s="40">
        <v>0</v>
      </c>
      <c r="AI489" s="40">
        <v>0</v>
      </c>
      <c r="AJ489" s="40">
        <v>0</v>
      </c>
      <c r="AK489" s="40">
        <v>0</v>
      </c>
      <c r="AL489" s="40">
        <v>0</v>
      </c>
      <c r="AM489" s="40">
        <v>0</v>
      </c>
      <c r="AN489" s="40">
        <v>0</v>
      </c>
      <c r="AO489" s="40">
        <v>0</v>
      </c>
      <c r="AP489" s="40">
        <v>0</v>
      </c>
      <c r="AQ489" s="40">
        <v>0</v>
      </c>
      <c r="AR489" s="40">
        <v>0</v>
      </c>
      <c r="AS489" s="30" t="s">
        <v>74</v>
      </c>
      <c r="AT489" s="30" t="s">
        <v>116</v>
      </c>
      <c r="AU489" s="30" t="s">
        <v>81</v>
      </c>
      <c r="AV489" s="30" t="s">
        <v>789</v>
      </c>
      <c r="AW489" s="30" t="s">
        <v>1399</v>
      </c>
      <c r="AX489" s="30" t="s">
        <v>1400</v>
      </c>
      <c r="AY489" s="30" t="s">
        <v>1401</v>
      </c>
      <c r="AZ489" s="30"/>
      <c r="BA489" s="30"/>
      <c r="BB489" s="30"/>
      <c r="BC489" s="58">
        <v>1</v>
      </c>
      <c r="BD489" s="30"/>
      <c r="BE489" s="55"/>
      <c r="BF489" s="55"/>
      <c r="BG489" s="55"/>
      <c r="BH489" s="55"/>
      <c r="BI489" s="55"/>
      <c r="BJ489" s="64"/>
      <c r="BK489" s="39"/>
      <c r="BL489" s="63">
        <f t="shared" si="89"/>
        <v>69500</v>
      </c>
      <c r="BM489" s="63">
        <f t="shared" si="90"/>
        <v>55600</v>
      </c>
      <c r="BN489" s="63">
        <f t="shared" si="91"/>
        <v>55600</v>
      </c>
      <c r="BO489" s="63">
        <f t="shared" si="92"/>
        <v>55600</v>
      </c>
      <c r="BP489" s="63">
        <f t="shared" si="93"/>
        <v>0</v>
      </c>
      <c r="BQ489" s="63">
        <f t="shared" si="94"/>
        <v>0</v>
      </c>
      <c r="BR489" s="63">
        <f t="shared" si="95"/>
        <v>0</v>
      </c>
      <c r="BS489" s="63">
        <f t="shared" si="96"/>
        <v>88960</v>
      </c>
    </row>
    <row r="490" spans="1:71">
      <c r="A490" s="28">
        <f t="shared" si="97"/>
        <v>489</v>
      </c>
      <c r="B490" s="31" t="s">
        <v>1433</v>
      </c>
      <c r="C490" s="30" t="s">
        <v>92</v>
      </c>
      <c r="D490" s="30" t="s">
        <v>1418</v>
      </c>
      <c r="E490" s="30" t="s">
        <v>1305</v>
      </c>
      <c r="F490" s="30" t="s">
        <v>1419</v>
      </c>
      <c r="G490" s="30" t="s">
        <v>266</v>
      </c>
      <c r="H490" s="35" t="s">
        <v>267</v>
      </c>
      <c r="I490" s="30"/>
      <c r="J490" s="30"/>
      <c r="K490" s="30" t="s">
        <v>1434</v>
      </c>
      <c r="L490" s="40">
        <v>800000</v>
      </c>
      <c r="M490" s="39" t="s">
        <v>79</v>
      </c>
      <c r="N490" s="31" t="s">
        <v>1435</v>
      </c>
      <c r="O490" s="30" t="s">
        <v>1213</v>
      </c>
      <c r="P490" s="30"/>
      <c r="Q490" s="89">
        <v>0.45</v>
      </c>
      <c r="R490" s="47">
        <f t="shared" si="98"/>
        <v>162000</v>
      </c>
      <c r="S490" s="75">
        <f t="shared" si="100"/>
        <v>0</v>
      </c>
      <c r="T490" s="48">
        <f t="shared" si="99"/>
        <v>360000</v>
      </c>
      <c r="U490" s="40">
        <v>0</v>
      </c>
      <c r="V490" s="40">
        <v>0</v>
      </c>
      <c r="W490" s="39">
        <v>40000</v>
      </c>
      <c r="X490" s="39">
        <v>40000</v>
      </c>
      <c r="Y490" s="39">
        <v>40000</v>
      </c>
      <c r="Z490" s="39">
        <v>40000</v>
      </c>
      <c r="AA490" s="39">
        <v>40000</v>
      </c>
      <c r="AB490" s="39">
        <v>40000</v>
      </c>
      <c r="AC490" s="39">
        <v>60000</v>
      </c>
      <c r="AD490" s="39">
        <v>60000</v>
      </c>
      <c r="AE490" s="39">
        <v>60000</v>
      </c>
      <c r="AF490" s="39">
        <v>60000</v>
      </c>
      <c r="AG490" s="40">
        <v>0</v>
      </c>
      <c r="AH490" s="40">
        <v>0</v>
      </c>
      <c r="AI490" s="40">
        <v>0</v>
      </c>
      <c r="AJ490" s="40">
        <v>0</v>
      </c>
      <c r="AK490" s="40">
        <v>0</v>
      </c>
      <c r="AL490" s="40">
        <v>0</v>
      </c>
      <c r="AM490" s="40">
        <v>0</v>
      </c>
      <c r="AN490" s="40">
        <v>0</v>
      </c>
      <c r="AO490" s="40">
        <v>0</v>
      </c>
      <c r="AP490" s="40">
        <v>0</v>
      </c>
      <c r="AQ490" s="40">
        <v>0</v>
      </c>
      <c r="AR490" s="40">
        <v>0</v>
      </c>
      <c r="AS490" s="30" t="s">
        <v>93</v>
      </c>
      <c r="AT490" s="30" t="s">
        <v>116</v>
      </c>
      <c r="AU490" s="30" t="s">
        <v>81</v>
      </c>
      <c r="AV490" s="30" t="s">
        <v>117</v>
      </c>
      <c r="AW490" s="30" t="s">
        <v>546</v>
      </c>
      <c r="AX490" s="30" t="s">
        <v>1436</v>
      </c>
      <c r="AY490" s="30" t="s">
        <v>1437</v>
      </c>
      <c r="AZ490" s="30"/>
      <c r="BA490" s="30"/>
      <c r="BB490" s="30"/>
      <c r="BC490" s="58">
        <v>1</v>
      </c>
      <c r="BD490" s="30"/>
      <c r="BE490" s="55"/>
      <c r="BF490" s="55"/>
      <c r="BG490" s="55"/>
      <c r="BH490" s="55"/>
      <c r="BI490" s="55"/>
      <c r="BJ490" s="64"/>
      <c r="BK490" s="39"/>
      <c r="BL490" s="63">
        <f t="shared" si="89"/>
        <v>18000</v>
      </c>
      <c r="BM490" s="63">
        <f t="shared" si="90"/>
        <v>18000</v>
      </c>
      <c r="BN490" s="63">
        <f t="shared" si="91"/>
        <v>18000</v>
      </c>
      <c r="BO490" s="63">
        <f t="shared" si="92"/>
        <v>18000</v>
      </c>
      <c r="BP490" s="63">
        <f t="shared" si="93"/>
        <v>27000</v>
      </c>
      <c r="BQ490" s="63">
        <f t="shared" si="94"/>
        <v>27000</v>
      </c>
      <c r="BR490" s="63">
        <f t="shared" si="95"/>
        <v>27000</v>
      </c>
      <c r="BS490" s="63">
        <f t="shared" si="96"/>
        <v>27000</v>
      </c>
    </row>
    <row r="491" spans="1:71">
      <c r="A491" s="28">
        <f t="shared" si="97"/>
        <v>490</v>
      </c>
      <c r="B491" s="31" t="s">
        <v>1433</v>
      </c>
      <c r="C491" s="30" t="s">
        <v>92</v>
      </c>
      <c r="D491" s="30" t="s">
        <v>1418</v>
      </c>
      <c r="E491" s="30" t="s">
        <v>1305</v>
      </c>
      <c r="F491" s="30" t="s">
        <v>1419</v>
      </c>
      <c r="G491" s="30" t="s">
        <v>261</v>
      </c>
      <c r="H491" s="35" t="s">
        <v>262</v>
      </c>
      <c r="I491" s="30"/>
      <c r="J491" s="30"/>
      <c r="K491" s="30" t="s">
        <v>1438</v>
      </c>
      <c r="L491" s="40">
        <v>2000000</v>
      </c>
      <c r="M491" s="39" t="s">
        <v>79</v>
      </c>
      <c r="N491" s="31" t="s">
        <v>1439</v>
      </c>
      <c r="O491" s="30" t="s">
        <v>1213</v>
      </c>
      <c r="P491" s="30"/>
      <c r="Q491" s="89">
        <v>0.45</v>
      </c>
      <c r="R491" s="47">
        <f t="shared" si="98"/>
        <v>261000</v>
      </c>
      <c r="S491" s="75">
        <f t="shared" si="100"/>
        <v>0</v>
      </c>
      <c r="T491" s="48">
        <f t="shared" si="99"/>
        <v>580000</v>
      </c>
      <c r="U491" s="40">
        <v>0</v>
      </c>
      <c r="V491" s="40">
        <v>0</v>
      </c>
      <c r="W491" s="39">
        <v>60000</v>
      </c>
      <c r="X491" s="39">
        <v>60000</v>
      </c>
      <c r="Y491" s="39">
        <v>40000</v>
      </c>
      <c r="Z491" s="39">
        <v>40000</v>
      </c>
      <c r="AA491" s="39">
        <v>40000</v>
      </c>
      <c r="AB491" s="39">
        <v>100000</v>
      </c>
      <c r="AC491" s="39">
        <v>100000</v>
      </c>
      <c r="AD491" s="39">
        <v>100000</v>
      </c>
      <c r="AE491" s="39">
        <v>100000</v>
      </c>
      <c r="AF491" s="39">
        <v>100000</v>
      </c>
      <c r="AG491" s="40">
        <v>0</v>
      </c>
      <c r="AH491" s="40">
        <v>0</v>
      </c>
      <c r="AI491" s="40">
        <v>0</v>
      </c>
      <c r="AJ491" s="40">
        <v>0</v>
      </c>
      <c r="AK491" s="40">
        <v>0</v>
      </c>
      <c r="AL491" s="40">
        <v>0</v>
      </c>
      <c r="AM491" s="40">
        <v>0</v>
      </c>
      <c r="AN491" s="40">
        <v>0</v>
      </c>
      <c r="AO491" s="40">
        <v>0</v>
      </c>
      <c r="AP491" s="40">
        <v>0</v>
      </c>
      <c r="AQ491" s="40">
        <v>0</v>
      </c>
      <c r="AR491" s="40">
        <v>0</v>
      </c>
      <c r="AS491" s="30" t="s">
        <v>93</v>
      </c>
      <c r="AT491" s="30" t="s">
        <v>116</v>
      </c>
      <c r="AU491" s="30" t="s">
        <v>81</v>
      </c>
      <c r="AV491" s="30" t="s">
        <v>117</v>
      </c>
      <c r="AW491" s="30" t="s">
        <v>546</v>
      </c>
      <c r="AX491" s="30" t="s">
        <v>1436</v>
      </c>
      <c r="AY491" s="30" t="s">
        <v>1437</v>
      </c>
      <c r="AZ491" s="30" t="s">
        <v>1440</v>
      </c>
      <c r="BA491" s="30"/>
      <c r="BB491" s="30" t="s">
        <v>1441</v>
      </c>
      <c r="BC491" s="58">
        <v>1</v>
      </c>
      <c r="BD491" s="30"/>
      <c r="BE491" s="55"/>
      <c r="BF491" s="55"/>
      <c r="BG491" s="55"/>
      <c r="BH491" s="55"/>
      <c r="BI491" s="55"/>
      <c r="BJ491" s="64"/>
      <c r="BK491" s="39"/>
      <c r="BL491" s="63">
        <f t="shared" si="89"/>
        <v>18000</v>
      </c>
      <c r="BM491" s="63">
        <f t="shared" si="90"/>
        <v>18000</v>
      </c>
      <c r="BN491" s="63">
        <f t="shared" si="91"/>
        <v>18000</v>
      </c>
      <c r="BO491" s="63">
        <f t="shared" si="92"/>
        <v>45000</v>
      </c>
      <c r="BP491" s="63">
        <f t="shared" si="93"/>
        <v>45000</v>
      </c>
      <c r="BQ491" s="63">
        <f t="shared" si="94"/>
        <v>45000</v>
      </c>
      <c r="BR491" s="63">
        <f t="shared" si="95"/>
        <v>45000</v>
      </c>
      <c r="BS491" s="63">
        <f t="shared" si="96"/>
        <v>45000</v>
      </c>
    </row>
    <row r="492" spans="1:71">
      <c r="A492" s="28">
        <f t="shared" si="97"/>
        <v>491</v>
      </c>
      <c r="B492" s="31" t="s">
        <v>1433</v>
      </c>
      <c r="C492" s="30" t="s">
        <v>92</v>
      </c>
      <c r="D492" s="30" t="s">
        <v>1418</v>
      </c>
      <c r="E492" s="30" t="s">
        <v>1305</v>
      </c>
      <c r="F492" s="30" t="s">
        <v>1419</v>
      </c>
      <c r="G492" s="30" t="s">
        <v>261</v>
      </c>
      <c r="H492" s="35" t="s">
        <v>262</v>
      </c>
      <c r="I492" s="30"/>
      <c r="J492" s="30"/>
      <c r="K492" s="31" t="s">
        <v>1442</v>
      </c>
      <c r="L492" s="40">
        <v>700000</v>
      </c>
      <c r="M492" s="39" t="s">
        <v>79</v>
      </c>
      <c r="N492" s="31" t="s">
        <v>1443</v>
      </c>
      <c r="O492" s="30" t="s">
        <v>1186</v>
      </c>
      <c r="P492" s="30"/>
      <c r="Q492" s="89">
        <v>0.695</v>
      </c>
      <c r="R492" s="47">
        <f t="shared" si="98"/>
        <v>43785</v>
      </c>
      <c r="S492" s="75">
        <f t="shared" si="100"/>
        <v>0</v>
      </c>
      <c r="T492" s="48">
        <f t="shared" si="99"/>
        <v>63000</v>
      </c>
      <c r="U492" s="40">
        <v>0</v>
      </c>
      <c r="V492" s="40">
        <v>0</v>
      </c>
      <c r="W492" s="40">
        <v>0</v>
      </c>
      <c r="X492" s="39">
        <v>9000</v>
      </c>
      <c r="Y492" s="39">
        <v>9000</v>
      </c>
      <c r="Z492" s="39">
        <v>9000</v>
      </c>
      <c r="AA492" s="39">
        <v>9000</v>
      </c>
      <c r="AB492" s="39">
        <v>9000</v>
      </c>
      <c r="AC492" s="39">
        <v>9000</v>
      </c>
      <c r="AD492" s="39">
        <v>9000</v>
      </c>
      <c r="AE492" s="39">
        <v>9000</v>
      </c>
      <c r="AF492" s="39">
        <v>9000</v>
      </c>
      <c r="AG492" s="40">
        <v>0</v>
      </c>
      <c r="AH492" s="40">
        <v>0</v>
      </c>
      <c r="AI492" s="40">
        <v>0</v>
      </c>
      <c r="AJ492" s="40">
        <v>0</v>
      </c>
      <c r="AK492" s="40">
        <v>0</v>
      </c>
      <c r="AL492" s="40">
        <v>0</v>
      </c>
      <c r="AM492" s="40">
        <v>0</v>
      </c>
      <c r="AN492" s="40">
        <v>0</v>
      </c>
      <c r="AO492" s="40">
        <v>0</v>
      </c>
      <c r="AP492" s="40">
        <v>0</v>
      </c>
      <c r="AQ492" s="40">
        <v>0</v>
      </c>
      <c r="AR492" s="40">
        <v>0</v>
      </c>
      <c r="AS492" s="30" t="s">
        <v>93</v>
      </c>
      <c r="AT492" s="30" t="s">
        <v>116</v>
      </c>
      <c r="AU492" s="30" t="s">
        <v>81</v>
      </c>
      <c r="AV492" s="30" t="s">
        <v>117</v>
      </c>
      <c r="AW492" s="30" t="s">
        <v>1444</v>
      </c>
      <c r="AX492" s="30" t="s">
        <v>1445</v>
      </c>
      <c r="AY492" s="30" t="s">
        <v>1445</v>
      </c>
      <c r="AZ492" s="30"/>
      <c r="BA492" s="30"/>
      <c r="BB492" s="30"/>
      <c r="BC492" s="58">
        <v>1</v>
      </c>
      <c r="BD492" s="30"/>
      <c r="BE492" s="55"/>
      <c r="BF492" s="55"/>
      <c r="BG492" s="55"/>
      <c r="BH492" s="55"/>
      <c r="BI492" s="55"/>
      <c r="BJ492" s="64"/>
      <c r="BK492" s="39"/>
      <c r="BL492" s="63">
        <f t="shared" si="89"/>
        <v>6255</v>
      </c>
      <c r="BM492" s="63">
        <f t="shared" si="90"/>
        <v>6255</v>
      </c>
      <c r="BN492" s="63">
        <f t="shared" si="91"/>
        <v>6255</v>
      </c>
      <c r="BO492" s="63">
        <f t="shared" si="92"/>
        <v>6255</v>
      </c>
      <c r="BP492" s="63">
        <f t="shared" si="93"/>
        <v>6255</v>
      </c>
      <c r="BQ492" s="63">
        <f t="shared" si="94"/>
        <v>6255</v>
      </c>
      <c r="BR492" s="63">
        <f t="shared" si="95"/>
        <v>6255</v>
      </c>
      <c r="BS492" s="63">
        <f t="shared" si="96"/>
        <v>6255</v>
      </c>
    </row>
    <row r="493" spans="1:71">
      <c r="A493" s="28">
        <f t="shared" si="97"/>
        <v>492</v>
      </c>
      <c r="B493" s="31" t="s">
        <v>1433</v>
      </c>
      <c r="C493" s="30" t="s">
        <v>92</v>
      </c>
      <c r="D493" s="30" t="s">
        <v>1418</v>
      </c>
      <c r="E493" s="30" t="s">
        <v>1305</v>
      </c>
      <c r="F493" s="30" t="s">
        <v>1419</v>
      </c>
      <c r="G493" s="30" t="s">
        <v>190</v>
      </c>
      <c r="H493" s="35"/>
      <c r="I493" s="30"/>
      <c r="J493" s="30"/>
      <c r="K493" s="30" t="s">
        <v>1446</v>
      </c>
      <c r="L493" s="40">
        <v>400000</v>
      </c>
      <c r="M493" s="39" t="s">
        <v>57</v>
      </c>
      <c r="N493" s="31" t="s">
        <v>1447</v>
      </c>
      <c r="O493" s="30"/>
      <c r="P493" s="30"/>
      <c r="Q493" s="89">
        <v>0.695</v>
      </c>
      <c r="R493" s="47">
        <f t="shared" si="98"/>
        <v>0</v>
      </c>
      <c r="S493" s="75">
        <f t="shared" si="100"/>
        <v>0</v>
      </c>
      <c r="T493" s="48">
        <f t="shared" si="99"/>
        <v>0</v>
      </c>
      <c r="U493" s="40">
        <v>0</v>
      </c>
      <c r="V493" s="40">
        <v>0</v>
      </c>
      <c r="W493" s="40">
        <v>0</v>
      </c>
      <c r="X493" s="40">
        <v>0</v>
      </c>
      <c r="Y493" s="40">
        <v>0</v>
      </c>
      <c r="Z493" s="40">
        <v>0</v>
      </c>
      <c r="AA493" s="40">
        <v>0</v>
      </c>
      <c r="AB493" s="40">
        <v>0</v>
      </c>
      <c r="AC493" s="40">
        <v>0</v>
      </c>
      <c r="AD493" s="40">
        <v>0</v>
      </c>
      <c r="AE493" s="40">
        <v>0</v>
      </c>
      <c r="AF493" s="40">
        <v>0</v>
      </c>
      <c r="AG493" s="40">
        <v>0</v>
      </c>
      <c r="AH493" s="40">
        <v>0</v>
      </c>
      <c r="AI493" s="40">
        <v>0</v>
      </c>
      <c r="AJ493" s="40">
        <v>0</v>
      </c>
      <c r="AK493" s="40">
        <v>0</v>
      </c>
      <c r="AL493" s="40">
        <v>0</v>
      </c>
      <c r="AM493" s="40">
        <v>0</v>
      </c>
      <c r="AN493" s="40">
        <v>0</v>
      </c>
      <c r="AO493" s="40">
        <v>0</v>
      </c>
      <c r="AP493" s="40">
        <v>0</v>
      </c>
      <c r="AQ493" s="40">
        <v>0</v>
      </c>
      <c r="AR493" s="40">
        <v>0</v>
      </c>
      <c r="AS493" s="30" t="s">
        <v>93</v>
      </c>
      <c r="AT493" s="30" t="s">
        <v>116</v>
      </c>
      <c r="AU493" s="30" t="s">
        <v>81</v>
      </c>
      <c r="AV493" s="30" t="s">
        <v>117</v>
      </c>
      <c r="AW493" s="30" t="s">
        <v>1444</v>
      </c>
      <c r="AX493" s="30" t="s">
        <v>1445</v>
      </c>
      <c r="AY493" s="30" t="s">
        <v>1445</v>
      </c>
      <c r="AZ493" s="30"/>
      <c r="BA493" s="30"/>
      <c r="BB493" s="30"/>
      <c r="BC493" s="58">
        <v>1</v>
      </c>
      <c r="BD493" s="30"/>
      <c r="BE493" s="55"/>
      <c r="BF493" s="55"/>
      <c r="BG493" s="55"/>
      <c r="BH493" s="55"/>
      <c r="BI493" s="55"/>
      <c r="BJ493" s="64"/>
      <c r="BK493" s="39"/>
      <c r="BL493" s="63">
        <f t="shared" si="89"/>
        <v>0</v>
      </c>
      <c r="BM493" s="63">
        <f t="shared" si="90"/>
        <v>0</v>
      </c>
      <c r="BN493" s="63">
        <f t="shared" si="91"/>
        <v>0</v>
      </c>
      <c r="BO493" s="63">
        <f t="shared" si="92"/>
        <v>0</v>
      </c>
      <c r="BP493" s="63">
        <f t="shared" si="93"/>
        <v>0</v>
      </c>
      <c r="BQ493" s="63">
        <f t="shared" si="94"/>
        <v>0</v>
      </c>
      <c r="BR493" s="63">
        <f t="shared" si="95"/>
        <v>0</v>
      </c>
      <c r="BS493" s="63">
        <f t="shared" si="96"/>
        <v>0</v>
      </c>
    </row>
    <row r="494" spans="1:71">
      <c r="A494" s="28">
        <f t="shared" si="97"/>
        <v>493</v>
      </c>
      <c r="B494" s="31" t="s">
        <v>1448</v>
      </c>
      <c r="C494" s="30" t="s">
        <v>92</v>
      </c>
      <c r="D494" s="30" t="s">
        <v>1418</v>
      </c>
      <c r="E494" s="30" t="s">
        <v>1305</v>
      </c>
      <c r="F494" s="30" t="s">
        <v>1419</v>
      </c>
      <c r="G494" s="30" t="s">
        <v>448</v>
      </c>
      <c r="H494" s="35"/>
      <c r="I494" s="30"/>
      <c r="J494" s="30"/>
      <c r="K494" s="31" t="s">
        <v>1449</v>
      </c>
      <c r="L494" s="40">
        <v>400000</v>
      </c>
      <c r="M494" s="39" t="s">
        <v>57</v>
      </c>
      <c r="N494" s="95" t="s">
        <v>1450</v>
      </c>
      <c r="O494" s="30" t="s">
        <v>1451</v>
      </c>
      <c r="P494" s="30"/>
      <c r="Q494" s="89">
        <v>2.2</v>
      </c>
      <c r="R494" s="47">
        <f t="shared" si="98"/>
        <v>0</v>
      </c>
      <c r="S494" s="75">
        <f t="shared" si="100"/>
        <v>0</v>
      </c>
      <c r="T494" s="48">
        <f t="shared" si="99"/>
        <v>0</v>
      </c>
      <c r="U494" s="40">
        <v>0</v>
      </c>
      <c r="V494" s="40">
        <v>0</v>
      </c>
      <c r="W494" s="40">
        <v>0</v>
      </c>
      <c r="X494" s="40">
        <v>0</v>
      </c>
      <c r="Y494" s="40">
        <v>0</v>
      </c>
      <c r="Z494" s="40">
        <v>0</v>
      </c>
      <c r="AA494" s="40">
        <v>0</v>
      </c>
      <c r="AB494" s="40">
        <v>0</v>
      </c>
      <c r="AC494" s="40">
        <v>0</v>
      </c>
      <c r="AD494" s="40">
        <v>0</v>
      </c>
      <c r="AE494" s="40">
        <v>0</v>
      </c>
      <c r="AF494" s="40">
        <v>0</v>
      </c>
      <c r="AG494" s="40">
        <v>0</v>
      </c>
      <c r="AH494" s="40">
        <v>0</v>
      </c>
      <c r="AI494" s="40">
        <v>0</v>
      </c>
      <c r="AJ494" s="40">
        <v>0</v>
      </c>
      <c r="AK494" s="40">
        <v>0</v>
      </c>
      <c r="AL494" s="40">
        <v>0</v>
      </c>
      <c r="AM494" s="40">
        <v>0</v>
      </c>
      <c r="AN494" s="40">
        <v>0</v>
      </c>
      <c r="AO494" s="40">
        <v>0</v>
      </c>
      <c r="AP494" s="40">
        <v>0</v>
      </c>
      <c r="AQ494" s="40">
        <v>0</v>
      </c>
      <c r="AR494" s="40">
        <v>0</v>
      </c>
      <c r="AS494" s="30" t="s">
        <v>552</v>
      </c>
      <c r="AT494" s="30" t="s">
        <v>116</v>
      </c>
      <c r="AU494" s="30" t="s">
        <v>688</v>
      </c>
      <c r="AV494" s="30" t="s">
        <v>117</v>
      </c>
      <c r="AW494" s="30" t="s">
        <v>1444</v>
      </c>
      <c r="AX494" s="30" t="s">
        <v>1445</v>
      </c>
      <c r="AY494" s="30" t="s">
        <v>1445</v>
      </c>
      <c r="AZ494" s="30"/>
      <c r="BA494" s="30"/>
      <c r="BB494" s="30"/>
      <c r="BC494" s="58">
        <v>1</v>
      </c>
      <c r="BD494" s="30"/>
      <c r="BE494" s="55"/>
      <c r="BF494" s="55"/>
      <c r="BG494" s="55"/>
      <c r="BH494" s="55"/>
      <c r="BI494" s="55"/>
      <c r="BJ494" s="64"/>
      <c r="BK494" s="39"/>
      <c r="BL494" s="63">
        <f t="shared" si="89"/>
        <v>0</v>
      </c>
      <c r="BM494" s="63">
        <f t="shared" si="90"/>
        <v>0</v>
      </c>
      <c r="BN494" s="63">
        <f t="shared" si="91"/>
        <v>0</v>
      </c>
      <c r="BO494" s="63">
        <f t="shared" si="92"/>
        <v>0</v>
      </c>
      <c r="BP494" s="63">
        <f t="shared" si="93"/>
        <v>0</v>
      </c>
      <c r="BQ494" s="63">
        <f t="shared" si="94"/>
        <v>0</v>
      </c>
      <c r="BR494" s="63">
        <f t="shared" si="95"/>
        <v>0</v>
      </c>
      <c r="BS494" s="63">
        <f t="shared" si="96"/>
        <v>0</v>
      </c>
    </row>
    <row r="495" spans="1:71">
      <c r="A495" s="28">
        <f t="shared" si="97"/>
        <v>494</v>
      </c>
      <c r="B495" s="31" t="s">
        <v>1452</v>
      </c>
      <c r="C495" s="30" t="s">
        <v>72</v>
      </c>
      <c r="D495" s="30" t="s">
        <v>1418</v>
      </c>
      <c r="E495" s="30" t="s">
        <v>1305</v>
      </c>
      <c r="F495" s="30" t="s">
        <v>1419</v>
      </c>
      <c r="G495" s="30" t="s">
        <v>263</v>
      </c>
      <c r="H495" s="35" t="s">
        <v>264</v>
      </c>
      <c r="I495" s="30"/>
      <c r="J495" s="30"/>
      <c r="K495" s="31" t="s">
        <v>1453</v>
      </c>
      <c r="L495" s="40">
        <v>700000</v>
      </c>
      <c r="M495" s="39" t="s">
        <v>114</v>
      </c>
      <c r="N495" s="31" t="s">
        <v>1454</v>
      </c>
      <c r="O495" s="30" t="s">
        <v>620</v>
      </c>
      <c r="P495" s="30"/>
      <c r="Q495" s="89">
        <v>0.45</v>
      </c>
      <c r="R495" s="47">
        <f t="shared" si="98"/>
        <v>22500</v>
      </c>
      <c r="S495" s="75">
        <f t="shared" si="100"/>
        <v>0</v>
      </c>
      <c r="T495" s="48">
        <f t="shared" si="99"/>
        <v>50000</v>
      </c>
      <c r="U495" s="40">
        <v>0</v>
      </c>
      <c r="V495" s="40">
        <v>0</v>
      </c>
      <c r="W495" s="40">
        <v>0</v>
      </c>
      <c r="X495" s="40">
        <v>0</v>
      </c>
      <c r="Y495" s="40">
        <v>0</v>
      </c>
      <c r="Z495" s="40">
        <v>0</v>
      </c>
      <c r="AA495" s="40">
        <v>0</v>
      </c>
      <c r="AB495" s="39">
        <v>10000</v>
      </c>
      <c r="AC495" s="39">
        <v>10000</v>
      </c>
      <c r="AD495" s="39">
        <v>10000</v>
      </c>
      <c r="AE495" s="39">
        <v>10000</v>
      </c>
      <c r="AF495" s="39">
        <v>10000</v>
      </c>
      <c r="AG495" s="40">
        <v>0</v>
      </c>
      <c r="AH495" s="40">
        <v>0</v>
      </c>
      <c r="AI495" s="40">
        <v>0</v>
      </c>
      <c r="AJ495" s="40">
        <v>0</v>
      </c>
      <c r="AK495" s="40">
        <v>0</v>
      </c>
      <c r="AL495" s="40">
        <v>0</v>
      </c>
      <c r="AM495" s="40">
        <v>0</v>
      </c>
      <c r="AN495" s="40">
        <v>0</v>
      </c>
      <c r="AO495" s="40">
        <v>0</v>
      </c>
      <c r="AP495" s="40">
        <v>0</v>
      </c>
      <c r="AQ495" s="40">
        <v>0</v>
      </c>
      <c r="AR495" s="40">
        <v>0</v>
      </c>
      <c r="AS495" s="30" t="s">
        <v>93</v>
      </c>
      <c r="AT495" s="30" t="s">
        <v>116</v>
      </c>
      <c r="AU495" s="30" t="s">
        <v>81</v>
      </c>
      <c r="AV495" s="30" t="s">
        <v>117</v>
      </c>
      <c r="AW495" s="30" t="s">
        <v>1444</v>
      </c>
      <c r="AX495" s="30" t="s">
        <v>1455</v>
      </c>
      <c r="AY495" s="30" t="s">
        <v>1455</v>
      </c>
      <c r="AZ495" s="30" t="s">
        <v>1335</v>
      </c>
      <c r="BA495" s="30"/>
      <c r="BB495" s="30" t="s">
        <v>1336</v>
      </c>
      <c r="BC495" s="58">
        <v>1</v>
      </c>
      <c r="BD495" s="30"/>
      <c r="BE495" s="55"/>
      <c r="BF495" s="55"/>
      <c r="BG495" s="55"/>
      <c r="BH495" s="55"/>
      <c r="BI495" s="55"/>
      <c r="BJ495" s="64"/>
      <c r="BK495" s="39"/>
      <c r="BL495" s="63">
        <f t="shared" si="89"/>
        <v>0</v>
      </c>
      <c r="BM495" s="63">
        <f t="shared" si="90"/>
        <v>0</v>
      </c>
      <c r="BN495" s="63">
        <f t="shared" si="91"/>
        <v>0</v>
      </c>
      <c r="BO495" s="63">
        <f t="shared" si="92"/>
        <v>4500</v>
      </c>
      <c r="BP495" s="63">
        <f t="shared" si="93"/>
        <v>4500</v>
      </c>
      <c r="BQ495" s="63">
        <f t="shared" si="94"/>
        <v>4500</v>
      </c>
      <c r="BR495" s="63">
        <f t="shared" si="95"/>
        <v>4500</v>
      </c>
      <c r="BS495" s="63">
        <f t="shared" si="96"/>
        <v>4500</v>
      </c>
    </row>
    <row r="496" spans="1:71">
      <c r="A496" s="28">
        <f t="shared" si="97"/>
        <v>495</v>
      </c>
      <c r="B496" s="31" t="s">
        <v>1456</v>
      </c>
      <c r="C496" s="28" t="s">
        <v>72</v>
      </c>
      <c r="D496" s="30" t="s">
        <v>1457</v>
      </c>
      <c r="E496" s="30" t="s">
        <v>1305</v>
      </c>
      <c r="F496" s="31"/>
      <c r="G496" s="28" t="s">
        <v>379</v>
      </c>
      <c r="H496" s="35" t="s">
        <v>380</v>
      </c>
      <c r="I496" s="28"/>
      <c r="J496" s="28"/>
      <c r="K496" s="28" t="s">
        <v>1458</v>
      </c>
      <c r="L496" s="40">
        <v>50000</v>
      </c>
      <c r="M496" s="39" t="s">
        <v>57</v>
      </c>
      <c r="N496" s="28" t="s">
        <v>1459</v>
      </c>
      <c r="O496" s="28"/>
      <c r="P496" s="28"/>
      <c r="Q496" s="89"/>
      <c r="R496" s="47">
        <f t="shared" si="98"/>
        <v>0</v>
      </c>
      <c r="S496" s="75"/>
      <c r="T496" s="48">
        <f t="shared" si="99"/>
        <v>0</v>
      </c>
      <c r="U496" s="40"/>
      <c r="V496" s="40"/>
      <c r="W496" s="40"/>
      <c r="X496" s="28"/>
      <c r="Y496" s="40"/>
      <c r="Z496" s="28"/>
      <c r="AA496" s="40"/>
      <c r="AB496" s="28"/>
      <c r="AC496" s="40"/>
      <c r="AD496" s="28"/>
      <c r="AE496" s="40"/>
      <c r="AF496" s="28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30"/>
      <c r="AT496" s="30" t="s">
        <v>116</v>
      </c>
      <c r="AU496" s="30" t="s">
        <v>532</v>
      </c>
      <c r="AV496" s="31"/>
      <c r="AW496" s="31"/>
      <c r="AX496" s="31"/>
      <c r="AY496" s="31"/>
      <c r="AZ496" s="31"/>
      <c r="BA496" s="31"/>
      <c r="BB496" s="31"/>
      <c r="BC496" s="31"/>
      <c r="BD496" s="31"/>
      <c r="BE496" s="31"/>
      <c r="BF496" s="31"/>
      <c r="BG496" s="31"/>
      <c r="BH496" s="31"/>
      <c r="BI496" s="31"/>
      <c r="BJ496" s="31"/>
      <c r="BK496" s="31"/>
      <c r="BL496" s="63">
        <f t="shared" ref="BL496:BL561" si="103">$Q496*Y496</f>
        <v>0</v>
      </c>
      <c r="BM496" s="63">
        <f t="shared" si="90"/>
        <v>0</v>
      </c>
      <c r="BN496" s="63">
        <f t="shared" si="91"/>
        <v>0</v>
      </c>
      <c r="BO496" s="63">
        <f t="shared" si="92"/>
        <v>0</v>
      </c>
      <c r="BP496" s="63">
        <f t="shared" si="93"/>
        <v>0</v>
      </c>
      <c r="BQ496" s="63">
        <f t="shared" si="94"/>
        <v>0</v>
      </c>
      <c r="BR496" s="63">
        <f t="shared" si="95"/>
        <v>0</v>
      </c>
      <c r="BS496" s="63">
        <f t="shared" si="96"/>
        <v>0</v>
      </c>
    </row>
    <row r="497" spans="1:71">
      <c r="A497" s="28">
        <f t="shared" si="97"/>
        <v>496</v>
      </c>
      <c r="B497" s="31" t="s">
        <v>1456</v>
      </c>
      <c r="C497" s="28" t="s">
        <v>72</v>
      </c>
      <c r="D497" s="30" t="s">
        <v>1457</v>
      </c>
      <c r="E497" s="30" t="s">
        <v>1305</v>
      </c>
      <c r="F497" s="30"/>
      <c r="G497" s="30" t="s">
        <v>379</v>
      </c>
      <c r="H497" s="35" t="s">
        <v>380</v>
      </c>
      <c r="I497" s="30"/>
      <c r="J497" s="30"/>
      <c r="K497" s="31" t="s">
        <v>1460</v>
      </c>
      <c r="L497" s="40">
        <v>100000</v>
      </c>
      <c r="M497" s="39" t="s">
        <v>56</v>
      </c>
      <c r="N497" s="28" t="s">
        <v>1461</v>
      </c>
      <c r="O497" s="30"/>
      <c r="P497" s="30"/>
      <c r="Q497" s="89"/>
      <c r="R497" s="47">
        <f t="shared" si="98"/>
        <v>0</v>
      </c>
      <c r="S497" s="75"/>
      <c r="T497" s="48">
        <f t="shared" si="99"/>
        <v>0</v>
      </c>
      <c r="U497" s="40"/>
      <c r="V497" s="40"/>
      <c r="W497" s="40"/>
      <c r="X497" s="40"/>
      <c r="Y497" s="40"/>
      <c r="Z497" s="40"/>
      <c r="AA497" s="40"/>
      <c r="AB497" s="39"/>
      <c r="AC497" s="39"/>
      <c r="AD497" s="39"/>
      <c r="AE497" s="39"/>
      <c r="AF497" s="39"/>
      <c r="AG497" s="40">
        <v>0</v>
      </c>
      <c r="AH497" s="40">
        <v>0</v>
      </c>
      <c r="AI497" s="40">
        <v>0</v>
      </c>
      <c r="AJ497" s="40">
        <v>0</v>
      </c>
      <c r="AK497" s="40">
        <v>0</v>
      </c>
      <c r="AL497" s="40">
        <v>0</v>
      </c>
      <c r="AM497" s="40">
        <v>0</v>
      </c>
      <c r="AN497" s="40">
        <v>0</v>
      </c>
      <c r="AO497" s="40">
        <v>0</v>
      </c>
      <c r="AP497" s="40">
        <v>0</v>
      </c>
      <c r="AQ497" s="40">
        <v>0</v>
      </c>
      <c r="AR497" s="40">
        <v>0</v>
      </c>
      <c r="AS497" s="30" t="s">
        <v>1344</v>
      </c>
      <c r="AT497" s="30" t="s">
        <v>116</v>
      </c>
      <c r="AU497" s="30" t="s">
        <v>532</v>
      </c>
      <c r="AV497" s="30" t="s">
        <v>117</v>
      </c>
      <c r="AW497" s="30" t="s">
        <v>533</v>
      </c>
      <c r="AX497" s="30" t="s">
        <v>1462</v>
      </c>
      <c r="AY497" s="30" t="s">
        <v>532</v>
      </c>
      <c r="AZ497" s="30" t="s">
        <v>562</v>
      </c>
      <c r="BA497" s="30"/>
      <c r="BB497" s="30"/>
      <c r="BC497" s="58"/>
      <c r="BD497" s="30"/>
      <c r="BE497" s="55"/>
      <c r="BF497" s="55"/>
      <c r="BG497" s="55"/>
      <c r="BH497" s="55"/>
      <c r="BI497" s="55"/>
      <c r="BJ497" s="64"/>
      <c r="BK497" s="39">
        <v>4</v>
      </c>
      <c r="BL497" s="63">
        <f t="shared" si="103"/>
        <v>0</v>
      </c>
      <c r="BM497" s="63">
        <f t="shared" si="90"/>
        <v>0</v>
      </c>
      <c r="BN497" s="63">
        <f t="shared" si="91"/>
        <v>0</v>
      </c>
      <c r="BO497" s="63">
        <f t="shared" si="92"/>
        <v>0</v>
      </c>
      <c r="BP497" s="63">
        <f t="shared" si="93"/>
        <v>0</v>
      </c>
      <c r="BQ497" s="63">
        <f t="shared" si="94"/>
        <v>0</v>
      </c>
      <c r="BR497" s="63">
        <f t="shared" si="95"/>
        <v>0</v>
      </c>
      <c r="BS497" s="63">
        <f t="shared" si="96"/>
        <v>0</v>
      </c>
    </row>
    <row r="498" spans="1:71">
      <c r="A498" s="28">
        <f t="shared" si="97"/>
        <v>497</v>
      </c>
      <c r="B498" s="31" t="s">
        <v>1463</v>
      </c>
      <c r="C498" s="28" t="s">
        <v>72</v>
      </c>
      <c r="D498" s="30" t="s">
        <v>1457</v>
      </c>
      <c r="E498" s="30" t="s">
        <v>1305</v>
      </c>
      <c r="F498" s="30"/>
      <c r="G498" s="30" t="s">
        <v>379</v>
      </c>
      <c r="H498" s="35" t="s">
        <v>380</v>
      </c>
      <c r="I498" s="30"/>
      <c r="J498" s="30"/>
      <c r="K498" s="31"/>
      <c r="L498" s="40"/>
      <c r="M498" s="39"/>
      <c r="N498" s="28"/>
      <c r="O498" s="30"/>
      <c r="P498" s="30"/>
      <c r="Q498" s="89"/>
      <c r="R498" s="47">
        <f t="shared" si="98"/>
        <v>0</v>
      </c>
      <c r="S498" s="75"/>
      <c r="T498" s="48">
        <f t="shared" si="99"/>
        <v>0</v>
      </c>
      <c r="U498" s="40"/>
      <c r="V498" s="40"/>
      <c r="W498" s="40"/>
      <c r="X498" s="40"/>
      <c r="Y498" s="40"/>
      <c r="Z498" s="40"/>
      <c r="AA498" s="40"/>
      <c r="AB498" s="39"/>
      <c r="AC498" s="39"/>
      <c r="AD498" s="39"/>
      <c r="AE498" s="39"/>
      <c r="AF498" s="39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30"/>
      <c r="AT498" s="30" t="s">
        <v>116</v>
      </c>
      <c r="AU498" s="30" t="s">
        <v>532</v>
      </c>
      <c r="AV498" s="30"/>
      <c r="AW498" s="30"/>
      <c r="AX498" s="30"/>
      <c r="AY498" s="30"/>
      <c r="AZ498" s="30"/>
      <c r="BA498" s="30"/>
      <c r="BB498" s="30"/>
      <c r="BC498" s="58"/>
      <c r="BD498" s="30"/>
      <c r="BE498" s="55"/>
      <c r="BF498" s="55"/>
      <c r="BG498" s="55"/>
      <c r="BH498" s="55"/>
      <c r="BI498" s="55"/>
      <c r="BJ498" s="64"/>
      <c r="BK498" s="39"/>
      <c r="BL498" s="63">
        <f t="shared" si="103"/>
        <v>0</v>
      </c>
      <c r="BM498" s="63">
        <f t="shared" si="90"/>
        <v>0</v>
      </c>
      <c r="BN498" s="63">
        <f t="shared" si="91"/>
        <v>0</v>
      </c>
      <c r="BO498" s="63">
        <f t="shared" si="92"/>
        <v>0</v>
      </c>
      <c r="BP498" s="63">
        <f t="shared" si="93"/>
        <v>0</v>
      </c>
      <c r="BQ498" s="63">
        <f t="shared" si="94"/>
        <v>0</v>
      </c>
      <c r="BR498" s="63">
        <f t="shared" si="95"/>
        <v>0</v>
      </c>
      <c r="BS498" s="63">
        <f t="shared" si="96"/>
        <v>0</v>
      </c>
    </row>
    <row r="499" spans="1:71">
      <c r="A499" s="28">
        <f t="shared" si="97"/>
        <v>498</v>
      </c>
      <c r="B499" s="81" t="s">
        <v>1464</v>
      </c>
      <c r="C499" s="82" t="s">
        <v>72</v>
      </c>
      <c r="D499" s="82" t="s">
        <v>1226</v>
      </c>
      <c r="E499" s="82" t="s">
        <v>1217</v>
      </c>
      <c r="F499" s="82"/>
      <c r="G499" s="82" t="s">
        <v>175</v>
      </c>
      <c r="H499" s="83" t="s">
        <v>176</v>
      </c>
      <c r="I499" s="82"/>
      <c r="J499" s="82"/>
      <c r="K499" s="81"/>
      <c r="L499" s="94"/>
      <c r="M499" s="97"/>
      <c r="N499" s="81"/>
      <c r="O499" s="82"/>
      <c r="P499" s="82"/>
      <c r="Q499" s="98">
        <v>0.21</v>
      </c>
      <c r="R499" s="47">
        <f t="shared" si="98"/>
        <v>315000</v>
      </c>
      <c r="S499" s="99"/>
      <c r="T499" s="48">
        <f t="shared" si="99"/>
        <v>1500000</v>
      </c>
      <c r="U499" s="94"/>
      <c r="V499" s="94"/>
      <c r="W499" s="94"/>
      <c r="X499" s="94"/>
      <c r="Y499" s="94"/>
      <c r="Z499" s="94"/>
      <c r="AA499" s="94">
        <v>500000</v>
      </c>
      <c r="AB499" s="97"/>
      <c r="AC499" s="97">
        <v>500000</v>
      </c>
      <c r="AD499" s="97"/>
      <c r="AE499" s="97">
        <v>500000</v>
      </c>
      <c r="AF499" s="97"/>
      <c r="AG499" s="94"/>
      <c r="AH499" s="94"/>
      <c r="AI499" s="94"/>
      <c r="AJ499" s="94"/>
      <c r="AK499" s="94"/>
      <c r="AL499" s="94"/>
      <c r="AM499" s="94"/>
      <c r="AN499" s="94"/>
      <c r="AO499" s="94"/>
      <c r="AP499" s="94"/>
      <c r="AQ499" s="94"/>
      <c r="AR499" s="94"/>
      <c r="AS499" s="82"/>
      <c r="AT499" s="30" t="s">
        <v>80</v>
      </c>
      <c r="AU499" s="30" t="s">
        <v>81</v>
      </c>
      <c r="AV499" s="82"/>
      <c r="AW499" s="82"/>
      <c r="AX499" s="82"/>
      <c r="AY499" s="82"/>
      <c r="AZ499" s="82"/>
      <c r="BA499" s="82"/>
      <c r="BB499" s="82"/>
      <c r="BC499" s="101"/>
      <c r="BD499" s="82"/>
      <c r="BE499" s="102"/>
      <c r="BF499" s="102"/>
      <c r="BG499" s="102"/>
      <c r="BH499" s="102"/>
      <c r="BI499" s="102"/>
      <c r="BJ499" s="103"/>
      <c r="BK499" s="97"/>
      <c r="BL499" s="63">
        <f t="shared" si="103"/>
        <v>0</v>
      </c>
      <c r="BM499" s="63">
        <f t="shared" si="90"/>
        <v>0</v>
      </c>
      <c r="BN499" s="63">
        <f t="shared" si="91"/>
        <v>105000</v>
      </c>
      <c r="BO499" s="63">
        <f t="shared" si="92"/>
        <v>0</v>
      </c>
      <c r="BP499" s="63">
        <f t="shared" si="93"/>
        <v>105000</v>
      </c>
      <c r="BQ499" s="63">
        <f t="shared" si="94"/>
        <v>0</v>
      </c>
      <c r="BR499" s="63">
        <f t="shared" si="95"/>
        <v>105000</v>
      </c>
      <c r="BS499" s="63">
        <f t="shared" si="96"/>
        <v>0</v>
      </c>
    </row>
    <row r="500" spans="1:71">
      <c r="A500" s="28">
        <f t="shared" si="97"/>
        <v>499</v>
      </c>
      <c r="B500" s="81" t="s">
        <v>1464</v>
      </c>
      <c r="C500" s="82" t="s">
        <v>72</v>
      </c>
      <c r="D500" s="82" t="s">
        <v>1226</v>
      </c>
      <c r="E500" s="82" t="s">
        <v>1217</v>
      </c>
      <c r="F500" s="82"/>
      <c r="G500" s="82" t="s">
        <v>175</v>
      </c>
      <c r="H500" s="83" t="s">
        <v>178</v>
      </c>
      <c r="I500" s="82"/>
      <c r="J500" s="82"/>
      <c r="K500" s="81"/>
      <c r="L500" s="94"/>
      <c r="M500" s="97"/>
      <c r="N500" s="81"/>
      <c r="O500" s="82"/>
      <c r="P500" s="82"/>
      <c r="Q500" s="98">
        <v>0.21</v>
      </c>
      <c r="R500" s="47">
        <f t="shared" si="98"/>
        <v>1470000</v>
      </c>
      <c r="S500" s="99"/>
      <c r="T500" s="48">
        <f t="shared" si="99"/>
        <v>7000000</v>
      </c>
      <c r="U500" s="94"/>
      <c r="V500" s="94"/>
      <c r="W500" s="94"/>
      <c r="X500" s="94"/>
      <c r="Y500" s="94"/>
      <c r="Z500" s="94">
        <v>1000000</v>
      </c>
      <c r="AA500" s="94">
        <v>1000000</v>
      </c>
      <c r="AB500" s="97">
        <v>1000000</v>
      </c>
      <c r="AC500" s="97">
        <v>1000000</v>
      </c>
      <c r="AD500" s="97">
        <v>1000000</v>
      </c>
      <c r="AE500" s="97">
        <v>1000000</v>
      </c>
      <c r="AF500" s="97">
        <v>1000000</v>
      </c>
      <c r="AG500" s="94"/>
      <c r="AH500" s="94"/>
      <c r="AI500" s="94"/>
      <c r="AJ500" s="94"/>
      <c r="AK500" s="94"/>
      <c r="AL500" s="94"/>
      <c r="AM500" s="94"/>
      <c r="AN500" s="94"/>
      <c r="AO500" s="94"/>
      <c r="AP500" s="94"/>
      <c r="AQ500" s="94"/>
      <c r="AR500" s="94"/>
      <c r="AS500" s="82"/>
      <c r="AT500" s="30" t="s">
        <v>80</v>
      </c>
      <c r="AU500" s="30" t="s">
        <v>81</v>
      </c>
      <c r="AV500" s="82"/>
      <c r="AW500" s="82"/>
      <c r="AX500" s="82"/>
      <c r="AY500" s="82"/>
      <c r="AZ500" s="82"/>
      <c r="BA500" s="82"/>
      <c r="BB500" s="82"/>
      <c r="BC500" s="101"/>
      <c r="BD500" s="82"/>
      <c r="BE500" s="102"/>
      <c r="BF500" s="102"/>
      <c r="BG500" s="102"/>
      <c r="BH500" s="102"/>
      <c r="BI500" s="102"/>
      <c r="BJ500" s="103"/>
      <c r="BK500" s="97"/>
      <c r="BL500" s="63">
        <f t="shared" si="103"/>
        <v>0</v>
      </c>
      <c r="BM500" s="63">
        <f t="shared" si="90"/>
        <v>210000</v>
      </c>
      <c r="BN500" s="63">
        <f t="shared" si="91"/>
        <v>210000</v>
      </c>
      <c r="BO500" s="63">
        <f t="shared" si="92"/>
        <v>210000</v>
      </c>
      <c r="BP500" s="63">
        <f t="shared" si="93"/>
        <v>210000</v>
      </c>
      <c r="BQ500" s="63">
        <f t="shared" si="94"/>
        <v>210000</v>
      </c>
      <c r="BR500" s="63">
        <f t="shared" si="95"/>
        <v>210000</v>
      </c>
      <c r="BS500" s="63">
        <f t="shared" si="96"/>
        <v>210000</v>
      </c>
    </row>
    <row r="501" spans="1:71">
      <c r="A501" s="28">
        <f t="shared" si="97"/>
        <v>500</v>
      </c>
      <c r="B501" s="81" t="s">
        <v>1464</v>
      </c>
      <c r="C501" s="82" t="s">
        <v>72</v>
      </c>
      <c r="D501" s="82" t="s">
        <v>1226</v>
      </c>
      <c r="E501" s="82" t="s">
        <v>1217</v>
      </c>
      <c r="F501" s="82"/>
      <c r="G501" s="82" t="s">
        <v>179</v>
      </c>
      <c r="H501" s="83" t="s">
        <v>180</v>
      </c>
      <c r="I501" s="82"/>
      <c r="J501" s="82"/>
      <c r="K501" s="81"/>
      <c r="L501" s="94"/>
      <c r="M501" s="97"/>
      <c r="N501" s="81"/>
      <c r="O501" s="82"/>
      <c r="P501" s="82"/>
      <c r="Q501" s="98">
        <v>0.21</v>
      </c>
      <c r="R501" s="47">
        <f t="shared" si="98"/>
        <v>367500</v>
      </c>
      <c r="S501" s="99"/>
      <c r="T501" s="48">
        <f t="shared" si="99"/>
        <v>1750000</v>
      </c>
      <c r="U501" s="94"/>
      <c r="V501" s="94"/>
      <c r="W501" s="94"/>
      <c r="X501" s="94"/>
      <c r="Y501" s="94"/>
      <c r="Z501" s="94">
        <v>250000</v>
      </c>
      <c r="AA501" s="94">
        <v>250000</v>
      </c>
      <c r="AB501" s="97">
        <v>250000</v>
      </c>
      <c r="AC501" s="97">
        <v>250000</v>
      </c>
      <c r="AD501" s="97">
        <v>250000</v>
      </c>
      <c r="AE501" s="97">
        <v>250000</v>
      </c>
      <c r="AF501" s="97">
        <v>250000</v>
      </c>
      <c r="AG501" s="94"/>
      <c r="AH501" s="94"/>
      <c r="AI501" s="94"/>
      <c r="AJ501" s="94"/>
      <c r="AK501" s="94"/>
      <c r="AL501" s="94"/>
      <c r="AM501" s="94"/>
      <c r="AN501" s="94"/>
      <c r="AO501" s="94"/>
      <c r="AP501" s="94"/>
      <c r="AQ501" s="94"/>
      <c r="AR501" s="94"/>
      <c r="AS501" s="82"/>
      <c r="AT501" s="30" t="s">
        <v>80</v>
      </c>
      <c r="AU501" s="30" t="s">
        <v>81</v>
      </c>
      <c r="AV501" s="82"/>
      <c r="AW501" s="82"/>
      <c r="AX501" s="82"/>
      <c r="AY501" s="82"/>
      <c r="AZ501" s="82"/>
      <c r="BA501" s="82"/>
      <c r="BB501" s="82"/>
      <c r="BC501" s="101"/>
      <c r="BD501" s="82"/>
      <c r="BE501" s="102"/>
      <c r="BF501" s="102"/>
      <c r="BG501" s="102"/>
      <c r="BH501" s="102"/>
      <c r="BI501" s="102"/>
      <c r="BJ501" s="103"/>
      <c r="BK501" s="97"/>
      <c r="BL501" s="63">
        <f t="shared" si="103"/>
        <v>0</v>
      </c>
      <c r="BM501" s="63">
        <f t="shared" si="90"/>
        <v>52500</v>
      </c>
      <c r="BN501" s="63">
        <f t="shared" si="91"/>
        <v>52500</v>
      </c>
      <c r="BO501" s="63">
        <f t="shared" si="92"/>
        <v>52500</v>
      </c>
      <c r="BP501" s="63">
        <f t="shared" si="93"/>
        <v>52500</v>
      </c>
      <c r="BQ501" s="63">
        <f t="shared" si="94"/>
        <v>52500</v>
      </c>
      <c r="BR501" s="63">
        <f t="shared" si="95"/>
        <v>52500</v>
      </c>
      <c r="BS501" s="63">
        <f t="shared" si="96"/>
        <v>52500</v>
      </c>
    </row>
    <row r="502" spans="1:71">
      <c r="A502" s="28">
        <f t="shared" si="97"/>
        <v>501</v>
      </c>
      <c r="B502" s="81" t="s">
        <v>1464</v>
      </c>
      <c r="C502" s="82" t="s">
        <v>72</v>
      </c>
      <c r="D502" s="82" t="s">
        <v>1226</v>
      </c>
      <c r="E502" s="82" t="s">
        <v>1217</v>
      </c>
      <c r="F502" s="82"/>
      <c r="G502" s="82" t="s">
        <v>191</v>
      </c>
      <c r="H502" s="83" t="s">
        <v>192</v>
      </c>
      <c r="I502" s="82"/>
      <c r="J502" s="82"/>
      <c r="K502" s="81"/>
      <c r="L502" s="94"/>
      <c r="M502" s="97"/>
      <c r="N502" s="81"/>
      <c r="O502" s="82"/>
      <c r="P502" s="82"/>
      <c r="Q502" s="98">
        <v>0.21</v>
      </c>
      <c r="R502" s="47">
        <f t="shared" si="98"/>
        <v>367500</v>
      </c>
      <c r="S502" s="99"/>
      <c r="T502" s="48">
        <f t="shared" si="99"/>
        <v>1750000</v>
      </c>
      <c r="U502" s="94"/>
      <c r="V502" s="94"/>
      <c r="W502" s="94"/>
      <c r="X502" s="94"/>
      <c r="Y502" s="94"/>
      <c r="Z502" s="94">
        <v>250000</v>
      </c>
      <c r="AA502" s="94">
        <v>250000</v>
      </c>
      <c r="AB502" s="94">
        <v>250000</v>
      </c>
      <c r="AC502" s="94">
        <v>250000</v>
      </c>
      <c r="AD502" s="94">
        <v>250000</v>
      </c>
      <c r="AE502" s="94">
        <v>250000</v>
      </c>
      <c r="AF502" s="94">
        <v>250000</v>
      </c>
      <c r="AG502" s="94"/>
      <c r="AH502" s="94"/>
      <c r="AI502" s="94"/>
      <c r="AJ502" s="94"/>
      <c r="AK502" s="94"/>
      <c r="AL502" s="94"/>
      <c r="AM502" s="94"/>
      <c r="AN502" s="94"/>
      <c r="AO502" s="94"/>
      <c r="AP502" s="94"/>
      <c r="AQ502" s="94"/>
      <c r="AR502" s="94"/>
      <c r="AS502" s="82"/>
      <c r="AT502" s="30" t="s">
        <v>80</v>
      </c>
      <c r="AU502" s="30" t="s">
        <v>81</v>
      </c>
      <c r="AV502" s="82"/>
      <c r="AW502" s="82"/>
      <c r="AX502" s="82"/>
      <c r="AY502" s="82"/>
      <c r="AZ502" s="82"/>
      <c r="BA502" s="82"/>
      <c r="BB502" s="82"/>
      <c r="BC502" s="101"/>
      <c r="BD502" s="82"/>
      <c r="BE502" s="102"/>
      <c r="BF502" s="102"/>
      <c r="BG502" s="102"/>
      <c r="BH502" s="102"/>
      <c r="BI502" s="102"/>
      <c r="BJ502" s="103"/>
      <c r="BK502" s="97"/>
      <c r="BL502" s="63">
        <f t="shared" si="103"/>
        <v>0</v>
      </c>
      <c r="BM502" s="63">
        <f t="shared" si="90"/>
        <v>52500</v>
      </c>
      <c r="BN502" s="63">
        <f t="shared" si="91"/>
        <v>52500</v>
      </c>
      <c r="BO502" s="63">
        <f t="shared" si="92"/>
        <v>52500</v>
      </c>
      <c r="BP502" s="63">
        <f t="shared" si="93"/>
        <v>52500</v>
      </c>
      <c r="BQ502" s="63">
        <f t="shared" si="94"/>
        <v>52500</v>
      </c>
      <c r="BR502" s="63">
        <f t="shared" si="95"/>
        <v>52500</v>
      </c>
      <c r="BS502" s="63">
        <f t="shared" si="96"/>
        <v>52500</v>
      </c>
    </row>
    <row r="503" spans="1:71">
      <c r="A503" s="28">
        <f t="shared" si="97"/>
        <v>502</v>
      </c>
      <c r="B503" s="31" t="s">
        <v>109</v>
      </c>
      <c r="C503" s="30" t="s">
        <v>72</v>
      </c>
      <c r="D503" s="30" t="s">
        <v>110</v>
      </c>
      <c r="E503" s="30" t="s">
        <v>111</v>
      </c>
      <c r="F503" s="30" t="s">
        <v>112</v>
      </c>
      <c r="G503" s="30" t="s">
        <v>100</v>
      </c>
      <c r="H503" s="35" t="s">
        <v>101</v>
      </c>
      <c r="I503" s="30"/>
      <c r="J503" s="30"/>
      <c r="K503" s="31" t="s">
        <v>113</v>
      </c>
      <c r="L503" s="40">
        <v>60000</v>
      </c>
      <c r="M503" s="39" t="s">
        <v>114</v>
      </c>
      <c r="N503" s="31"/>
      <c r="O503" s="30" t="s">
        <v>115</v>
      </c>
      <c r="P503" s="30"/>
      <c r="Q503" s="89">
        <v>0.52</v>
      </c>
      <c r="R503" s="47">
        <f t="shared" si="98"/>
        <v>14040</v>
      </c>
      <c r="S503" s="75">
        <v>0</v>
      </c>
      <c r="T503" s="48">
        <f t="shared" si="99"/>
        <v>27000</v>
      </c>
      <c r="U503" s="40"/>
      <c r="V503" s="40"/>
      <c r="W503" s="40"/>
      <c r="X503" s="39"/>
      <c r="Y503" s="39">
        <v>3000</v>
      </c>
      <c r="Z503" s="39">
        <v>3000</v>
      </c>
      <c r="AA503" s="39">
        <v>3000</v>
      </c>
      <c r="AB503" s="39">
        <v>3000</v>
      </c>
      <c r="AC503" s="39">
        <v>3000</v>
      </c>
      <c r="AD503" s="39">
        <v>5000</v>
      </c>
      <c r="AE503" s="39">
        <v>5000</v>
      </c>
      <c r="AF503" s="39">
        <v>5000</v>
      </c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30" t="s">
        <v>93</v>
      </c>
      <c r="AT503" s="30" t="s">
        <v>116</v>
      </c>
      <c r="AU503" s="30" t="s">
        <v>81</v>
      </c>
      <c r="AV503" s="30" t="s">
        <v>117</v>
      </c>
      <c r="AW503" s="30" t="s">
        <v>118</v>
      </c>
      <c r="AX503" s="30" t="s">
        <v>119</v>
      </c>
      <c r="AY503" s="30" t="s">
        <v>120</v>
      </c>
      <c r="AZ503" s="30" t="s">
        <v>121</v>
      </c>
      <c r="BA503" s="30" t="s">
        <v>122</v>
      </c>
      <c r="BB503" s="30"/>
      <c r="BC503" s="58">
        <v>3</v>
      </c>
      <c r="BD503" s="30">
        <v>45736</v>
      </c>
      <c r="BE503" s="55">
        <v>45432</v>
      </c>
      <c r="BF503" s="55">
        <v>45463</v>
      </c>
      <c r="BG503" s="55">
        <v>45493</v>
      </c>
      <c r="BH503" s="55">
        <v>45585</v>
      </c>
      <c r="BI503" s="55">
        <v>45646</v>
      </c>
      <c r="BJ503" s="64">
        <v>1</v>
      </c>
      <c r="BK503" s="39">
        <v>5</v>
      </c>
      <c r="BL503" s="63">
        <f t="shared" si="103"/>
        <v>1560</v>
      </c>
      <c r="BM503" s="63">
        <f t="shared" si="90"/>
        <v>1560</v>
      </c>
      <c r="BN503" s="63">
        <f t="shared" si="91"/>
        <v>1560</v>
      </c>
      <c r="BO503" s="63">
        <f t="shared" si="92"/>
        <v>1560</v>
      </c>
      <c r="BP503" s="63">
        <f t="shared" si="93"/>
        <v>1560</v>
      </c>
      <c r="BQ503" s="63">
        <f t="shared" si="94"/>
        <v>2600</v>
      </c>
      <c r="BR503" s="63">
        <f t="shared" si="95"/>
        <v>2600</v>
      </c>
      <c r="BS503" s="63">
        <f t="shared" si="96"/>
        <v>2600</v>
      </c>
    </row>
    <row r="504" spans="1:71">
      <c r="A504" s="28">
        <f t="shared" si="97"/>
        <v>503</v>
      </c>
      <c r="B504" s="31" t="s">
        <v>109</v>
      </c>
      <c r="C504" s="30" t="s">
        <v>72</v>
      </c>
      <c r="D504" s="30" t="s">
        <v>110</v>
      </c>
      <c r="E504" s="30" t="s">
        <v>111</v>
      </c>
      <c r="F504" s="30" t="s">
        <v>112</v>
      </c>
      <c r="G504" s="30" t="s">
        <v>167</v>
      </c>
      <c r="H504" s="35" t="s">
        <v>168</v>
      </c>
      <c r="I504" s="30"/>
      <c r="J504" s="30"/>
      <c r="K504" s="31" t="s">
        <v>113</v>
      </c>
      <c r="L504" s="40">
        <v>200000</v>
      </c>
      <c r="M504" s="39" t="s">
        <v>57</v>
      </c>
      <c r="N504" s="31"/>
      <c r="O504" s="30" t="s">
        <v>115</v>
      </c>
      <c r="P504" s="30"/>
      <c r="Q504" s="89">
        <v>0.52</v>
      </c>
      <c r="R504" s="47">
        <f t="shared" si="98"/>
        <v>6760</v>
      </c>
      <c r="S504" s="75">
        <v>0</v>
      </c>
      <c r="T504" s="48">
        <f t="shared" si="99"/>
        <v>13000</v>
      </c>
      <c r="U504" s="40"/>
      <c r="V504" s="40"/>
      <c r="W504" s="40"/>
      <c r="X504" s="39"/>
      <c r="Y504" s="39"/>
      <c r="Z504" s="39"/>
      <c r="AA504" s="39"/>
      <c r="AB504" s="39"/>
      <c r="AC504" s="39"/>
      <c r="AD504" s="39"/>
      <c r="AE504" s="39">
        <v>5000</v>
      </c>
      <c r="AF504" s="39">
        <v>8000</v>
      </c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30" t="s">
        <v>93</v>
      </c>
      <c r="AT504" s="30" t="s">
        <v>116</v>
      </c>
      <c r="AU504" s="30" t="s">
        <v>81</v>
      </c>
      <c r="AV504" s="30" t="s">
        <v>117</v>
      </c>
      <c r="AW504" s="30" t="s">
        <v>118</v>
      </c>
      <c r="AX504" s="30" t="s">
        <v>119</v>
      </c>
      <c r="AY504" s="30" t="s">
        <v>120</v>
      </c>
      <c r="AZ504" s="30" t="s">
        <v>562</v>
      </c>
      <c r="BA504" s="30" t="s">
        <v>1465</v>
      </c>
      <c r="BB504" s="30"/>
      <c r="BC504" s="58">
        <v>4</v>
      </c>
      <c r="BD504" s="30">
        <v>45950</v>
      </c>
      <c r="BE504" s="55">
        <v>45575</v>
      </c>
      <c r="BF504" s="55">
        <v>45590</v>
      </c>
      <c r="BG504" s="55">
        <v>45616</v>
      </c>
      <c r="BH504" s="55">
        <v>45736</v>
      </c>
      <c r="BI504" s="55">
        <v>45828</v>
      </c>
      <c r="BJ504" s="64">
        <v>1</v>
      </c>
      <c r="BK504" s="39">
        <v>5</v>
      </c>
      <c r="BL504" s="63">
        <f t="shared" si="103"/>
        <v>0</v>
      </c>
      <c r="BM504" s="63">
        <f t="shared" si="90"/>
        <v>0</v>
      </c>
      <c r="BN504" s="63">
        <f t="shared" si="91"/>
        <v>0</v>
      </c>
      <c r="BO504" s="63">
        <f t="shared" si="92"/>
        <v>0</v>
      </c>
      <c r="BP504" s="63">
        <f t="shared" si="93"/>
        <v>0</v>
      </c>
      <c r="BQ504" s="63">
        <f t="shared" si="94"/>
        <v>0</v>
      </c>
      <c r="BR504" s="63">
        <f t="shared" si="95"/>
        <v>2600</v>
      </c>
      <c r="BS504" s="63">
        <f t="shared" si="96"/>
        <v>4160</v>
      </c>
    </row>
    <row r="505" spans="1:71">
      <c r="A505" s="28">
        <f t="shared" si="97"/>
        <v>504</v>
      </c>
      <c r="B505" s="31" t="s">
        <v>109</v>
      </c>
      <c r="C505" s="30" t="s">
        <v>72</v>
      </c>
      <c r="D505" s="30" t="s">
        <v>110</v>
      </c>
      <c r="E505" s="30" t="s">
        <v>111</v>
      </c>
      <c r="F505" s="30" t="s">
        <v>112</v>
      </c>
      <c r="G505" s="30" t="s">
        <v>411</v>
      </c>
      <c r="H505" s="35" t="s">
        <v>412</v>
      </c>
      <c r="I505" s="30"/>
      <c r="J505" s="30"/>
      <c r="K505" s="31" t="s">
        <v>1466</v>
      </c>
      <c r="L505" s="40">
        <v>200000</v>
      </c>
      <c r="M505" s="39" t="s">
        <v>57</v>
      </c>
      <c r="N505" s="31"/>
      <c r="O505" s="30" t="s">
        <v>115</v>
      </c>
      <c r="P505" s="30"/>
      <c r="Q505" s="89">
        <v>3.7</v>
      </c>
      <c r="R505" s="47">
        <f t="shared" si="98"/>
        <v>111000</v>
      </c>
      <c r="S505" s="75">
        <v>0</v>
      </c>
      <c r="T505" s="48">
        <f t="shared" si="99"/>
        <v>30000</v>
      </c>
      <c r="U505" s="40"/>
      <c r="V505" s="40"/>
      <c r="W505" s="40"/>
      <c r="X505" s="39"/>
      <c r="Y505" s="39"/>
      <c r="Z505" s="39"/>
      <c r="AA505" s="39"/>
      <c r="AB505" s="39"/>
      <c r="AC505" s="39"/>
      <c r="AD505" s="39">
        <v>10000</v>
      </c>
      <c r="AE505" s="39">
        <v>10000</v>
      </c>
      <c r="AF505" s="39">
        <v>10000</v>
      </c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30" t="s">
        <v>705</v>
      </c>
      <c r="AT505" s="30" t="s">
        <v>116</v>
      </c>
      <c r="AU505" s="30" t="s">
        <v>545</v>
      </c>
      <c r="AV505" s="30" t="s">
        <v>117</v>
      </c>
      <c r="AW505" s="30" t="s">
        <v>118</v>
      </c>
      <c r="AX505" s="30" t="s">
        <v>119</v>
      </c>
      <c r="AY505" s="30" t="s">
        <v>120</v>
      </c>
      <c r="AZ505" s="30" t="s">
        <v>562</v>
      </c>
      <c r="BA505" s="30" t="s">
        <v>1465</v>
      </c>
      <c r="BB505" s="30"/>
      <c r="BC505" s="58">
        <v>4</v>
      </c>
      <c r="BD505" s="30">
        <v>45950</v>
      </c>
      <c r="BE505" s="55">
        <v>45575</v>
      </c>
      <c r="BF505" s="55">
        <v>45590</v>
      </c>
      <c r="BG505" s="55">
        <v>45616</v>
      </c>
      <c r="BH505" s="55">
        <v>45736</v>
      </c>
      <c r="BI505" s="55">
        <v>45828</v>
      </c>
      <c r="BJ505" s="64">
        <v>1</v>
      </c>
      <c r="BK505" s="39">
        <v>5</v>
      </c>
      <c r="BL505" s="63">
        <f t="shared" si="103"/>
        <v>0</v>
      </c>
      <c r="BM505" s="63">
        <f t="shared" si="90"/>
        <v>0</v>
      </c>
      <c r="BN505" s="63">
        <f t="shared" si="91"/>
        <v>0</v>
      </c>
      <c r="BO505" s="63">
        <f t="shared" si="92"/>
        <v>0</v>
      </c>
      <c r="BP505" s="63">
        <f t="shared" si="93"/>
        <v>0</v>
      </c>
      <c r="BQ505" s="63">
        <f t="shared" si="94"/>
        <v>37000</v>
      </c>
      <c r="BR505" s="63">
        <f t="shared" si="95"/>
        <v>37000</v>
      </c>
      <c r="BS505" s="63">
        <f t="shared" si="96"/>
        <v>37000</v>
      </c>
    </row>
    <row r="506" spans="1:71">
      <c r="A506" s="28">
        <f t="shared" si="97"/>
        <v>505</v>
      </c>
      <c r="B506" s="31" t="s">
        <v>1467</v>
      </c>
      <c r="C506" s="30" t="s">
        <v>72</v>
      </c>
      <c r="D506" s="30" t="s">
        <v>110</v>
      </c>
      <c r="E506" s="30" t="s">
        <v>111</v>
      </c>
      <c r="F506" s="30" t="s">
        <v>112</v>
      </c>
      <c r="G506" s="30" t="s">
        <v>167</v>
      </c>
      <c r="H506" s="35" t="s">
        <v>168</v>
      </c>
      <c r="I506" s="30"/>
      <c r="J506" s="30"/>
      <c r="K506" s="31" t="s">
        <v>113</v>
      </c>
      <c r="L506" s="40">
        <v>120000</v>
      </c>
      <c r="M506" s="39" t="s">
        <v>57</v>
      </c>
      <c r="N506" s="31"/>
      <c r="O506" s="30" t="s">
        <v>115</v>
      </c>
      <c r="P506" s="30"/>
      <c r="Q506" s="89">
        <v>3.7</v>
      </c>
      <c r="R506" s="47">
        <f t="shared" si="98"/>
        <v>111000</v>
      </c>
      <c r="S506" s="75">
        <v>0</v>
      </c>
      <c r="T506" s="48">
        <f t="shared" si="99"/>
        <v>30000</v>
      </c>
      <c r="U506" s="40"/>
      <c r="V506" s="40"/>
      <c r="W506" s="40"/>
      <c r="X506" s="39"/>
      <c r="Y506" s="39"/>
      <c r="Z506" s="39"/>
      <c r="AA506" s="39"/>
      <c r="AB506" s="39"/>
      <c r="AC506" s="39"/>
      <c r="AD506" s="39">
        <v>10000</v>
      </c>
      <c r="AE506" s="39">
        <v>10000</v>
      </c>
      <c r="AF506" s="39">
        <v>10000</v>
      </c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30" t="s">
        <v>116</v>
      </c>
      <c r="AT506" s="30" t="s">
        <v>116</v>
      </c>
      <c r="AU506" s="30" t="s">
        <v>81</v>
      </c>
      <c r="AV506" s="30" t="s">
        <v>117</v>
      </c>
      <c r="AW506" s="30" t="s">
        <v>118</v>
      </c>
      <c r="AX506" s="30" t="s">
        <v>119</v>
      </c>
      <c r="AY506" s="30" t="s">
        <v>120</v>
      </c>
      <c r="AZ506" s="30" t="s">
        <v>562</v>
      </c>
      <c r="BA506" s="30" t="s">
        <v>1465</v>
      </c>
      <c r="BB506" s="30"/>
      <c r="BC506" s="58">
        <v>4</v>
      </c>
      <c r="BD506" s="30">
        <v>45950</v>
      </c>
      <c r="BE506" s="55">
        <v>45575</v>
      </c>
      <c r="BF506" s="55">
        <v>45590</v>
      </c>
      <c r="BG506" s="55">
        <v>45616</v>
      </c>
      <c r="BH506" s="55">
        <v>45736</v>
      </c>
      <c r="BI506" s="55">
        <v>45828</v>
      </c>
      <c r="BJ506" s="64">
        <v>1</v>
      </c>
      <c r="BK506" s="39">
        <v>5</v>
      </c>
      <c r="BL506" s="63">
        <f t="shared" si="103"/>
        <v>0</v>
      </c>
      <c r="BM506" s="63">
        <f t="shared" si="90"/>
        <v>0</v>
      </c>
      <c r="BN506" s="63">
        <f t="shared" si="91"/>
        <v>0</v>
      </c>
      <c r="BO506" s="63">
        <f t="shared" si="92"/>
        <v>0</v>
      </c>
      <c r="BP506" s="63">
        <f t="shared" si="93"/>
        <v>0</v>
      </c>
      <c r="BQ506" s="63">
        <f t="shared" si="94"/>
        <v>37000</v>
      </c>
      <c r="BR506" s="63">
        <f t="shared" si="95"/>
        <v>37000</v>
      </c>
      <c r="BS506" s="63">
        <f t="shared" si="96"/>
        <v>37000</v>
      </c>
    </row>
    <row r="507" spans="1:71">
      <c r="A507" s="28">
        <f t="shared" si="97"/>
        <v>506</v>
      </c>
      <c r="B507" s="31" t="s">
        <v>1468</v>
      </c>
      <c r="C507" s="30" t="s">
        <v>527</v>
      </c>
      <c r="D507" s="30" t="s">
        <v>110</v>
      </c>
      <c r="E507" s="30" t="s">
        <v>111</v>
      </c>
      <c r="F507" s="30" t="s">
        <v>112</v>
      </c>
      <c r="G507" s="30" t="s">
        <v>415</v>
      </c>
      <c r="H507" s="35" t="s">
        <v>416</v>
      </c>
      <c r="I507" s="30"/>
      <c r="J507" s="30"/>
      <c r="K507" s="31" t="s">
        <v>830</v>
      </c>
      <c r="L507" s="40">
        <v>500000</v>
      </c>
      <c r="M507" s="39" t="s">
        <v>57</v>
      </c>
      <c r="N507" s="31"/>
      <c r="O507" s="30" t="s">
        <v>1469</v>
      </c>
      <c r="P507" s="30"/>
      <c r="Q507" s="89">
        <v>3.6</v>
      </c>
      <c r="R507" s="47">
        <f t="shared" si="98"/>
        <v>0</v>
      </c>
      <c r="S507" s="75">
        <v>0</v>
      </c>
      <c r="T507" s="48">
        <f t="shared" si="99"/>
        <v>0</v>
      </c>
      <c r="U507" s="40"/>
      <c r="V507" s="40"/>
      <c r="W507" s="40"/>
      <c r="X507" s="39"/>
      <c r="Y507" s="39"/>
      <c r="Z507" s="39"/>
      <c r="AA507" s="39"/>
      <c r="AB507" s="39"/>
      <c r="AC507" s="39"/>
      <c r="AD507" s="39"/>
      <c r="AE507" s="39"/>
      <c r="AF507" s="39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30" t="s">
        <v>705</v>
      </c>
      <c r="AT507" s="30" t="s">
        <v>116</v>
      </c>
      <c r="AU507" s="30" t="s">
        <v>545</v>
      </c>
      <c r="AV507" s="30" t="s">
        <v>117</v>
      </c>
      <c r="AW507" s="30" t="s">
        <v>553</v>
      </c>
      <c r="AX507" s="30" t="s">
        <v>1470</v>
      </c>
      <c r="AY507" s="30" t="s">
        <v>1471</v>
      </c>
      <c r="AZ507" s="30"/>
      <c r="BA507" s="30"/>
      <c r="BB507" s="30"/>
      <c r="BC507" s="58">
        <v>1</v>
      </c>
      <c r="BD507" s="30">
        <v>45828</v>
      </c>
      <c r="BE507" s="55">
        <v>45371</v>
      </c>
      <c r="BF507" s="55">
        <v>45585</v>
      </c>
      <c r="BG507" s="55">
        <v>45646</v>
      </c>
      <c r="BH507" s="55">
        <v>45708</v>
      </c>
      <c r="BI507" s="55">
        <v>45767</v>
      </c>
      <c r="BJ507" s="64">
        <v>0.5</v>
      </c>
      <c r="BK507" s="39">
        <v>5</v>
      </c>
      <c r="BL507" s="63">
        <f t="shared" si="103"/>
        <v>0</v>
      </c>
      <c r="BM507" s="63">
        <f t="shared" si="90"/>
        <v>0</v>
      </c>
      <c r="BN507" s="63">
        <f t="shared" si="91"/>
        <v>0</v>
      </c>
      <c r="BO507" s="63">
        <f t="shared" si="92"/>
        <v>0</v>
      </c>
      <c r="BP507" s="63">
        <f t="shared" si="93"/>
        <v>0</v>
      </c>
      <c r="BQ507" s="63">
        <f t="shared" si="94"/>
        <v>0</v>
      </c>
      <c r="BR507" s="63">
        <f t="shared" si="95"/>
        <v>0</v>
      </c>
      <c r="BS507" s="63">
        <f t="shared" si="96"/>
        <v>0</v>
      </c>
    </row>
    <row r="508" spans="1:71">
      <c r="A508" s="28">
        <f t="shared" si="97"/>
        <v>507</v>
      </c>
      <c r="B508" s="31" t="s">
        <v>1468</v>
      </c>
      <c r="C508" s="30" t="s">
        <v>527</v>
      </c>
      <c r="D508" s="30" t="s">
        <v>110</v>
      </c>
      <c r="E508" s="30" t="s">
        <v>111</v>
      </c>
      <c r="F508" s="30" t="s">
        <v>112</v>
      </c>
      <c r="G508" s="30" t="s">
        <v>421</v>
      </c>
      <c r="H508" s="35" t="s">
        <v>422</v>
      </c>
      <c r="I508" s="30"/>
      <c r="J508" s="30"/>
      <c r="K508" s="31" t="s">
        <v>830</v>
      </c>
      <c r="L508" s="40">
        <v>500000</v>
      </c>
      <c r="M508" s="39" t="s">
        <v>57</v>
      </c>
      <c r="N508" s="31"/>
      <c r="O508" s="30" t="s">
        <v>1472</v>
      </c>
      <c r="P508" s="30"/>
      <c r="Q508" s="89">
        <v>5.1</v>
      </c>
      <c r="R508" s="47">
        <f t="shared" si="98"/>
        <v>0</v>
      </c>
      <c r="S508" s="75">
        <v>0</v>
      </c>
      <c r="T508" s="48">
        <f t="shared" si="99"/>
        <v>0</v>
      </c>
      <c r="U508" s="40"/>
      <c r="V508" s="40"/>
      <c r="W508" s="40"/>
      <c r="X508" s="39"/>
      <c r="Y508" s="39"/>
      <c r="Z508" s="39"/>
      <c r="AA508" s="39"/>
      <c r="AB508" s="39"/>
      <c r="AC508" s="39"/>
      <c r="AD508" s="39"/>
      <c r="AE508" s="39"/>
      <c r="AF508" s="39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30" t="s">
        <v>705</v>
      </c>
      <c r="AT508" s="30" t="s">
        <v>116</v>
      </c>
      <c r="AU508" s="30" t="s">
        <v>545</v>
      </c>
      <c r="AV508" s="30" t="s">
        <v>117</v>
      </c>
      <c r="AW508" s="30" t="s">
        <v>553</v>
      </c>
      <c r="AX508" s="30" t="s">
        <v>1470</v>
      </c>
      <c r="AY508" s="30" t="s">
        <v>1471</v>
      </c>
      <c r="AZ508" s="30"/>
      <c r="BA508" s="30"/>
      <c r="BB508" s="30"/>
      <c r="BC508" s="58">
        <v>1</v>
      </c>
      <c r="BD508" s="30">
        <v>45828</v>
      </c>
      <c r="BE508" s="55">
        <v>45371</v>
      </c>
      <c r="BF508" s="55">
        <v>45585</v>
      </c>
      <c r="BG508" s="55">
        <v>45646</v>
      </c>
      <c r="BH508" s="55">
        <v>45708</v>
      </c>
      <c r="BI508" s="55">
        <v>45767</v>
      </c>
      <c r="BJ508" s="64">
        <v>0.5</v>
      </c>
      <c r="BK508" s="39">
        <v>5</v>
      </c>
      <c r="BL508" s="63">
        <f t="shared" si="103"/>
        <v>0</v>
      </c>
      <c r="BM508" s="63">
        <f t="shared" si="90"/>
        <v>0</v>
      </c>
      <c r="BN508" s="63">
        <f t="shared" si="91"/>
        <v>0</v>
      </c>
      <c r="BO508" s="63">
        <f t="shared" si="92"/>
        <v>0</v>
      </c>
      <c r="BP508" s="63">
        <f t="shared" si="93"/>
        <v>0</v>
      </c>
      <c r="BQ508" s="63">
        <f t="shared" si="94"/>
        <v>0</v>
      </c>
      <c r="BR508" s="63">
        <f t="shared" si="95"/>
        <v>0</v>
      </c>
      <c r="BS508" s="63">
        <f t="shared" si="96"/>
        <v>0</v>
      </c>
    </row>
    <row r="509" spans="1:71">
      <c r="A509" s="28">
        <f t="shared" si="97"/>
        <v>508</v>
      </c>
      <c r="B509" s="31" t="s">
        <v>1473</v>
      </c>
      <c r="C509" s="30" t="s">
        <v>72</v>
      </c>
      <c r="D509" s="30" t="s">
        <v>110</v>
      </c>
      <c r="E509" s="30" t="s">
        <v>111</v>
      </c>
      <c r="F509" s="30" t="s">
        <v>1474</v>
      </c>
      <c r="G509" s="30" t="s">
        <v>261</v>
      </c>
      <c r="H509" s="35" t="s">
        <v>262</v>
      </c>
      <c r="I509" s="30"/>
      <c r="J509" s="30"/>
      <c r="K509" s="31" t="s">
        <v>853</v>
      </c>
      <c r="L509" s="40">
        <v>500000</v>
      </c>
      <c r="M509" s="39" t="s">
        <v>114</v>
      </c>
      <c r="N509" s="31"/>
      <c r="O509" s="30" t="s">
        <v>1475</v>
      </c>
      <c r="P509" s="30"/>
      <c r="Q509" s="89">
        <v>0.52</v>
      </c>
      <c r="R509" s="47">
        <f t="shared" si="98"/>
        <v>5200</v>
      </c>
      <c r="S509" s="75">
        <v>0</v>
      </c>
      <c r="T509" s="48">
        <f t="shared" si="99"/>
        <v>10000</v>
      </c>
      <c r="U509" s="40"/>
      <c r="V509" s="40"/>
      <c r="W509" s="40"/>
      <c r="X509" s="39"/>
      <c r="Y509" s="39"/>
      <c r="Z509" s="39"/>
      <c r="AA509" s="39"/>
      <c r="AB509" s="39"/>
      <c r="AC509" s="39"/>
      <c r="AD509" s="39"/>
      <c r="AE509" s="39">
        <v>5000</v>
      </c>
      <c r="AF509" s="39">
        <v>5000</v>
      </c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30" t="s">
        <v>116</v>
      </c>
      <c r="AT509" s="30" t="s">
        <v>116</v>
      </c>
      <c r="AU509" s="30" t="s">
        <v>81</v>
      </c>
      <c r="AV509" s="30" t="s">
        <v>117</v>
      </c>
      <c r="AW509" s="30" t="s">
        <v>143</v>
      </c>
      <c r="AX509" s="30" t="s">
        <v>960</v>
      </c>
      <c r="AY509" s="30" t="s">
        <v>961</v>
      </c>
      <c r="AZ509" s="30" t="s">
        <v>1476</v>
      </c>
      <c r="BA509" s="30"/>
      <c r="BB509" s="30"/>
      <c r="BC509" s="58">
        <v>2</v>
      </c>
      <c r="BD509" s="30">
        <v>45797</v>
      </c>
      <c r="BE509" s="55">
        <v>45432</v>
      </c>
      <c r="BF509" s="55">
        <v>45463</v>
      </c>
      <c r="BG509" s="55">
        <v>45493</v>
      </c>
      <c r="BH509" s="55">
        <v>45585</v>
      </c>
      <c r="BI509" s="55">
        <v>45646</v>
      </c>
      <c r="BJ509" s="64">
        <v>1</v>
      </c>
      <c r="BK509" s="39">
        <v>5</v>
      </c>
      <c r="BL509" s="63">
        <f t="shared" si="103"/>
        <v>0</v>
      </c>
      <c r="BM509" s="63">
        <f t="shared" si="90"/>
        <v>0</v>
      </c>
      <c r="BN509" s="63">
        <f t="shared" si="91"/>
        <v>0</v>
      </c>
      <c r="BO509" s="63">
        <f t="shared" si="92"/>
        <v>0</v>
      </c>
      <c r="BP509" s="63">
        <f t="shared" si="93"/>
        <v>0</v>
      </c>
      <c r="BQ509" s="63">
        <f t="shared" si="94"/>
        <v>0</v>
      </c>
      <c r="BR509" s="63">
        <f t="shared" si="95"/>
        <v>2600</v>
      </c>
      <c r="BS509" s="63">
        <f t="shared" si="96"/>
        <v>2600</v>
      </c>
    </row>
    <row r="510" spans="1:71">
      <c r="A510" s="28">
        <f t="shared" si="97"/>
        <v>509</v>
      </c>
      <c r="B510" s="31" t="s">
        <v>1473</v>
      </c>
      <c r="C510" s="30" t="s">
        <v>72</v>
      </c>
      <c r="D510" s="30" t="s">
        <v>110</v>
      </c>
      <c r="E510" s="30" t="s">
        <v>111</v>
      </c>
      <c r="F510" s="30" t="s">
        <v>1474</v>
      </c>
      <c r="G510" s="30" t="s">
        <v>285</v>
      </c>
      <c r="H510" s="35" t="s">
        <v>286</v>
      </c>
      <c r="I510" s="30"/>
      <c r="J510" s="30"/>
      <c r="K510" s="31" t="s">
        <v>1477</v>
      </c>
      <c r="L510" s="40">
        <v>500000</v>
      </c>
      <c r="M510" s="39" t="s">
        <v>114</v>
      </c>
      <c r="N510" s="31"/>
      <c r="O510" s="30" t="s">
        <v>115</v>
      </c>
      <c r="P510" s="30"/>
      <c r="Q510" s="89">
        <v>0.52</v>
      </c>
      <c r="R510" s="47">
        <f t="shared" si="98"/>
        <v>5200</v>
      </c>
      <c r="S510" s="75">
        <v>0</v>
      </c>
      <c r="T510" s="48">
        <f t="shared" si="99"/>
        <v>10000</v>
      </c>
      <c r="U510" s="40"/>
      <c r="V510" s="40"/>
      <c r="W510" s="40"/>
      <c r="X510" s="39"/>
      <c r="Y510" s="39"/>
      <c r="Z510" s="39"/>
      <c r="AA510" s="39"/>
      <c r="AB510" s="39"/>
      <c r="AC510" s="39"/>
      <c r="AD510" s="39"/>
      <c r="AE510" s="39">
        <v>5000</v>
      </c>
      <c r="AF510" s="39">
        <v>5000</v>
      </c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30" t="s">
        <v>116</v>
      </c>
      <c r="AT510" s="30" t="s">
        <v>116</v>
      </c>
      <c r="AU510" s="30" t="s">
        <v>81</v>
      </c>
      <c r="AV510" s="30" t="s">
        <v>117</v>
      </c>
      <c r="AW510" s="30" t="s">
        <v>143</v>
      </c>
      <c r="AX510" s="30" t="s">
        <v>960</v>
      </c>
      <c r="AY510" s="30" t="s">
        <v>961</v>
      </c>
      <c r="AZ510" s="30" t="s">
        <v>1476</v>
      </c>
      <c r="BA510" s="30"/>
      <c r="BB510" s="30"/>
      <c r="BC510" s="58">
        <v>2</v>
      </c>
      <c r="BD510" s="30">
        <v>45797</v>
      </c>
      <c r="BE510" s="55">
        <v>45432</v>
      </c>
      <c r="BF510" s="55">
        <v>45463</v>
      </c>
      <c r="BG510" s="55">
        <v>45493</v>
      </c>
      <c r="BH510" s="55">
        <v>45585</v>
      </c>
      <c r="BI510" s="55">
        <v>45646</v>
      </c>
      <c r="BJ510" s="64">
        <v>1</v>
      </c>
      <c r="BK510" s="39">
        <v>5</v>
      </c>
      <c r="BL510" s="63">
        <f t="shared" si="103"/>
        <v>0</v>
      </c>
      <c r="BM510" s="63">
        <f t="shared" si="90"/>
        <v>0</v>
      </c>
      <c r="BN510" s="63">
        <f t="shared" si="91"/>
        <v>0</v>
      </c>
      <c r="BO510" s="63">
        <f t="shared" si="92"/>
        <v>0</v>
      </c>
      <c r="BP510" s="63">
        <f t="shared" si="93"/>
        <v>0</v>
      </c>
      <c r="BQ510" s="63">
        <f t="shared" si="94"/>
        <v>0</v>
      </c>
      <c r="BR510" s="63">
        <f t="shared" si="95"/>
        <v>2600</v>
      </c>
      <c r="BS510" s="63">
        <f t="shared" si="96"/>
        <v>2600</v>
      </c>
    </row>
    <row r="511" spans="1:71">
      <c r="A511" s="28">
        <f t="shared" si="97"/>
        <v>510</v>
      </c>
      <c r="B511" s="31" t="s">
        <v>1473</v>
      </c>
      <c r="C511" s="30" t="s">
        <v>72</v>
      </c>
      <c r="D511" s="30" t="s">
        <v>110</v>
      </c>
      <c r="E511" s="30" t="s">
        <v>111</v>
      </c>
      <c r="F511" s="30"/>
      <c r="G511" s="30" t="s">
        <v>268</v>
      </c>
      <c r="H511" s="35" t="s">
        <v>269</v>
      </c>
      <c r="I511" s="30"/>
      <c r="J511" s="30"/>
      <c r="K511" s="31"/>
      <c r="L511" s="40"/>
      <c r="M511" s="39"/>
      <c r="N511" s="31"/>
      <c r="O511" s="30"/>
      <c r="P511" s="30"/>
      <c r="Q511" s="66">
        <v>0.5</v>
      </c>
      <c r="R511" s="47">
        <f t="shared" si="98"/>
        <v>7500</v>
      </c>
      <c r="S511" s="75"/>
      <c r="T511" s="48">
        <f t="shared" si="99"/>
        <v>15000</v>
      </c>
      <c r="U511" s="40"/>
      <c r="V511" s="40"/>
      <c r="W511" s="40"/>
      <c r="X511" s="39"/>
      <c r="Y511" s="39"/>
      <c r="Z511" s="39"/>
      <c r="AA511" s="39"/>
      <c r="AB511" s="39"/>
      <c r="AC511" s="39"/>
      <c r="AD511" s="39">
        <v>5000</v>
      </c>
      <c r="AE511" s="39">
        <v>5000</v>
      </c>
      <c r="AF511" s="39">
        <v>5000</v>
      </c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30"/>
      <c r="AT511" s="30" t="s">
        <v>116</v>
      </c>
      <c r="AU511" s="30" t="s">
        <v>81</v>
      </c>
      <c r="AV511" s="30"/>
      <c r="AW511" s="30"/>
      <c r="AX511" s="30"/>
      <c r="AY511" s="30"/>
      <c r="AZ511" s="30"/>
      <c r="BA511" s="30"/>
      <c r="BB511" s="30"/>
      <c r="BC511" s="58"/>
      <c r="BD511" s="30"/>
      <c r="BE511" s="55"/>
      <c r="BF511" s="55"/>
      <c r="BG511" s="55"/>
      <c r="BH511" s="55"/>
      <c r="BI511" s="55"/>
      <c r="BJ511" s="64"/>
      <c r="BK511" s="39"/>
      <c r="BL511" s="63"/>
      <c r="BM511" s="63">
        <f t="shared" si="90"/>
        <v>0</v>
      </c>
      <c r="BN511" s="63">
        <f t="shared" si="91"/>
        <v>0</v>
      </c>
      <c r="BO511" s="63">
        <f t="shared" si="92"/>
        <v>0</v>
      </c>
      <c r="BP511" s="63">
        <f t="shared" si="93"/>
        <v>0</v>
      </c>
      <c r="BQ511" s="63">
        <f t="shared" si="94"/>
        <v>2500</v>
      </c>
      <c r="BR511" s="63">
        <f t="shared" si="95"/>
        <v>2500</v>
      </c>
      <c r="BS511" s="63">
        <f t="shared" si="96"/>
        <v>2500</v>
      </c>
    </row>
    <row r="512" spans="1:71">
      <c r="A512" s="28">
        <f t="shared" si="97"/>
        <v>511</v>
      </c>
      <c r="B512" s="31" t="s">
        <v>1478</v>
      </c>
      <c r="C512" s="30" t="s">
        <v>72</v>
      </c>
      <c r="D512" s="30" t="s">
        <v>110</v>
      </c>
      <c r="E512" s="30" t="s">
        <v>111</v>
      </c>
      <c r="F512" s="30" t="s">
        <v>112</v>
      </c>
      <c r="G512" s="30" t="s">
        <v>231</v>
      </c>
      <c r="H512" s="35" t="s">
        <v>232</v>
      </c>
      <c r="I512" s="30"/>
      <c r="J512" s="30"/>
      <c r="K512" s="31" t="s">
        <v>1479</v>
      </c>
      <c r="L512" s="40">
        <v>100000</v>
      </c>
      <c r="M512" s="39" t="s">
        <v>114</v>
      </c>
      <c r="N512" s="31"/>
      <c r="O512" s="30" t="s">
        <v>115</v>
      </c>
      <c r="P512" s="30"/>
      <c r="Q512" s="89">
        <v>0.52</v>
      </c>
      <c r="R512" s="47">
        <f t="shared" si="98"/>
        <v>30160</v>
      </c>
      <c r="S512" s="75">
        <v>0</v>
      </c>
      <c r="T512" s="48">
        <f t="shared" si="99"/>
        <v>58000</v>
      </c>
      <c r="U512" s="40"/>
      <c r="V512" s="40"/>
      <c r="W512" s="40"/>
      <c r="X512" s="39"/>
      <c r="Y512" s="39"/>
      <c r="Z512" s="39">
        <v>5000</v>
      </c>
      <c r="AA512" s="39">
        <v>5000</v>
      </c>
      <c r="AB512" s="39">
        <v>8000</v>
      </c>
      <c r="AC512" s="39">
        <v>8000</v>
      </c>
      <c r="AD512" s="39">
        <v>10000</v>
      </c>
      <c r="AE512" s="39">
        <v>10000</v>
      </c>
      <c r="AF512" s="39">
        <v>12000</v>
      </c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30" t="s">
        <v>116</v>
      </c>
      <c r="AT512" s="30" t="s">
        <v>116</v>
      </c>
      <c r="AU512" s="30" t="s">
        <v>81</v>
      </c>
      <c r="AV512" s="30" t="s">
        <v>117</v>
      </c>
      <c r="AW512" s="30" t="s">
        <v>553</v>
      </c>
      <c r="AX512" s="30" t="s">
        <v>1470</v>
      </c>
      <c r="AY512" s="30" t="s">
        <v>1479</v>
      </c>
      <c r="AZ512" s="30" t="s">
        <v>1155</v>
      </c>
      <c r="BA512" s="30"/>
      <c r="BB512" s="30"/>
      <c r="BC512" s="58">
        <v>2</v>
      </c>
      <c r="BD512" s="30">
        <v>45736</v>
      </c>
      <c r="BE512" s="55">
        <v>45463</v>
      </c>
      <c r="BF512" s="55">
        <v>45493</v>
      </c>
      <c r="BG512" s="55">
        <v>45555</v>
      </c>
      <c r="BH512" s="55">
        <v>45646</v>
      </c>
      <c r="BI512" s="55">
        <v>45708</v>
      </c>
      <c r="BJ512" s="64">
        <v>1</v>
      </c>
      <c r="BK512" s="39">
        <v>5</v>
      </c>
      <c r="BL512" s="63">
        <f t="shared" si="103"/>
        <v>0</v>
      </c>
      <c r="BM512" s="63">
        <f t="shared" si="90"/>
        <v>2600</v>
      </c>
      <c r="BN512" s="63">
        <f t="shared" si="91"/>
        <v>2600</v>
      </c>
      <c r="BO512" s="63">
        <f t="shared" si="92"/>
        <v>4160</v>
      </c>
      <c r="BP512" s="63">
        <f t="shared" si="93"/>
        <v>4160</v>
      </c>
      <c r="BQ512" s="63">
        <f t="shared" si="94"/>
        <v>5200</v>
      </c>
      <c r="BR512" s="63">
        <f t="shared" si="95"/>
        <v>5200</v>
      </c>
      <c r="BS512" s="63">
        <f t="shared" si="96"/>
        <v>6240</v>
      </c>
    </row>
    <row r="513" spans="1:71">
      <c r="A513" s="28">
        <f t="shared" si="97"/>
        <v>512</v>
      </c>
      <c r="B513" s="31" t="s">
        <v>1478</v>
      </c>
      <c r="C513" s="30" t="s">
        <v>72</v>
      </c>
      <c r="D513" s="30" t="s">
        <v>110</v>
      </c>
      <c r="E513" s="30" t="s">
        <v>111</v>
      </c>
      <c r="F513" s="30" t="s">
        <v>112</v>
      </c>
      <c r="G513" s="30" t="s">
        <v>285</v>
      </c>
      <c r="H513" s="35" t="s">
        <v>286</v>
      </c>
      <c r="I513" s="30"/>
      <c r="J513" s="30"/>
      <c r="K513" s="31" t="s">
        <v>1480</v>
      </c>
      <c r="L513" s="40">
        <v>100000</v>
      </c>
      <c r="M513" s="39" t="s">
        <v>56</v>
      </c>
      <c r="N513" s="31"/>
      <c r="O513" s="30" t="s">
        <v>115</v>
      </c>
      <c r="P513" s="30"/>
      <c r="Q513" s="89">
        <v>0.52</v>
      </c>
      <c r="R513" s="47">
        <f t="shared" si="98"/>
        <v>7800</v>
      </c>
      <c r="S513" s="75">
        <v>0</v>
      </c>
      <c r="T513" s="48">
        <f t="shared" si="99"/>
        <v>15000</v>
      </c>
      <c r="U513" s="40"/>
      <c r="V513" s="40"/>
      <c r="W513" s="40"/>
      <c r="X513" s="39"/>
      <c r="Y513" s="39"/>
      <c r="Z513" s="39"/>
      <c r="AA513" s="39"/>
      <c r="AB513" s="39"/>
      <c r="AC513" s="39"/>
      <c r="AD513" s="39"/>
      <c r="AE513" s="39">
        <v>5000</v>
      </c>
      <c r="AF513" s="39">
        <v>10000</v>
      </c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30" t="s">
        <v>116</v>
      </c>
      <c r="AT513" s="30" t="s">
        <v>116</v>
      </c>
      <c r="AU513" s="30" t="s">
        <v>81</v>
      </c>
      <c r="AV513" s="30" t="s">
        <v>117</v>
      </c>
      <c r="AW513" s="30" t="s">
        <v>553</v>
      </c>
      <c r="AX513" s="30" t="s">
        <v>1470</v>
      </c>
      <c r="AY513" s="30" t="s">
        <v>1479</v>
      </c>
      <c r="AZ513" s="30" t="s">
        <v>1155</v>
      </c>
      <c r="BA513" s="30"/>
      <c r="BB513" s="30"/>
      <c r="BC513" s="58">
        <v>2</v>
      </c>
      <c r="BD513" s="30">
        <v>45736</v>
      </c>
      <c r="BE513" s="55">
        <v>45463</v>
      </c>
      <c r="BF513" s="55">
        <v>45493</v>
      </c>
      <c r="BG513" s="55">
        <v>45555</v>
      </c>
      <c r="BH513" s="55">
        <v>45646</v>
      </c>
      <c r="BI513" s="55">
        <v>45708</v>
      </c>
      <c r="BJ513" s="64">
        <v>1</v>
      </c>
      <c r="BK513" s="39">
        <v>5</v>
      </c>
      <c r="BL513" s="63">
        <f t="shared" si="103"/>
        <v>0</v>
      </c>
      <c r="BM513" s="63">
        <f t="shared" si="90"/>
        <v>0</v>
      </c>
      <c r="BN513" s="63">
        <f t="shared" si="91"/>
        <v>0</v>
      </c>
      <c r="BO513" s="63">
        <f t="shared" si="92"/>
        <v>0</v>
      </c>
      <c r="BP513" s="63">
        <f t="shared" si="93"/>
        <v>0</v>
      </c>
      <c r="BQ513" s="63">
        <f t="shared" si="94"/>
        <v>0</v>
      </c>
      <c r="BR513" s="63">
        <f t="shared" si="95"/>
        <v>2600</v>
      </c>
      <c r="BS513" s="63">
        <f t="shared" si="96"/>
        <v>5200</v>
      </c>
    </row>
    <row r="514" spans="1:71">
      <c r="A514" s="28">
        <f t="shared" si="97"/>
        <v>513</v>
      </c>
      <c r="B514" s="31" t="s">
        <v>1481</v>
      </c>
      <c r="C514" s="30" t="s">
        <v>92</v>
      </c>
      <c r="D514" s="30" t="s">
        <v>110</v>
      </c>
      <c r="E514" s="30" t="s">
        <v>111</v>
      </c>
      <c r="F514" s="30" t="s">
        <v>1474</v>
      </c>
      <c r="G514" s="30" t="s">
        <v>315</v>
      </c>
      <c r="H514" s="35" t="s">
        <v>316</v>
      </c>
      <c r="I514" s="30"/>
      <c r="J514" s="30"/>
      <c r="K514" s="31" t="s">
        <v>1482</v>
      </c>
      <c r="L514" s="40">
        <v>300000</v>
      </c>
      <c r="M514" s="39" t="s">
        <v>56</v>
      </c>
      <c r="N514" s="31"/>
      <c r="O514" s="30" t="s">
        <v>1483</v>
      </c>
      <c r="P514" s="30"/>
      <c r="Q514" s="89">
        <v>0.81</v>
      </c>
      <c r="R514" s="47">
        <f t="shared" si="98"/>
        <v>810</v>
      </c>
      <c r="S514" s="75">
        <v>0</v>
      </c>
      <c r="T514" s="48">
        <f t="shared" si="99"/>
        <v>1000</v>
      </c>
      <c r="U514" s="40"/>
      <c r="V514" s="40"/>
      <c r="W514" s="40"/>
      <c r="X514" s="39"/>
      <c r="Y514" s="39"/>
      <c r="Z514" s="39"/>
      <c r="AA514" s="39"/>
      <c r="AB514" s="39"/>
      <c r="AC514" s="39"/>
      <c r="AD514" s="39"/>
      <c r="AE514" s="39"/>
      <c r="AF514" s="39">
        <v>1000</v>
      </c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30" t="s">
        <v>93</v>
      </c>
      <c r="AT514" s="30" t="s">
        <v>116</v>
      </c>
      <c r="AU514" s="30" t="s">
        <v>81</v>
      </c>
      <c r="AV514" s="30" t="s">
        <v>117</v>
      </c>
      <c r="AW514" s="30" t="s">
        <v>143</v>
      </c>
      <c r="AX514" s="30" t="s">
        <v>1484</v>
      </c>
      <c r="AY514" s="30" t="s">
        <v>1485</v>
      </c>
      <c r="AZ514" s="30"/>
      <c r="BA514" s="30"/>
      <c r="BB514" s="30"/>
      <c r="BC514" s="58">
        <v>1</v>
      </c>
      <c r="BD514" s="30">
        <v>46162</v>
      </c>
      <c r="BE514" s="55">
        <v>45371</v>
      </c>
      <c r="BF514" s="55">
        <v>45432</v>
      </c>
      <c r="BG514" s="55">
        <v>45585</v>
      </c>
      <c r="BH514" s="55">
        <v>45930</v>
      </c>
      <c r="BI514" s="55">
        <v>46073</v>
      </c>
      <c r="BJ514" s="64">
        <v>1</v>
      </c>
      <c r="BK514" s="39">
        <v>5</v>
      </c>
      <c r="BL514" s="63">
        <f t="shared" si="103"/>
        <v>0</v>
      </c>
      <c r="BM514" s="63">
        <f t="shared" si="90"/>
        <v>0</v>
      </c>
      <c r="BN514" s="63">
        <f t="shared" si="91"/>
        <v>0</v>
      </c>
      <c r="BO514" s="63">
        <f t="shared" si="92"/>
        <v>0</v>
      </c>
      <c r="BP514" s="63">
        <f t="shared" si="93"/>
        <v>0</v>
      </c>
      <c r="BQ514" s="63">
        <f t="shared" si="94"/>
        <v>0</v>
      </c>
      <c r="BR514" s="63">
        <f t="shared" si="95"/>
        <v>0</v>
      </c>
      <c r="BS514" s="63">
        <f t="shared" si="96"/>
        <v>810</v>
      </c>
    </row>
    <row r="515" spans="1:71">
      <c r="A515" s="28">
        <f t="shared" si="97"/>
        <v>514</v>
      </c>
      <c r="B515" s="31" t="s">
        <v>1481</v>
      </c>
      <c r="C515" s="30" t="s">
        <v>92</v>
      </c>
      <c r="D515" s="30" t="s">
        <v>110</v>
      </c>
      <c r="E515" s="30" t="s">
        <v>111</v>
      </c>
      <c r="F515" s="30" t="s">
        <v>1474</v>
      </c>
      <c r="G515" s="30" t="s">
        <v>227</v>
      </c>
      <c r="H515" s="35" t="s">
        <v>228</v>
      </c>
      <c r="I515" s="30"/>
      <c r="J515" s="30"/>
      <c r="K515" s="31" t="s">
        <v>1486</v>
      </c>
      <c r="L515" s="40">
        <v>200000</v>
      </c>
      <c r="M515" s="39" t="s">
        <v>79</v>
      </c>
      <c r="N515" s="31"/>
      <c r="O515" s="30" t="s">
        <v>115</v>
      </c>
      <c r="P515" s="30"/>
      <c r="Q515" s="89">
        <v>0.52</v>
      </c>
      <c r="R515" s="47">
        <f t="shared" si="98"/>
        <v>88400</v>
      </c>
      <c r="S515" s="75">
        <v>0</v>
      </c>
      <c r="T515" s="48">
        <f t="shared" si="99"/>
        <v>170000</v>
      </c>
      <c r="U515" s="40">
        <v>3000</v>
      </c>
      <c r="V515" s="40">
        <v>30000</v>
      </c>
      <c r="W515" s="40"/>
      <c r="X515" s="39">
        <v>5000</v>
      </c>
      <c r="Y515" s="39">
        <v>20000</v>
      </c>
      <c r="Z515" s="39">
        <v>20000</v>
      </c>
      <c r="AA515" s="39">
        <v>20000</v>
      </c>
      <c r="AB515" s="39">
        <v>20000</v>
      </c>
      <c r="AC515" s="39">
        <v>20000</v>
      </c>
      <c r="AD515" s="39">
        <v>30000</v>
      </c>
      <c r="AE515" s="39">
        <v>30000</v>
      </c>
      <c r="AF515" s="39">
        <v>30000</v>
      </c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30" t="s">
        <v>93</v>
      </c>
      <c r="AT515" s="30" t="s">
        <v>116</v>
      </c>
      <c r="AU515" s="30" t="s">
        <v>81</v>
      </c>
      <c r="AV515" s="30" t="s">
        <v>117</v>
      </c>
      <c r="AW515" s="30" t="s">
        <v>143</v>
      </c>
      <c r="AX515" s="30" t="s">
        <v>1487</v>
      </c>
      <c r="AY515" s="30" t="s">
        <v>1487</v>
      </c>
      <c r="AZ515" s="30" t="s">
        <v>1199</v>
      </c>
      <c r="BA515" s="30" t="s">
        <v>1488</v>
      </c>
      <c r="BB515" s="30"/>
      <c r="BC515" s="58">
        <v>1</v>
      </c>
      <c r="BD515" s="30">
        <v>45899</v>
      </c>
      <c r="BE515" s="55">
        <v>45593</v>
      </c>
      <c r="BF515" s="55">
        <v>45616</v>
      </c>
      <c r="BG515" s="55">
        <v>45646</v>
      </c>
      <c r="BH515" s="55">
        <v>45708</v>
      </c>
      <c r="BI515" s="55">
        <v>45807</v>
      </c>
      <c r="BJ515" s="64">
        <v>1</v>
      </c>
      <c r="BK515" s="39">
        <v>5</v>
      </c>
      <c r="BL515" s="63">
        <f t="shared" si="103"/>
        <v>10400</v>
      </c>
      <c r="BM515" s="63">
        <f t="shared" ref="BM515:BM578" si="104">$Q515*Z515</f>
        <v>10400</v>
      </c>
      <c r="BN515" s="63">
        <f t="shared" ref="BN515:BN578" si="105">$Q515*AA515</f>
        <v>10400</v>
      </c>
      <c r="BO515" s="63">
        <f t="shared" ref="BO515:BO578" si="106">$Q515*AB515</f>
        <v>10400</v>
      </c>
      <c r="BP515" s="63">
        <f t="shared" ref="BP515:BP578" si="107">$Q515*AC515</f>
        <v>10400</v>
      </c>
      <c r="BQ515" s="63">
        <f t="shared" ref="BQ515:BQ578" si="108">$Q515*AD515</f>
        <v>15600</v>
      </c>
      <c r="BR515" s="63">
        <f t="shared" ref="BR515:BR578" si="109">$Q515*AE515</f>
        <v>15600</v>
      </c>
      <c r="BS515" s="63">
        <f t="shared" ref="BS515:BS578" si="110">$Q515*AF515</f>
        <v>15600</v>
      </c>
    </row>
    <row r="516" spans="1:71">
      <c r="A516" s="28">
        <f t="shared" ref="A516:A579" si="111">ROW()-1</f>
        <v>515</v>
      </c>
      <c r="B516" s="31" t="s">
        <v>1481</v>
      </c>
      <c r="C516" s="30" t="s">
        <v>92</v>
      </c>
      <c r="D516" s="30" t="s">
        <v>110</v>
      </c>
      <c r="E516" s="30" t="s">
        <v>111</v>
      </c>
      <c r="F516" s="30" t="s">
        <v>1474</v>
      </c>
      <c r="G516" s="30" t="s">
        <v>511</v>
      </c>
      <c r="H516" s="35"/>
      <c r="I516" s="30"/>
      <c r="J516" s="30"/>
      <c r="K516" s="31" t="s">
        <v>1477</v>
      </c>
      <c r="L516" s="40">
        <v>100000</v>
      </c>
      <c r="M516" s="39" t="s">
        <v>56</v>
      </c>
      <c r="N516" s="31"/>
      <c r="O516" s="30" t="s">
        <v>115</v>
      </c>
      <c r="P516" s="30"/>
      <c r="Q516" s="89">
        <v>0.52</v>
      </c>
      <c r="R516" s="47">
        <f t="shared" ref="R516:R579" si="112">Q516*T516</f>
        <v>7800</v>
      </c>
      <c r="S516" s="75">
        <v>0</v>
      </c>
      <c r="T516" s="48">
        <f t="shared" ref="T516:T579" si="113">SUM(Z516:AF516)</f>
        <v>15000</v>
      </c>
      <c r="U516" s="40"/>
      <c r="V516" s="40"/>
      <c r="W516" s="40"/>
      <c r="X516" s="39"/>
      <c r="Y516" s="39"/>
      <c r="Z516" s="39"/>
      <c r="AA516" s="39"/>
      <c r="AB516" s="39"/>
      <c r="AC516" s="39"/>
      <c r="AD516" s="39">
        <v>5000</v>
      </c>
      <c r="AE516" s="39">
        <v>5000</v>
      </c>
      <c r="AF516" s="39">
        <v>5000</v>
      </c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30" t="s">
        <v>93</v>
      </c>
      <c r="AT516" s="30" t="s">
        <v>116</v>
      </c>
      <c r="AU516" s="30"/>
      <c r="AV516" s="30" t="s">
        <v>117</v>
      </c>
      <c r="AW516" s="30" t="s">
        <v>143</v>
      </c>
      <c r="AX516" s="30" t="s">
        <v>1470</v>
      </c>
      <c r="AY516" s="30" t="s">
        <v>1479</v>
      </c>
      <c r="AZ516" s="30" t="s">
        <v>1199</v>
      </c>
      <c r="BA516" s="30" t="s">
        <v>1488</v>
      </c>
      <c r="BB516" s="30"/>
      <c r="BC516" s="58">
        <v>1</v>
      </c>
      <c r="BD516" s="30">
        <v>45899</v>
      </c>
      <c r="BE516" s="55">
        <v>45593</v>
      </c>
      <c r="BF516" s="55">
        <v>45616</v>
      </c>
      <c r="BG516" s="55">
        <v>45646</v>
      </c>
      <c r="BH516" s="55">
        <v>45708</v>
      </c>
      <c r="BI516" s="55">
        <v>45807</v>
      </c>
      <c r="BJ516" s="64">
        <v>1</v>
      </c>
      <c r="BK516" s="39">
        <v>5</v>
      </c>
      <c r="BL516" s="63">
        <f t="shared" si="103"/>
        <v>0</v>
      </c>
      <c r="BM516" s="63">
        <f t="shared" si="104"/>
        <v>0</v>
      </c>
      <c r="BN516" s="63">
        <f t="shared" si="105"/>
        <v>0</v>
      </c>
      <c r="BO516" s="63">
        <f t="shared" si="106"/>
        <v>0</v>
      </c>
      <c r="BP516" s="63">
        <f t="shared" si="107"/>
        <v>0</v>
      </c>
      <c r="BQ516" s="63">
        <f t="shared" si="108"/>
        <v>2600</v>
      </c>
      <c r="BR516" s="63">
        <f t="shared" si="109"/>
        <v>2600</v>
      </c>
      <c r="BS516" s="63">
        <f t="shared" si="110"/>
        <v>2600</v>
      </c>
    </row>
    <row r="517" spans="1:71">
      <c r="A517" s="28">
        <f t="shared" si="111"/>
        <v>516</v>
      </c>
      <c r="B517" s="31" t="s">
        <v>1481</v>
      </c>
      <c r="C517" s="30" t="s">
        <v>92</v>
      </c>
      <c r="D517" s="30" t="s">
        <v>110</v>
      </c>
      <c r="E517" s="30" t="s">
        <v>111</v>
      </c>
      <c r="F517" s="30" t="s">
        <v>1474</v>
      </c>
      <c r="G517" s="30" t="s">
        <v>227</v>
      </c>
      <c r="H517" s="35" t="s">
        <v>228</v>
      </c>
      <c r="I517" s="30"/>
      <c r="J517" s="30"/>
      <c r="K517" s="31"/>
      <c r="L517" s="40"/>
      <c r="M517" s="39"/>
      <c r="N517" s="31"/>
      <c r="O517" s="30"/>
      <c r="P517" s="30"/>
      <c r="Q517" s="66">
        <v>0.5198</v>
      </c>
      <c r="R517" s="47">
        <f t="shared" si="112"/>
        <v>7797</v>
      </c>
      <c r="S517" s="75"/>
      <c r="T517" s="48">
        <f t="shared" si="113"/>
        <v>15000</v>
      </c>
      <c r="U517" s="40"/>
      <c r="V517" s="40"/>
      <c r="W517" s="40"/>
      <c r="X517" s="39"/>
      <c r="Y517" s="39"/>
      <c r="Z517" s="39"/>
      <c r="AA517" s="39"/>
      <c r="AB517" s="39"/>
      <c r="AC517" s="39"/>
      <c r="AD517" s="39">
        <v>5000</v>
      </c>
      <c r="AE517" s="39">
        <v>5000</v>
      </c>
      <c r="AF517" s="39">
        <v>5000</v>
      </c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30"/>
      <c r="AT517" s="30" t="s">
        <v>116</v>
      </c>
      <c r="AU517" s="30" t="s">
        <v>81</v>
      </c>
      <c r="AV517" s="30"/>
      <c r="AW517" s="30"/>
      <c r="AX517" s="30"/>
      <c r="AY517" s="30"/>
      <c r="AZ517" s="30"/>
      <c r="BA517" s="30"/>
      <c r="BB517" s="30"/>
      <c r="BC517" s="58"/>
      <c r="BD517" s="30"/>
      <c r="BE517" s="55"/>
      <c r="BF517" s="55"/>
      <c r="BG517" s="55"/>
      <c r="BH517" s="55"/>
      <c r="BI517" s="55"/>
      <c r="BJ517" s="64"/>
      <c r="BK517" s="39"/>
      <c r="BL517" s="63"/>
      <c r="BM517" s="63">
        <f t="shared" si="104"/>
        <v>0</v>
      </c>
      <c r="BN517" s="63">
        <f t="shared" si="105"/>
        <v>0</v>
      </c>
      <c r="BO517" s="63">
        <f t="shared" si="106"/>
        <v>0</v>
      </c>
      <c r="BP517" s="63">
        <f t="shared" si="107"/>
        <v>0</v>
      </c>
      <c r="BQ517" s="63">
        <f t="shared" si="108"/>
        <v>2599</v>
      </c>
      <c r="BR517" s="63">
        <f t="shared" si="109"/>
        <v>2599</v>
      </c>
      <c r="BS517" s="63">
        <f t="shared" si="110"/>
        <v>2599</v>
      </c>
    </row>
    <row r="518" spans="1:71">
      <c r="A518" s="28">
        <f t="shared" si="111"/>
        <v>517</v>
      </c>
      <c r="B518" s="31" t="s">
        <v>1481</v>
      </c>
      <c r="C518" s="30" t="s">
        <v>92</v>
      </c>
      <c r="D518" s="30" t="s">
        <v>110</v>
      </c>
      <c r="E518" s="30" t="s">
        <v>111</v>
      </c>
      <c r="F518" s="30" t="s">
        <v>1474</v>
      </c>
      <c r="G518" s="30" t="s">
        <v>231</v>
      </c>
      <c r="H518" s="35" t="s">
        <v>232</v>
      </c>
      <c r="I518" s="30"/>
      <c r="J518" s="30"/>
      <c r="K518" s="31" t="s">
        <v>1489</v>
      </c>
      <c r="L518" s="40">
        <v>100000</v>
      </c>
      <c r="M518" s="39" t="s">
        <v>56</v>
      </c>
      <c r="N518" s="31"/>
      <c r="O518" s="30" t="s">
        <v>115</v>
      </c>
      <c r="P518" s="30"/>
      <c r="Q518" s="89">
        <v>0.52</v>
      </c>
      <c r="R518" s="47">
        <f t="shared" si="112"/>
        <v>7800</v>
      </c>
      <c r="S518" s="75">
        <v>0</v>
      </c>
      <c r="T518" s="48">
        <f t="shared" si="113"/>
        <v>15000</v>
      </c>
      <c r="U518" s="40"/>
      <c r="V518" s="40"/>
      <c r="W518" s="40"/>
      <c r="X518" s="39"/>
      <c r="Y518" s="39"/>
      <c r="Z518" s="39"/>
      <c r="AA518" s="39"/>
      <c r="AB518" s="39"/>
      <c r="AC518" s="39"/>
      <c r="AD518" s="39">
        <v>5000</v>
      </c>
      <c r="AE518" s="39">
        <v>5000</v>
      </c>
      <c r="AF518" s="39">
        <v>5000</v>
      </c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30" t="s">
        <v>93</v>
      </c>
      <c r="AT518" s="30" t="s">
        <v>116</v>
      </c>
      <c r="AU518" s="30" t="s">
        <v>81</v>
      </c>
      <c r="AV518" s="30" t="s">
        <v>117</v>
      </c>
      <c r="AW518" s="30" t="s">
        <v>553</v>
      </c>
      <c r="AX518" s="30" t="s">
        <v>554</v>
      </c>
      <c r="AY518" s="30" t="s">
        <v>1490</v>
      </c>
      <c r="AZ518" s="30"/>
      <c r="BA518" s="30"/>
      <c r="BB518" s="30"/>
      <c r="BC518" s="58"/>
      <c r="BD518" s="30"/>
      <c r="BE518" s="55"/>
      <c r="BF518" s="55"/>
      <c r="BG518" s="55"/>
      <c r="BH518" s="55"/>
      <c r="BI518" s="55"/>
      <c r="BJ518" s="64"/>
      <c r="BK518" s="39"/>
      <c r="BL518" s="63">
        <f t="shared" si="103"/>
        <v>0</v>
      </c>
      <c r="BM518" s="63">
        <f t="shared" si="104"/>
        <v>0</v>
      </c>
      <c r="BN518" s="63">
        <f t="shared" si="105"/>
        <v>0</v>
      </c>
      <c r="BO518" s="63">
        <f t="shared" si="106"/>
        <v>0</v>
      </c>
      <c r="BP518" s="63">
        <f t="shared" si="107"/>
        <v>0</v>
      </c>
      <c r="BQ518" s="63">
        <f t="shared" si="108"/>
        <v>2600</v>
      </c>
      <c r="BR518" s="63">
        <f t="shared" si="109"/>
        <v>2600</v>
      </c>
      <c r="BS518" s="63">
        <f t="shared" si="110"/>
        <v>2600</v>
      </c>
    </row>
    <row r="519" spans="1:71">
      <c r="A519" s="28">
        <f t="shared" si="111"/>
        <v>518</v>
      </c>
      <c r="B519" s="31" t="s">
        <v>1481</v>
      </c>
      <c r="C519" s="30" t="s">
        <v>92</v>
      </c>
      <c r="D519" s="30" t="s">
        <v>110</v>
      </c>
      <c r="E519" s="30" t="s">
        <v>111</v>
      </c>
      <c r="F519" s="30" t="s">
        <v>1474</v>
      </c>
      <c r="G519" s="30" t="s">
        <v>231</v>
      </c>
      <c r="H519" s="35" t="s">
        <v>232</v>
      </c>
      <c r="I519" s="30"/>
      <c r="J519" s="30"/>
      <c r="K519" s="31" t="s">
        <v>1491</v>
      </c>
      <c r="L519" s="40">
        <v>100000</v>
      </c>
      <c r="M519" s="39" t="s">
        <v>56</v>
      </c>
      <c r="N519" s="31"/>
      <c r="O519" s="30" t="s">
        <v>115</v>
      </c>
      <c r="P519" s="30"/>
      <c r="Q519" s="89">
        <v>0.52</v>
      </c>
      <c r="R519" s="47">
        <f t="shared" si="112"/>
        <v>7800</v>
      </c>
      <c r="S519" s="75">
        <v>0</v>
      </c>
      <c r="T519" s="48">
        <f t="shared" si="113"/>
        <v>15000</v>
      </c>
      <c r="U519" s="40"/>
      <c r="V519" s="40"/>
      <c r="W519" s="40"/>
      <c r="X519" s="39"/>
      <c r="Y519" s="39"/>
      <c r="Z519" s="39"/>
      <c r="AA519" s="39"/>
      <c r="AB519" s="39"/>
      <c r="AC519" s="39"/>
      <c r="AD519" s="39">
        <v>5000</v>
      </c>
      <c r="AE519" s="39">
        <v>5000</v>
      </c>
      <c r="AF519" s="39">
        <v>5000</v>
      </c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30" t="s">
        <v>93</v>
      </c>
      <c r="AT519" s="30" t="s">
        <v>116</v>
      </c>
      <c r="AU519" s="30" t="s">
        <v>81</v>
      </c>
      <c r="AV519" s="30" t="s">
        <v>117</v>
      </c>
      <c r="AW519" s="30" t="s">
        <v>553</v>
      </c>
      <c r="AX519" s="30" t="s">
        <v>554</v>
      </c>
      <c r="AY519" s="30" t="s">
        <v>1490</v>
      </c>
      <c r="AZ519" s="30"/>
      <c r="BA519" s="30"/>
      <c r="BB519" s="30"/>
      <c r="BC519" s="58"/>
      <c r="BD519" s="30"/>
      <c r="BE519" s="55"/>
      <c r="BF519" s="55"/>
      <c r="BG519" s="55"/>
      <c r="BH519" s="55"/>
      <c r="BI519" s="55"/>
      <c r="BJ519" s="64"/>
      <c r="BK519" s="39"/>
      <c r="BL519" s="63">
        <f t="shared" si="103"/>
        <v>0</v>
      </c>
      <c r="BM519" s="63">
        <f t="shared" si="104"/>
        <v>0</v>
      </c>
      <c r="BN519" s="63">
        <f t="shared" si="105"/>
        <v>0</v>
      </c>
      <c r="BO519" s="63">
        <f t="shared" si="106"/>
        <v>0</v>
      </c>
      <c r="BP519" s="63">
        <f t="shared" si="107"/>
        <v>0</v>
      </c>
      <c r="BQ519" s="63">
        <f t="shared" si="108"/>
        <v>2600</v>
      </c>
      <c r="BR519" s="63">
        <f t="shared" si="109"/>
        <v>2600</v>
      </c>
      <c r="BS519" s="63">
        <f t="shared" si="110"/>
        <v>2600</v>
      </c>
    </row>
    <row r="520" spans="1:71">
      <c r="A520" s="28">
        <f t="shared" si="111"/>
        <v>519</v>
      </c>
      <c r="B520" s="31" t="s">
        <v>1481</v>
      </c>
      <c r="C520" s="30" t="s">
        <v>92</v>
      </c>
      <c r="D520" s="30" t="s">
        <v>110</v>
      </c>
      <c r="E520" s="30" t="s">
        <v>111</v>
      </c>
      <c r="F520" s="30" t="s">
        <v>1474</v>
      </c>
      <c r="G520" s="30" t="s">
        <v>495</v>
      </c>
      <c r="H520" s="35" t="s">
        <v>496</v>
      </c>
      <c r="I520" s="30"/>
      <c r="J520" s="30"/>
      <c r="K520" s="31" t="s">
        <v>1492</v>
      </c>
      <c r="L520" s="40">
        <v>500000</v>
      </c>
      <c r="M520" s="39" t="s">
        <v>57</v>
      </c>
      <c r="N520" s="31"/>
      <c r="O520" s="30" t="s">
        <v>115</v>
      </c>
      <c r="P520" s="30"/>
      <c r="Q520" s="89">
        <v>0.58</v>
      </c>
      <c r="R520" s="47">
        <f t="shared" si="112"/>
        <v>14500</v>
      </c>
      <c r="S520" s="75">
        <v>0</v>
      </c>
      <c r="T520" s="48">
        <f t="shared" si="113"/>
        <v>25000</v>
      </c>
      <c r="U520" s="40"/>
      <c r="V520" s="40"/>
      <c r="W520" s="40"/>
      <c r="X520" s="39"/>
      <c r="Y520" s="39"/>
      <c r="Z520" s="39"/>
      <c r="AA520" s="39"/>
      <c r="AB520" s="39"/>
      <c r="AC520" s="39"/>
      <c r="AD520" s="39">
        <v>5000</v>
      </c>
      <c r="AE520" s="39">
        <v>10000</v>
      </c>
      <c r="AF520" s="39">
        <v>10000</v>
      </c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30" t="s">
        <v>93</v>
      </c>
      <c r="AT520" s="30" t="s">
        <v>116</v>
      </c>
      <c r="AU520" s="30" t="s">
        <v>788</v>
      </c>
      <c r="AV520" s="30" t="s">
        <v>117</v>
      </c>
      <c r="AW520" s="30" t="s">
        <v>553</v>
      </c>
      <c r="AX520" s="30" t="s">
        <v>1470</v>
      </c>
      <c r="AY520" s="30" t="s">
        <v>1493</v>
      </c>
      <c r="AZ520" s="30"/>
      <c r="BA520" s="30"/>
      <c r="BB520" s="30"/>
      <c r="BC520" s="58"/>
      <c r="BD520" s="30"/>
      <c r="BE520" s="55"/>
      <c r="BF520" s="55"/>
      <c r="BG520" s="55"/>
      <c r="BH520" s="55"/>
      <c r="BI520" s="55"/>
      <c r="BJ520" s="64"/>
      <c r="BK520" s="39"/>
      <c r="BL520" s="63">
        <f t="shared" si="103"/>
        <v>0</v>
      </c>
      <c r="BM520" s="63">
        <f t="shared" si="104"/>
        <v>0</v>
      </c>
      <c r="BN520" s="63">
        <f t="shared" si="105"/>
        <v>0</v>
      </c>
      <c r="BO520" s="63">
        <f t="shared" si="106"/>
        <v>0</v>
      </c>
      <c r="BP520" s="63">
        <f t="shared" si="107"/>
        <v>0</v>
      </c>
      <c r="BQ520" s="63">
        <f t="shared" si="108"/>
        <v>2900</v>
      </c>
      <c r="BR520" s="63">
        <f t="shared" si="109"/>
        <v>5800</v>
      </c>
      <c r="BS520" s="63">
        <f t="shared" si="110"/>
        <v>5800</v>
      </c>
    </row>
    <row r="521" spans="1:71">
      <c r="A521" s="28">
        <f t="shared" si="111"/>
        <v>520</v>
      </c>
      <c r="B521" s="31" t="s">
        <v>1494</v>
      </c>
      <c r="C521" s="30" t="s">
        <v>72</v>
      </c>
      <c r="D521" s="30" t="s">
        <v>110</v>
      </c>
      <c r="E521" s="30" t="s">
        <v>111</v>
      </c>
      <c r="F521" s="30" t="s">
        <v>1474</v>
      </c>
      <c r="G521" s="30" t="s">
        <v>362</v>
      </c>
      <c r="H521" s="35"/>
      <c r="I521" s="30"/>
      <c r="J521" s="30"/>
      <c r="K521" s="31" t="s">
        <v>1495</v>
      </c>
      <c r="L521" s="40">
        <v>50000</v>
      </c>
      <c r="M521" s="39" t="s">
        <v>114</v>
      </c>
      <c r="N521" s="31"/>
      <c r="O521" s="30" t="s">
        <v>115</v>
      </c>
      <c r="P521" s="30"/>
      <c r="Q521" s="89">
        <v>2.4</v>
      </c>
      <c r="R521" s="47">
        <f t="shared" si="112"/>
        <v>79200</v>
      </c>
      <c r="S521" s="75">
        <v>0</v>
      </c>
      <c r="T521" s="48">
        <f t="shared" si="113"/>
        <v>33000</v>
      </c>
      <c r="U521" s="40">
        <v>500</v>
      </c>
      <c r="V521" s="40"/>
      <c r="W521" s="40"/>
      <c r="X521" s="39"/>
      <c r="Y521" s="39">
        <v>3000</v>
      </c>
      <c r="Z521" s="39">
        <v>3000</v>
      </c>
      <c r="AA521" s="39">
        <v>5000</v>
      </c>
      <c r="AB521" s="39">
        <v>5000</v>
      </c>
      <c r="AC521" s="39">
        <v>5000</v>
      </c>
      <c r="AD521" s="39">
        <v>5000</v>
      </c>
      <c r="AE521" s="39">
        <v>5000</v>
      </c>
      <c r="AF521" s="39">
        <v>5000</v>
      </c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30" t="s">
        <v>116</v>
      </c>
      <c r="AT521" s="30" t="s">
        <v>116</v>
      </c>
      <c r="AU521" s="30" t="s">
        <v>532</v>
      </c>
      <c r="AV521" s="30" t="s">
        <v>106</v>
      </c>
      <c r="AW521" s="30" t="s">
        <v>638</v>
      </c>
      <c r="AX521" s="30" t="s">
        <v>649</v>
      </c>
      <c r="AY521" s="30" t="s">
        <v>1495</v>
      </c>
      <c r="AZ521" s="30"/>
      <c r="BA521" s="30"/>
      <c r="BB521" s="30"/>
      <c r="BC521" s="58">
        <v>1</v>
      </c>
      <c r="BD521" s="30">
        <v>45646</v>
      </c>
      <c r="BE521" s="55">
        <v>45432</v>
      </c>
      <c r="BF521" s="55">
        <v>45432</v>
      </c>
      <c r="BG521" s="55">
        <v>45463</v>
      </c>
      <c r="BH521" s="55">
        <v>45493</v>
      </c>
      <c r="BI521" s="55">
        <v>45585</v>
      </c>
      <c r="BJ521" s="64">
        <v>1</v>
      </c>
      <c r="BK521" s="39">
        <v>5</v>
      </c>
      <c r="BL521" s="63">
        <f t="shared" si="103"/>
        <v>7200</v>
      </c>
      <c r="BM521" s="63">
        <f t="shared" si="104"/>
        <v>7200</v>
      </c>
      <c r="BN521" s="63">
        <f t="shared" si="105"/>
        <v>12000</v>
      </c>
      <c r="BO521" s="63">
        <f t="shared" si="106"/>
        <v>12000</v>
      </c>
      <c r="BP521" s="63">
        <f t="shared" si="107"/>
        <v>12000</v>
      </c>
      <c r="BQ521" s="63">
        <f t="shared" si="108"/>
        <v>12000</v>
      </c>
      <c r="BR521" s="63">
        <f t="shared" si="109"/>
        <v>12000</v>
      </c>
      <c r="BS521" s="63">
        <f t="shared" si="110"/>
        <v>12000</v>
      </c>
    </row>
    <row r="522" spans="1:71">
      <c r="A522" s="28">
        <f t="shared" si="111"/>
        <v>521</v>
      </c>
      <c r="B522" s="31" t="s">
        <v>1496</v>
      </c>
      <c r="C522" s="30" t="s">
        <v>92</v>
      </c>
      <c r="D522" s="30" t="s">
        <v>110</v>
      </c>
      <c r="E522" s="30" t="s">
        <v>111</v>
      </c>
      <c r="F522" s="30" t="s">
        <v>1474</v>
      </c>
      <c r="G522" s="30" t="s">
        <v>415</v>
      </c>
      <c r="H522" s="35" t="s">
        <v>416</v>
      </c>
      <c r="I522" s="30"/>
      <c r="J522" s="30"/>
      <c r="K522" s="31" t="s">
        <v>548</v>
      </c>
      <c r="L522" s="40">
        <v>200000</v>
      </c>
      <c r="M522" s="39" t="s">
        <v>57</v>
      </c>
      <c r="N522" s="31"/>
      <c r="O522" s="30" t="s">
        <v>1186</v>
      </c>
      <c r="P522" s="30"/>
      <c r="Q522" s="89">
        <v>3.6</v>
      </c>
      <c r="R522" s="47">
        <f t="shared" si="112"/>
        <v>90000</v>
      </c>
      <c r="S522" s="75">
        <v>0</v>
      </c>
      <c r="T522" s="48">
        <f t="shared" si="113"/>
        <v>25000</v>
      </c>
      <c r="U522" s="40"/>
      <c r="V522" s="40"/>
      <c r="W522" s="40"/>
      <c r="X522" s="39"/>
      <c r="Y522" s="39"/>
      <c r="Z522" s="39"/>
      <c r="AA522" s="39"/>
      <c r="AB522" s="39"/>
      <c r="AC522" s="39"/>
      <c r="AD522" s="39">
        <v>5000</v>
      </c>
      <c r="AE522" s="39">
        <v>10000</v>
      </c>
      <c r="AF522" s="39">
        <v>10000</v>
      </c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30" t="s">
        <v>705</v>
      </c>
      <c r="AT522" s="30" t="s">
        <v>116</v>
      </c>
      <c r="AU522" s="30" t="s">
        <v>545</v>
      </c>
      <c r="AV522" s="30" t="s">
        <v>106</v>
      </c>
      <c r="AW522" s="30" t="s">
        <v>638</v>
      </c>
      <c r="AX522" s="30" t="s">
        <v>649</v>
      </c>
      <c r="AY522" s="30" t="s">
        <v>1495</v>
      </c>
      <c r="AZ522" s="30"/>
      <c r="BA522" s="30"/>
      <c r="BB522" s="30"/>
      <c r="BC522" s="58">
        <v>1</v>
      </c>
      <c r="BD522" s="30">
        <v>45646</v>
      </c>
      <c r="BE522" s="55">
        <v>45432</v>
      </c>
      <c r="BF522" s="55">
        <v>45432</v>
      </c>
      <c r="BG522" s="55">
        <v>45463</v>
      </c>
      <c r="BH522" s="55">
        <v>45493</v>
      </c>
      <c r="BI522" s="55">
        <v>45585</v>
      </c>
      <c r="BJ522" s="64">
        <v>1</v>
      </c>
      <c r="BK522" s="39">
        <v>5</v>
      </c>
      <c r="BL522" s="63">
        <f t="shared" si="103"/>
        <v>0</v>
      </c>
      <c r="BM522" s="63">
        <f t="shared" si="104"/>
        <v>0</v>
      </c>
      <c r="BN522" s="63">
        <f t="shared" si="105"/>
        <v>0</v>
      </c>
      <c r="BO522" s="63">
        <f t="shared" si="106"/>
        <v>0</v>
      </c>
      <c r="BP522" s="63">
        <f t="shared" si="107"/>
        <v>0</v>
      </c>
      <c r="BQ522" s="63">
        <f t="shared" si="108"/>
        <v>18000</v>
      </c>
      <c r="BR522" s="63">
        <f t="shared" si="109"/>
        <v>36000</v>
      </c>
      <c r="BS522" s="63">
        <f t="shared" si="110"/>
        <v>36000</v>
      </c>
    </row>
    <row r="523" spans="1:71">
      <c r="A523" s="28">
        <f t="shared" si="111"/>
        <v>522</v>
      </c>
      <c r="B523" s="31" t="s">
        <v>1496</v>
      </c>
      <c r="C523" s="30" t="s">
        <v>92</v>
      </c>
      <c r="D523" s="30" t="s">
        <v>110</v>
      </c>
      <c r="E523" s="30" t="s">
        <v>111</v>
      </c>
      <c r="F523" s="30" t="s">
        <v>1474</v>
      </c>
      <c r="G523" s="30" t="s">
        <v>411</v>
      </c>
      <c r="H523" s="35" t="s">
        <v>412</v>
      </c>
      <c r="I523" s="30"/>
      <c r="J523" s="30"/>
      <c r="K523" s="31" t="s">
        <v>548</v>
      </c>
      <c r="L523" s="40">
        <v>200000</v>
      </c>
      <c r="M523" s="39" t="s">
        <v>57</v>
      </c>
      <c r="N523" s="31"/>
      <c r="O523" s="30" t="s">
        <v>1497</v>
      </c>
      <c r="P523" s="30"/>
      <c r="Q523" s="89">
        <v>3.6</v>
      </c>
      <c r="R523" s="47">
        <f t="shared" si="112"/>
        <v>90000</v>
      </c>
      <c r="S523" s="75">
        <v>0</v>
      </c>
      <c r="T523" s="48">
        <f t="shared" si="113"/>
        <v>25000</v>
      </c>
      <c r="U523" s="40"/>
      <c r="V523" s="40"/>
      <c r="W523" s="40"/>
      <c r="X523" s="39"/>
      <c r="Y523" s="39"/>
      <c r="Z523" s="39"/>
      <c r="AA523" s="39"/>
      <c r="AB523" s="39"/>
      <c r="AC523" s="39"/>
      <c r="AD523" s="39">
        <v>5000</v>
      </c>
      <c r="AE523" s="39">
        <v>10000</v>
      </c>
      <c r="AF523" s="39">
        <v>10000</v>
      </c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30" t="s">
        <v>705</v>
      </c>
      <c r="AT523" s="30" t="s">
        <v>116</v>
      </c>
      <c r="AU523" s="30" t="s">
        <v>545</v>
      </c>
      <c r="AV523" s="30" t="s">
        <v>106</v>
      </c>
      <c r="AW523" s="30" t="s">
        <v>638</v>
      </c>
      <c r="AX523" s="30" t="s">
        <v>649</v>
      </c>
      <c r="AY523" s="30" t="s">
        <v>1495</v>
      </c>
      <c r="AZ523" s="30"/>
      <c r="BA523" s="30"/>
      <c r="BB523" s="30"/>
      <c r="BC523" s="58"/>
      <c r="BD523" s="30"/>
      <c r="BE523" s="55"/>
      <c r="BF523" s="55"/>
      <c r="BG523" s="55"/>
      <c r="BH523" s="55"/>
      <c r="BI523" s="55"/>
      <c r="BJ523" s="64"/>
      <c r="BK523" s="39"/>
      <c r="BL523" s="63">
        <f t="shared" si="103"/>
        <v>0</v>
      </c>
      <c r="BM523" s="63">
        <f t="shared" si="104"/>
        <v>0</v>
      </c>
      <c r="BN523" s="63">
        <f t="shared" si="105"/>
        <v>0</v>
      </c>
      <c r="BO523" s="63">
        <f t="shared" si="106"/>
        <v>0</v>
      </c>
      <c r="BP523" s="63">
        <f t="shared" si="107"/>
        <v>0</v>
      </c>
      <c r="BQ523" s="63">
        <f t="shared" si="108"/>
        <v>18000</v>
      </c>
      <c r="BR523" s="63">
        <f t="shared" si="109"/>
        <v>36000</v>
      </c>
      <c r="BS523" s="63">
        <f t="shared" si="110"/>
        <v>36000</v>
      </c>
    </row>
    <row r="524" spans="1:71">
      <c r="A524" s="28">
        <f t="shared" si="111"/>
        <v>523</v>
      </c>
      <c r="B524" s="31" t="s">
        <v>1498</v>
      </c>
      <c r="C524" s="30" t="s">
        <v>72</v>
      </c>
      <c r="D524" s="30" t="s">
        <v>110</v>
      </c>
      <c r="E524" s="30" t="s">
        <v>111</v>
      </c>
      <c r="F524" s="30" t="s">
        <v>112</v>
      </c>
      <c r="G524" s="30" t="s">
        <v>238</v>
      </c>
      <c r="H524" s="35" t="s">
        <v>239</v>
      </c>
      <c r="I524" s="30"/>
      <c r="J524" s="30"/>
      <c r="K524" s="31" t="s">
        <v>1499</v>
      </c>
      <c r="L524" s="40">
        <v>500000</v>
      </c>
      <c r="M524" s="39" t="s">
        <v>56</v>
      </c>
      <c r="N524" s="31"/>
      <c r="O524" s="30" t="s">
        <v>115</v>
      </c>
      <c r="P524" s="30"/>
      <c r="Q524" s="89">
        <v>3.8</v>
      </c>
      <c r="R524" s="47">
        <f t="shared" si="112"/>
        <v>57000</v>
      </c>
      <c r="S524" s="75">
        <v>0</v>
      </c>
      <c r="T524" s="48">
        <f t="shared" si="113"/>
        <v>15000</v>
      </c>
      <c r="U524" s="40"/>
      <c r="V524" s="40"/>
      <c r="W524" s="40"/>
      <c r="X524" s="39"/>
      <c r="Y524" s="39"/>
      <c r="Z524" s="39"/>
      <c r="AA524" s="39"/>
      <c r="AB524" s="39"/>
      <c r="AC524" s="39"/>
      <c r="AD524" s="39">
        <v>5000</v>
      </c>
      <c r="AE524" s="39">
        <v>5000</v>
      </c>
      <c r="AF524" s="39">
        <v>5000</v>
      </c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30" t="s">
        <v>116</v>
      </c>
      <c r="AT524" s="30" t="s">
        <v>116</v>
      </c>
      <c r="AU524" s="30" t="s">
        <v>81</v>
      </c>
      <c r="AV524" s="30" t="s">
        <v>581</v>
      </c>
      <c r="AW524" s="30" t="s">
        <v>582</v>
      </c>
      <c r="AX524" s="30"/>
      <c r="AY524" s="30"/>
      <c r="AZ524" s="30"/>
      <c r="BA524" s="30"/>
      <c r="BB524" s="30"/>
      <c r="BC524" s="58"/>
      <c r="BD524" s="30">
        <v>45797</v>
      </c>
      <c r="BE524" s="55">
        <v>45555</v>
      </c>
      <c r="BF524" s="55">
        <v>45585</v>
      </c>
      <c r="BG524" s="55">
        <v>45616</v>
      </c>
      <c r="BH524" s="55">
        <v>45371</v>
      </c>
      <c r="BI524" s="55">
        <v>45432</v>
      </c>
      <c r="BJ524" s="64">
        <v>1</v>
      </c>
      <c r="BK524" s="39">
        <v>5</v>
      </c>
      <c r="BL524" s="63">
        <f t="shared" si="103"/>
        <v>0</v>
      </c>
      <c r="BM524" s="63">
        <f t="shared" si="104"/>
        <v>0</v>
      </c>
      <c r="BN524" s="63">
        <f t="shared" si="105"/>
        <v>0</v>
      </c>
      <c r="BO524" s="63">
        <f t="shared" si="106"/>
        <v>0</v>
      </c>
      <c r="BP524" s="63">
        <f t="shared" si="107"/>
        <v>0</v>
      </c>
      <c r="BQ524" s="63">
        <f t="shared" si="108"/>
        <v>19000</v>
      </c>
      <c r="BR524" s="63">
        <f t="shared" si="109"/>
        <v>19000</v>
      </c>
      <c r="BS524" s="63">
        <f t="shared" si="110"/>
        <v>19000</v>
      </c>
    </row>
    <row r="525" spans="1:71">
      <c r="A525" s="28">
        <f t="shared" si="111"/>
        <v>524</v>
      </c>
      <c r="B525" s="31" t="s">
        <v>1500</v>
      </c>
      <c r="C525" s="30" t="s">
        <v>72</v>
      </c>
      <c r="D525" s="30" t="s">
        <v>683</v>
      </c>
      <c r="E525" s="30" t="s">
        <v>111</v>
      </c>
      <c r="F525" s="30" t="s">
        <v>1501</v>
      </c>
      <c r="G525" s="30" t="s">
        <v>266</v>
      </c>
      <c r="H525" s="35" t="s">
        <v>267</v>
      </c>
      <c r="I525" s="30"/>
      <c r="J525" s="30"/>
      <c r="K525" s="31" t="s">
        <v>765</v>
      </c>
      <c r="L525" s="40">
        <v>100000</v>
      </c>
      <c r="M525" s="39" t="s">
        <v>79</v>
      </c>
      <c r="N525" s="31"/>
      <c r="O525" s="30" t="s">
        <v>115</v>
      </c>
      <c r="P525" s="30"/>
      <c r="Q525" s="89">
        <v>0.55</v>
      </c>
      <c r="R525" s="47">
        <f t="shared" si="112"/>
        <v>19250</v>
      </c>
      <c r="S525" s="75">
        <v>0</v>
      </c>
      <c r="T525" s="48">
        <f t="shared" si="113"/>
        <v>35000</v>
      </c>
      <c r="U525" s="40"/>
      <c r="V525" s="40"/>
      <c r="W525" s="40"/>
      <c r="X525" s="39">
        <v>5000</v>
      </c>
      <c r="Y525" s="39">
        <v>5000</v>
      </c>
      <c r="Z525" s="39">
        <v>5000</v>
      </c>
      <c r="AA525" s="39">
        <v>5000</v>
      </c>
      <c r="AB525" s="39">
        <v>5000</v>
      </c>
      <c r="AC525" s="39">
        <v>5000</v>
      </c>
      <c r="AD525" s="39">
        <v>5000</v>
      </c>
      <c r="AE525" s="39">
        <v>5000</v>
      </c>
      <c r="AF525" s="39">
        <v>5000</v>
      </c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30" t="s">
        <v>116</v>
      </c>
      <c r="AT525" s="30" t="s">
        <v>116</v>
      </c>
      <c r="AU525" s="30" t="s">
        <v>81</v>
      </c>
      <c r="AV525" s="30" t="s">
        <v>106</v>
      </c>
      <c r="AW525" s="30" t="s">
        <v>638</v>
      </c>
      <c r="AX525" s="30"/>
      <c r="AY525" s="30"/>
      <c r="AZ525" s="30"/>
      <c r="BA525" s="30"/>
      <c r="BB525" s="30"/>
      <c r="BC525" s="58">
        <v>2</v>
      </c>
      <c r="BD525" s="30">
        <v>45555</v>
      </c>
      <c r="BE525" s="55">
        <v>45402</v>
      </c>
      <c r="BF525" s="55">
        <v>45432</v>
      </c>
      <c r="BG525" s="55">
        <v>45463</v>
      </c>
      <c r="BH525" s="55">
        <v>45493</v>
      </c>
      <c r="BI525" s="55">
        <v>45524</v>
      </c>
      <c r="BJ525" s="64">
        <v>1</v>
      </c>
      <c r="BK525" s="39">
        <v>5</v>
      </c>
      <c r="BL525" s="63">
        <f t="shared" si="103"/>
        <v>2750</v>
      </c>
      <c r="BM525" s="63">
        <f t="shared" si="104"/>
        <v>2750</v>
      </c>
      <c r="BN525" s="63">
        <f t="shared" si="105"/>
        <v>2750</v>
      </c>
      <c r="BO525" s="63">
        <f t="shared" si="106"/>
        <v>2750</v>
      </c>
      <c r="BP525" s="63">
        <f t="shared" si="107"/>
        <v>2750</v>
      </c>
      <c r="BQ525" s="63">
        <f t="shared" si="108"/>
        <v>2750</v>
      </c>
      <c r="BR525" s="63">
        <f t="shared" si="109"/>
        <v>2750</v>
      </c>
      <c r="BS525" s="63">
        <f t="shared" si="110"/>
        <v>2750</v>
      </c>
    </row>
    <row r="526" spans="1:71">
      <c r="A526" s="28">
        <f t="shared" si="111"/>
        <v>525</v>
      </c>
      <c r="B526" s="31" t="s">
        <v>1502</v>
      </c>
      <c r="C526" s="30" t="s">
        <v>72</v>
      </c>
      <c r="D526" s="30" t="s">
        <v>683</v>
      </c>
      <c r="E526" s="30" t="s">
        <v>111</v>
      </c>
      <c r="F526" s="30" t="s">
        <v>1501</v>
      </c>
      <c r="G526" s="30" t="s">
        <v>411</v>
      </c>
      <c r="H526" s="35" t="s">
        <v>412</v>
      </c>
      <c r="I526" s="30"/>
      <c r="J526" s="30"/>
      <c r="K526" s="31" t="s">
        <v>1503</v>
      </c>
      <c r="L526" s="40">
        <v>96000</v>
      </c>
      <c r="M526" s="39" t="s">
        <v>114</v>
      </c>
      <c r="N526" s="31"/>
      <c r="O526" s="30" t="s">
        <v>1186</v>
      </c>
      <c r="P526" s="30"/>
      <c r="Q526" s="89">
        <v>3.8</v>
      </c>
      <c r="R526" s="47">
        <f t="shared" si="112"/>
        <v>0</v>
      </c>
      <c r="S526" s="75">
        <v>0</v>
      </c>
      <c r="T526" s="48">
        <f t="shared" si="113"/>
        <v>0</v>
      </c>
      <c r="U526" s="40"/>
      <c r="V526" s="40"/>
      <c r="W526" s="40"/>
      <c r="X526" s="39"/>
      <c r="Y526" s="39"/>
      <c r="Z526" s="39"/>
      <c r="AA526" s="39"/>
      <c r="AB526" s="39"/>
      <c r="AC526" s="39"/>
      <c r="AD526" s="39"/>
      <c r="AE526" s="39"/>
      <c r="AF526" s="39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30" t="s">
        <v>705</v>
      </c>
      <c r="AT526" s="30" t="s">
        <v>116</v>
      </c>
      <c r="AU526" s="30" t="s">
        <v>545</v>
      </c>
      <c r="AV526" s="30" t="s">
        <v>117</v>
      </c>
      <c r="AW526" s="30" t="s">
        <v>706</v>
      </c>
      <c r="AX526" s="30" t="s">
        <v>1504</v>
      </c>
      <c r="AY526" s="30" t="s">
        <v>903</v>
      </c>
      <c r="AZ526" s="30" t="s">
        <v>1505</v>
      </c>
      <c r="BA526" s="30"/>
      <c r="BB526" s="30"/>
      <c r="BC526" s="58">
        <v>1</v>
      </c>
      <c r="BD526" s="30">
        <v>45708</v>
      </c>
      <c r="BE526" s="55">
        <v>45555</v>
      </c>
      <c r="BF526" s="55">
        <v>45595</v>
      </c>
      <c r="BG526" s="55">
        <v>45616</v>
      </c>
      <c r="BH526" s="55">
        <v>45646</v>
      </c>
      <c r="BI526" s="55">
        <v>45677</v>
      </c>
      <c r="BJ526" s="64">
        <v>1</v>
      </c>
      <c r="BK526" s="39">
        <v>5</v>
      </c>
      <c r="BL526" s="63">
        <f t="shared" si="103"/>
        <v>0</v>
      </c>
      <c r="BM526" s="63">
        <f t="shared" si="104"/>
        <v>0</v>
      </c>
      <c r="BN526" s="63">
        <f t="shared" si="105"/>
        <v>0</v>
      </c>
      <c r="BO526" s="63">
        <f t="shared" si="106"/>
        <v>0</v>
      </c>
      <c r="BP526" s="63">
        <f t="shared" si="107"/>
        <v>0</v>
      </c>
      <c r="BQ526" s="63">
        <f t="shared" si="108"/>
        <v>0</v>
      </c>
      <c r="BR526" s="63">
        <f t="shared" si="109"/>
        <v>0</v>
      </c>
      <c r="BS526" s="63">
        <f t="shared" si="110"/>
        <v>0</v>
      </c>
    </row>
    <row r="527" spans="1:71">
      <c r="A527" s="28">
        <f t="shared" si="111"/>
        <v>526</v>
      </c>
      <c r="B527" s="31" t="s">
        <v>1502</v>
      </c>
      <c r="C527" s="30" t="s">
        <v>72</v>
      </c>
      <c r="D527" s="30" t="s">
        <v>683</v>
      </c>
      <c r="E527" s="30" t="s">
        <v>111</v>
      </c>
      <c r="F527" s="30" t="s">
        <v>1501</v>
      </c>
      <c r="G527" s="30" t="s">
        <v>465</v>
      </c>
      <c r="H527" s="35" t="s">
        <v>466</v>
      </c>
      <c r="I527" s="30"/>
      <c r="J527" s="30"/>
      <c r="K527" s="31" t="s">
        <v>689</v>
      </c>
      <c r="L527" s="40">
        <v>180000</v>
      </c>
      <c r="M527" s="39" t="s">
        <v>57</v>
      </c>
      <c r="N527" s="31"/>
      <c r="O527" s="30" t="s">
        <v>736</v>
      </c>
      <c r="P527" s="30"/>
      <c r="Q527" s="89">
        <v>7.35</v>
      </c>
      <c r="R527" s="47">
        <f t="shared" si="112"/>
        <v>0</v>
      </c>
      <c r="S527" s="75">
        <v>0</v>
      </c>
      <c r="T527" s="48">
        <f t="shared" si="113"/>
        <v>0</v>
      </c>
      <c r="U527" s="40"/>
      <c r="V527" s="40"/>
      <c r="W527" s="40"/>
      <c r="X527" s="39"/>
      <c r="Y527" s="39"/>
      <c r="Z527" s="39"/>
      <c r="AA527" s="39"/>
      <c r="AB527" s="39"/>
      <c r="AC527" s="39"/>
      <c r="AD527" s="39"/>
      <c r="AE527" s="39"/>
      <c r="AF527" s="39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30" t="s">
        <v>552</v>
      </c>
      <c r="AT527" s="30" t="s">
        <v>116</v>
      </c>
      <c r="AU527" s="30" t="s">
        <v>688</v>
      </c>
      <c r="AV527" s="30" t="s">
        <v>117</v>
      </c>
      <c r="AW527" s="30" t="s">
        <v>546</v>
      </c>
      <c r="AX527" s="30" t="s">
        <v>547</v>
      </c>
      <c r="AY527" s="30" t="s">
        <v>689</v>
      </c>
      <c r="AZ527" s="30" t="s">
        <v>1506</v>
      </c>
      <c r="BA527" s="30"/>
      <c r="BB527" s="30"/>
      <c r="BC527" s="58">
        <v>1</v>
      </c>
      <c r="BD527" s="30">
        <v>45797</v>
      </c>
      <c r="BE527" s="55">
        <v>45555</v>
      </c>
      <c r="BF527" s="55">
        <v>45595</v>
      </c>
      <c r="BG527" s="55">
        <v>45600</v>
      </c>
      <c r="BH527" s="55">
        <v>45646</v>
      </c>
      <c r="BI527" s="55">
        <v>45708</v>
      </c>
      <c r="BJ527" s="64">
        <v>1</v>
      </c>
      <c r="BK527" s="39">
        <v>5</v>
      </c>
      <c r="BL527" s="63">
        <f t="shared" si="103"/>
        <v>0</v>
      </c>
      <c r="BM527" s="63">
        <f t="shared" si="104"/>
        <v>0</v>
      </c>
      <c r="BN527" s="63">
        <f t="shared" si="105"/>
        <v>0</v>
      </c>
      <c r="BO527" s="63">
        <f t="shared" si="106"/>
        <v>0</v>
      </c>
      <c r="BP527" s="63">
        <f t="shared" si="107"/>
        <v>0</v>
      </c>
      <c r="BQ527" s="63">
        <f t="shared" si="108"/>
        <v>0</v>
      </c>
      <c r="BR527" s="63">
        <f t="shared" si="109"/>
        <v>0</v>
      </c>
      <c r="BS527" s="63">
        <f t="shared" si="110"/>
        <v>0</v>
      </c>
    </row>
    <row r="528" spans="1:71">
      <c r="A528" s="28">
        <f t="shared" si="111"/>
        <v>527</v>
      </c>
      <c r="B528" s="31" t="s">
        <v>1502</v>
      </c>
      <c r="C528" s="30" t="s">
        <v>72</v>
      </c>
      <c r="D528" s="30" t="s">
        <v>683</v>
      </c>
      <c r="E528" s="30" t="s">
        <v>111</v>
      </c>
      <c r="F528" s="30" t="s">
        <v>1501</v>
      </c>
      <c r="G528" s="30" t="s">
        <v>448</v>
      </c>
      <c r="H528" s="35" t="s">
        <v>449</v>
      </c>
      <c r="I528" s="30"/>
      <c r="J528" s="30"/>
      <c r="K528" s="31" t="s">
        <v>745</v>
      </c>
      <c r="L528" s="40">
        <v>120000</v>
      </c>
      <c r="M528" s="39" t="s">
        <v>57</v>
      </c>
      <c r="N528" s="31"/>
      <c r="O528" s="30" t="s">
        <v>1451</v>
      </c>
      <c r="P528" s="30"/>
      <c r="Q528" s="89">
        <v>2.42</v>
      </c>
      <c r="R528" s="47">
        <f t="shared" si="112"/>
        <v>67760</v>
      </c>
      <c r="S528" s="75">
        <v>0</v>
      </c>
      <c r="T528" s="48">
        <f t="shared" si="113"/>
        <v>28000</v>
      </c>
      <c r="U528" s="40"/>
      <c r="V528" s="40"/>
      <c r="W528" s="40"/>
      <c r="X528" s="39"/>
      <c r="Y528" s="39">
        <v>2000</v>
      </c>
      <c r="Z528" s="39">
        <v>2000</v>
      </c>
      <c r="AA528" s="39">
        <v>3000</v>
      </c>
      <c r="AB528" s="39">
        <v>3000</v>
      </c>
      <c r="AC528" s="39">
        <v>5000</v>
      </c>
      <c r="AD528" s="39">
        <v>5000</v>
      </c>
      <c r="AE528" s="39">
        <v>5000</v>
      </c>
      <c r="AF528" s="39">
        <v>5000</v>
      </c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30" t="s">
        <v>552</v>
      </c>
      <c r="AT528" s="30" t="s">
        <v>116</v>
      </c>
      <c r="AU528" s="30" t="s">
        <v>688</v>
      </c>
      <c r="AV528" s="30" t="s">
        <v>117</v>
      </c>
      <c r="AW528" s="30" t="s">
        <v>118</v>
      </c>
      <c r="AX528" s="30" t="s">
        <v>1507</v>
      </c>
      <c r="AY528" s="30" t="s">
        <v>1508</v>
      </c>
      <c r="AZ528" s="30" t="s">
        <v>1509</v>
      </c>
      <c r="BA528" s="30"/>
      <c r="BB528" s="30"/>
      <c r="BC528" s="58">
        <v>1</v>
      </c>
      <c r="BD528" s="30">
        <v>45828</v>
      </c>
      <c r="BE528" s="55">
        <v>45555</v>
      </c>
      <c r="BF528" s="55">
        <v>45595</v>
      </c>
      <c r="BG528" s="55">
        <v>45600</v>
      </c>
      <c r="BH528" s="55">
        <v>45677</v>
      </c>
      <c r="BI528" s="55">
        <v>45708</v>
      </c>
      <c r="BJ528" s="64">
        <v>1</v>
      </c>
      <c r="BK528" s="39">
        <v>5</v>
      </c>
      <c r="BL528" s="63">
        <f t="shared" si="103"/>
        <v>4840</v>
      </c>
      <c r="BM528" s="63">
        <f t="shared" si="104"/>
        <v>4840</v>
      </c>
      <c r="BN528" s="63">
        <f t="shared" si="105"/>
        <v>7260</v>
      </c>
      <c r="BO528" s="63">
        <f t="shared" si="106"/>
        <v>7260</v>
      </c>
      <c r="BP528" s="63">
        <f t="shared" si="107"/>
        <v>12100</v>
      </c>
      <c r="BQ528" s="63">
        <f t="shared" si="108"/>
        <v>12100</v>
      </c>
      <c r="BR528" s="63">
        <f t="shared" si="109"/>
        <v>12100</v>
      </c>
      <c r="BS528" s="63">
        <f t="shared" si="110"/>
        <v>12100</v>
      </c>
    </row>
    <row r="529" spans="1:71">
      <c r="A529" s="28">
        <f t="shared" si="111"/>
        <v>528</v>
      </c>
      <c r="B529" s="31" t="s">
        <v>1502</v>
      </c>
      <c r="C529" s="30" t="s">
        <v>72</v>
      </c>
      <c r="D529" s="30" t="s">
        <v>683</v>
      </c>
      <c r="E529" s="30" t="s">
        <v>111</v>
      </c>
      <c r="F529" s="30" t="s">
        <v>1501</v>
      </c>
      <c r="G529" s="30" t="s">
        <v>270</v>
      </c>
      <c r="H529" s="35" t="s">
        <v>271</v>
      </c>
      <c r="I529" s="30"/>
      <c r="J529" s="30"/>
      <c r="K529" s="31" t="s">
        <v>1028</v>
      </c>
      <c r="L529" s="40">
        <v>400000</v>
      </c>
      <c r="M529" s="39" t="s">
        <v>57</v>
      </c>
      <c r="N529" s="31"/>
      <c r="O529" s="30" t="s">
        <v>1510</v>
      </c>
      <c r="P529" s="30"/>
      <c r="Q529" s="89">
        <v>0.52</v>
      </c>
      <c r="R529" s="47">
        <f t="shared" si="112"/>
        <v>9360</v>
      </c>
      <c r="S529" s="75">
        <v>0</v>
      </c>
      <c r="T529" s="48">
        <f t="shared" si="113"/>
        <v>18000</v>
      </c>
      <c r="U529" s="40"/>
      <c r="V529" s="40"/>
      <c r="W529" s="40"/>
      <c r="X529" s="39"/>
      <c r="Y529" s="39"/>
      <c r="Z529" s="39"/>
      <c r="AA529" s="39"/>
      <c r="AB529" s="39"/>
      <c r="AC529" s="39">
        <v>3000</v>
      </c>
      <c r="AD529" s="39">
        <v>5000</v>
      </c>
      <c r="AE529" s="39">
        <v>5000</v>
      </c>
      <c r="AF529" s="39">
        <v>5000</v>
      </c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30" t="s">
        <v>93</v>
      </c>
      <c r="AT529" s="30" t="s">
        <v>116</v>
      </c>
      <c r="AU529" s="30" t="s">
        <v>81</v>
      </c>
      <c r="AV529" s="30" t="s">
        <v>117</v>
      </c>
      <c r="AW529" s="30" t="s">
        <v>143</v>
      </c>
      <c r="AX529" s="30" t="s">
        <v>1030</v>
      </c>
      <c r="AY529" s="30" t="s">
        <v>1028</v>
      </c>
      <c r="AZ529" s="30" t="s">
        <v>1511</v>
      </c>
      <c r="BA529" s="30"/>
      <c r="BB529" s="30"/>
      <c r="BC529" s="58"/>
      <c r="BD529" s="30">
        <v>45950</v>
      </c>
      <c r="BE529" s="55">
        <v>45585</v>
      </c>
      <c r="BF529" s="55">
        <v>45585</v>
      </c>
      <c r="BG529" s="55">
        <v>45616</v>
      </c>
      <c r="BH529" s="55"/>
      <c r="BI529" s="55"/>
      <c r="BJ529" s="64">
        <v>1</v>
      </c>
      <c r="BK529" s="39">
        <v>5</v>
      </c>
      <c r="BL529" s="63">
        <f t="shared" si="103"/>
        <v>0</v>
      </c>
      <c r="BM529" s="63">
        <f t="shared" si="104"/>
        <v>0</v>
      </c>
      <c r="BN529" s="63">
        <f t="shared" si="105"/>
        <v>0</v>
      </c>
      <c r="BO529" s="63">
        <f t="shared" si="106"/>
        <v>0</v>
      </c>
      <c r="BP529" s="63">
        <f t="shared" si="107"/>
        <v>1560</v>
      </c>
      <c r="BQ529" s="63">
        <f t="shared" si="108"/>
        <v>2600</v>
      </c>
      <c r="BR529" s="63">
        <f t="shared" si="109"/>
        <v>2600</v>
      </c>
      <c r="BS529" s="63">
        <f t="shared" si="110"/>
        <v>2600</v>
      </c>
    </row>
    <row r="530" spans="1:71">
      <c r="A530" s="28">
        <f t="shared" si="111"/>
        <v>529</v>
      </c>
      <c r="B530" s="31" t="s">
        <v>1512</v>
      </c>
      <c r="C530" s="30" t="s">
        <v>72</v>
      </c>
      <c r="D530" s="30" t="s">
        <v>683</v>
      </c>
      <c r="E530" s="30" t="s">
        <v>111</v>
      </c>
      <c r="F530" s="30" t="s">
        <v>1501</v>
      </c>
      <c r="G530" s="30" t="s">
        <v>415</v>
      </c>
      <c r="H530" s="35" t="s">
        <v>416</v>
      </c>
      <c r="I530" s="30"/>
      <c r="J530" s="30"/>
      <c r="K530" s="31" t="s">
        <v>845</v>
      </c>
      <c r="L530" s="40">
        <v>200000</v>
      </c>
      <c r="M530" s="39" t="s">
        <v>57</v>
      </c>
      <c r="N530" s="31"/>
      <c r="O530" s="30" t="s">
        <v>1513</v>
      </c>
      <c r="P530" s="30"/>
      <c r="Q530" s="89">
        <v>3.8</v>
      </c>
      <c r="R530" s="47">
        <f t="shared" si="112"/>
        <v>114000</v>
      </c>
      <c r="S530" s="75">
        <v>0</v>
      </c>
      <c r="T530" s="48">
        <f t="shared" si="113"/>
        <v>30000</v>
      </c>
      <c r="U530" s="40"/>
      <c r="V530" s="40"/>
      <c r="W530" s="40"/>
      <c r="X530" s="39"/>
      <c r="Y530" s="39"/>
      <c r="Z530" s="39"/>
      <c r="AA530" s="39"/>
      <c r="AB530" s="39"/>
      <c r="AC530" s="39"/>
      <c r="AD530" s="39">
        <v>10000</v>
      </c>
      <c r="AE530" s="39">
        <v>10000</v>
      </c>
      <c r="AF530" s="39">
        <v>10000</v>
      </c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30" t="s">
        <v>116</v>
      </c>
      <c r="AT530" s="30" t="s">
        <v>116</v>
      </c>
      <c r="AU530" s="30" t="s">
        <v>545</v>
      </c>
      <c r="AV530" s="30" t="s">
        <v>117</v>
      </c>
      <c r="AW530" s="30" t="s">
        <v>118</v>
      </c>
      <c r="AX530" s="30" t="s">
        <v>1154</v>
      </c>
      <c r="AY530" s="30"/>
      <c r="AZ530" s="30"/>
      <c r="BA530" s="30"/>
      <c r="BB530" s="30"/>
      <c r="BC530" s="58"/>
      <c r="BD530" s="30"/>
      <c r="BE530" s="55"/>
      <c r="BF530" s="55"/>
      <c r="BG530" s="55"/>
      <c r="BH530" s="55"/>
      <c r="BI530" s="55"/>
      <c r="BJ530" s="64"/>
      <c r="BK530" s="39"/>
      <c r="BL530" s="63">
        <f t="shared" si="103"/>
        <v>0</v>
      </c>
      <c r="BM530" s="63">
        <f t="shared" si="104"/>
        <v>0</v>
      </c>
      <c r="BN530" s="63">
        <f t="shared" si="105"/>
        <v>0</v>
      </c>
      <c r="BO530" s="63">
        <f t="shared" si="106"/>
        <v>0</v>
      </c>
      <c r="BP530" s="63">
        <f t="shared" si="107"/>
        <v>0</v>
      </c>
      <c r="BQ530" s="63">
        <f t="shared" si="108"/>
        <v>38000</v>
      </c>
      <c r="BR530" s="63">
        <f t="shared" si="109"/>
        <v>38000</v>
      </c>
      <c r="BS530" s="63">
        <f t="shared" si="110"/>
        <v>38000</v>
      </c>
    </row>
    <row r="531" spans="1:71">
      <c r="A531" s="28">
        <f t="shared" si="111"/>
        <v>530</v>
      </c>
      <c r="B531" s="31" t="s">
        <v>1512</v>
      </c>
      <c r="C531" s="30" t="s">
        <v>72</v>
      </c>
      <c r="D531" s="30" t="s">
        <v>683</v>
      </c>
      <c r="E531" s="30" t="s">
        <v>111</v>
      </c>
      <c r="F531" s="30" t="s">
        <v>1501</v>
      </c>
      <c r="G531" s="30" t="s">
        <v>421</v>
      </c>
      <c r="H531" s="35" t="s">
        <v>422</v>
      </c>
      <c r="I531" s="30"/>
      <c r="J531" s="30"/>
      <c r="K531" s="31" t="s">
        <v>845</v>
      </c>
      <c r="L531" s="40">
        <v>200000</v>
      </c>
      <c r="M531" s="39" t="s">
        <v>57</v>
      </c>
      <c r="N531" s="31"/>
      <c r="O531" s="30" t="s">
        <v>1513</v>
      </c>
      <c r="P531" s="30"/>
      <c r="Q531" s="89">
        <v>3.8</v>
      </c>
      <c r="R531" s="47">
        <f t="shared" si="112"/>
        <v>114000</v>
      </c>
      <c r="S531" s="75">
        <v>0</v>
      </c>
      <c r="T531" s="48">
        <f t="shared" si="113"/>
        <v>30000</v>
      </c>
      <c r="U531" s="40"/>
      <c r="V531" s="40"/>
      <c r="W531" s="40"/>
      <c r="X531" s="39"/>
      <c r="Y531" s="39"/>
      <c r="Z531" s="39"/>
      <c r="AA531" s="39"/>
      <c r="AB531" s="39"/>
      <c r="AC531" s="39"/>
      <c r="AD531" s="39">
        <v>10000</v>
      </c>
      <c r="AE531" s="39">
        <v>10000</v>
      </c>
      <c r="AF531" s="39">
        <v>10000</v>
      </c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30" t="s">
        <v>116</v>
      </c>
      <c r="AT531" s="30" t="s">
        <v>116</v>
      </c>
      <c r="AU531" s="30" t="s">
        <v>545</v>
      </c>
      <c r="AV531" s="30" t="s">
        <v>117</v>
      </c>
      <c r="AW531" s="30" t="s">
        <v>118</v>
      </c>
      <c r="AX531" s="30" t="s">
        <v>1154</v>
      </c>
      <c r="AY531" s="30"/>
      <c r="AZ531" s="30"/>
      <c r="BA531" s="30"/>
      <c r="BB531" s="30"/>
      <c r="BC531" s="58"/>
      <c r="BD531" s="30"/>
      <c r="BE531" s="55"/>
      <c r="BF531" s="55"/>
      <c r="BG531" s="55"/>
      <c r="BH531" s="55"/>
      <c r="BI531" s="55"/>
      <c r="BJ531" s="64"/>
      <c r="BK531" s="39"/>
      <c r="BL531" s="63">
        <f t="shared" si="103"/>
        <v>0</v>
      </c>
      <c r="BM531" s="63">
        <f t="shared" si="104"/>
        <v>0</v>
      </c>
      <c r="BN531" s="63">
        <f t="shared" si="105"/>
        <v>0</v>
      </c>
      <c r="BO531" s="63">
        <f t="shared" si="106"/>
        <v>0</v>
      </c>
      <c r="BP531" s="63">
        <f t="shared" si="107"/>
        <v>0</v>
      </c>
      <c r="BQ531" s="63">
        <f t="shared" si="108"/>
        <v>38000</v>
      </c>
      <c r="BR531" s="63">
        <f t="shared" si="109"/>
        <v>38000</v>
      </c>
      <c r="BS531" s="63">
        <f t="shared" si="110"/>
        <v>38000</v>
      </c>
    </row>
    <row r="532" spans="1:71">
      <c r="A532" s="28">
        <f t="shared" si="111"/>
        <v>531</v>
      </c>
      <c r="B532" s="31" t="s">
        <v>1514</v>
      </c>
      <c r="C532" s="30" t="s">
        <v>72</v>
      </c>
      <c r="D532" s="30" t="s">
        <v>683</v>
      </c>
      <c r="E532" s="30" t="s">
        <v>111</v>
      </c>
      <c r="F532" s="30" t="s">
        <v>1501</v>
      </c>
      <c r="G532" s="30" t="s">
        <v>499</v>
      </c>
      <c r="H532" s="35" t="s">
        <v>500</v>
      </c>
      <c r="I532" s="30"/>
      <c r="J532" s="30"/>
      <c r="K532" s="31" t="s">
        <v>1515</v>
      </c>
      <c r="L532" s="40">
        <v>150000</v>
      </c>
      <c r="M532" s="39" t="s">
        <v>57</v>
      </c>
      <c r="N532" s="31"/>
      <c r="O532" s="30" t="s">
        <v>115</v>
      </c>
      <c r="P532" s="30"/>
      <c r="Q532" s="89">
        <v>0.58</v>
      </c>
      <c r="R532" s="47">
        <f t="shared" si="112"/>
        <v>17400</v>
      </c>
      <c r="S532" s="75">
        <v>0</v>
      </c>
      <c r="T532" s="48">
        <f t="shared" si="113"/>
        <v>30000</v>
      </c>
      <c r="U532" s="40"/>
      <c r="V532" s="40"/>
      <c r="W532" s="40"/>
      <c r="X532" s="39"/>
      <c r="Y532" s="39"/>
      <c r="Z532" s="39"/>
      <c r="AA532" s="39"/>
      <c r="AB532" s="39"/>
      <c r="AC532" s="39"/>
      <c r="AD532" s="39">
        <v>10000</v>
      </c>
      <c r="AE532" s="39">
        <v>10000</v>
      </c>
      <c r="AF532" s="39">
        <v>10000</v>
      </c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30" t="s">
        <v>116</v>
      </c>
      <c r="AT532" s="30" t="s">
        <v>116</v>
      </c>
      <c r="AU532" s="30" t="s">
        <v>788</v>
      </c>
      <c r="AV532" s="30" t="s">
        <v>117</v>
      </c>
      <c r="AW532" s="30" t="s">
        <v>118</v>
      </c>
      <c r="AX532" s="30" t="s">
        <v>1154</v>
      </c>
      <c r="AY532" s="30"/>
      <c r="AZ532" s="30"/>
      <c r="BA532" s="30"/>
      <c r="BB532" s="30"/>
      <c r="BC532" s="58"/>
      <c r="BD532" s="30"/>
      <c r="BE532" s="55"/>
      <c r="BF532" s="55"/>
      <c r="BG532" s="55"/>
      <c r="BH532" s="55"/>
      <c r="BI532" s="55"/>
      <c r="BJ532" s="64"/>
      <c r="BK532" s="39"/>
      <c r="BL532" s="63">
        <f t="shared" si="103"/>
        <v>0</v>
      </c>
      <c r="BM532" s="63">
        <f t="shared" si="104"/>
        <v>0</v>
      </c>
      <c r="BN532" s="63">
        <f t="shared" si="105"/>
        <v>0</v>
      </c>
      <c r="BO532" s="63">
        <f t="shared" si="106"/>
        <v>0</v>
      </c>
      <c r="BP532" s="63">
        <f t="shared" si="107"/>
        <v>0</v>
      </c>
      <c r="BQ532" s="63">
        <f t="shared" si="108"/>
        <v>5800</v>
      </c>
      <c r="BR532" s="63">
        <f t="shared" si="109"/>
        <v>5800</v>
      </c>
      <c r="BS532" s="63">
        <f t="shared" si="110"/>
        <v>5800</v>
      </c>
    </row>
    <row r="533" spans="1:71">
      <c r="A533" s="28">
        <f t="shared" si="111"/>
        <v>532</v>
      </c>
      <c r="B533" s="31" t="s">
        <v>1516</v>
      </c>
      <c r="C533" s="30" t="s">
        <v>92</v>
      </c>
      <c r="D533" s="30" t="s">
        <v>1517</v>
      </c>
      <c r="E533" s="30" t="s">
        <v>111</v>
      </c>
      <c r="F533" s="30" t="s">
        <v>1518</v>
      </c>
      <c r="G533" s="30" t="s">
        <v>270</v>
      </c>
      <c r="H533" s="35" t="s">
        <v>271</v>
      </c>
      <c r="I533" s="30"/>
      <c r="J533" s="30"/>
      <c r="K533" s="31" t="s">
        <v>1028</v>
      </c>
      <c r="L533" s="40">
        <v>200000</v>
      </c>
      <c r="M533" s="39" t="s">
        <v>56</v>
      </c>
      <c r="N533" s="31"/>
      <c r="O533" s="30" t="s">
        <v>115</v>
      </c>
      <c r="P533" s="30"/>
      <c r="Q533" s="89">
        <v>0.52</v>
      </c>
      <c r="R533" s="47">
        <f t="shared" si="112"/>
        <v>5200</v>
      </c>
      <c r="S533" s="75">
        <v>0</v>
      </c>
      <c r="T533" s="48">
        <f t="shared" si="113"/>
        <v>10000</v>
      </c>
      <c r="U533" s="40"/>
      <c r="V533" s="40"/>
      <c r="W533" s="40"/>
      <c r="X533" s="39"/>
      <c r="Y533" s="39"/>
      <c r="Z533" s="39"/>
      <c r="AA533" s="39"/>
      <c r="AB533" s="39"/>
      <c r="AC533" s="39"/>
      <c r="AD533" s="39"/>
      <c r="AE533" s="39">
        <v>5000</v>
      </c>
      <c r="AF533" s="39">
        <v>5000</v>
      </c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30" t="s">
        <v>116</v>
      </c>
      <c r="AT533" s="30" t="s">
        <v>116</v>
      </c>
      <c r="AU533" s="30" t="s">
        <v>81</v>
      </c>
      <c r="AV533" s="30" t="s">
        <v>117</v>
      </c>
      <c r="AW533" s="30" t="s">
        <v>143</v>
      </c>
      <c r="AX533" s="30" t="s">
        <v>1030</v>
      </c>
      <c r="AY533" s="30" t="s">
        <v>1028</v>
      </c>
      <c r="AZ533" s="30" t="s">
        <v>1187</v>
      </c>
      <c r="BA533" s="30"/>
      <c r="BB533" s="30"/>
      <c r="BC533" s="58"/>
      <c r="BD533" s="30">
        <v>45889</v>
      </c>
      <c r="BE533" s="55">
        <v>45555</v>
      </c>
      <c r="BF533" s="55">
        <v>45585</v>
      </c>
      <c r="BG533" s="55">
        <v>45616</v>
      </c>
      <c r="BH533" s="55"/>
      <c r="BI533" s="55"/>
      <c r="BJ533" s="64">
        <v>1</v>
      </c>
      <c r="BK533" s="39">
        <v>5</v>
      </c>
      <c r="BL533" s="63">
        <f t="shared" si="103"/>
        <v>0</v>
      </c>
      <c r="BM533" s="63">
        <f t="shared" si="104"/>
        <v>0</v>
      </c>
      <c r="BN533" s="63">
        <f t="shared" si="105"/>
        <v>0</v>
      </c>
      <c r="BO533" s="63">
        <f t="shared" si="106"/>
        <v>0</v>
      </c>
      <c r="BP533" s="63">
        <f t="shared" si="107"/>
        <v>0</v>
      </c>
      <c r="BQ533" s="63">
        <f t="shared" si="108"/>
        <v>0</v>
      </c>
      <c r="BR533" s="63">
        <f t="shared" si="109"/>
        <v>2600</v>
      </c>
      <c r="BS533" s="63">
        <f t="shared" si="110"/>
        <v>2600</v>
      </c>
    </row>
    <row r="534" spans="1:71">
      <c r="A534" s="28">
        <f t="shared" si="111"/>
        <v>533</v>
      </c>
      <c r="B534" s="31" t="s">
        <v>1519</v>
      </c>
      <c r="C534" s="30" t="s">
        <v>72</v>
      </c>
      <c r="D534" s="30" t="s">
        <v>1517</v>
      </c>
      <c r="E534" s="30" t="s">
        <v>111</v>
      </c>
      <c r="F534" s="30" t="s">
        <v>1518</v>
      </c>
      <c r="G534" s="30" t="s">
        <v>270</v>
      </c>
      <c r="H534" s="35" t="s">
        <v>271</v>
      </c>
      <c r="I534" s="30"/>
      <c r="J534" s="30"/>
      <c r="K534" s="31" t="s">
        <v>1028</v>
      </c>
      <c r="L534" s="40">
        <v>200000</v>
      </c>
      <c r="M534" s="39" t="s">
        <v>56</v>
      </c>
      <c r="N534" s="31"/>
      <c r="O534" s="30" t="s">
        <v>115</v>
      </c>
      <c r="P534" s="30"/>
      <c r="Q534" s="89">
        <v>0.52</v>
      </c>
      <c r="R534" s="47">
        <f t="shared" si="112"/>
        <v>5200</v>
      </c>
      <c r="S534" s="75">
        <v>0</v>
      </c>
      <c r="T534" s="48">
        <f t="shared" si="113"/>
        <v>10000</v>
      </c>
      <c r="U534" s="40"/>
      <c r="V534" s="40"/>
      <c r="W534" s="40"/>
      <c r="X534" s="39"/>
      <c r="Y534" s="39"/>
      <c r="Z534" s="39"/>
      <c r="AA534" s="39"/>
      <c r="AB534" s="39"/>
      <c r="AC534" s="39"/>
      <c r="AD534" s="39"/>
      <c r="AE534" s="39">
        <v>5000</v>
      </c>
      <c r="AF534" s="39">
        <v>5000</v>
      </c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30" t="s">
        <v>116</v>
      </c>
      <c r="AT534" s="30" t="s">
        <v>116</v>
      </c>
      <c r="AU534" s="30" t="s">
        <v>81</v>
      </c>
      <c r="AV534" s="30" t="s">
        <v>117</v>
      </c>
      <c r="AW534" s="30" t="s">
        <v>143</v>
      </c>
      <c r="AX534" s="30" t="s">
        <v>1030</v>
      </c>
      <c r="AY534" s="30" t="s">
        <v>1028</v>
      </c>
      <c r="AZ534" s="30" t="s">
        <v>1187</v>
      </c>
      <c r="BA534" s="30"/>
      <c r="BB534" s="30"/>
      <c r="BC534" s="58"/>
      <c r="BD534" s="30">
        <v>45889</v>
      </c>
      <c r="BE534" s="55">
        <v>45555</v>
      </c>
      <c r="BF534" s="55">
        <v>45585</v>
      </c>
      <c r="BG534" s="55">
        <v>45616</v>
      </c>
      <c r="BH534" s="55"/>
      <c r="BI534" s="55"/>
      <c r="BJ534" s="64">
        <v>1</v>
      </c>
      <c r="BK534" s="39">
        <v>5</v>
      </c>
      <c r="BL534" s="63">
        <f t="shared" si="103"/>
        <v>0</v>
      </c>
      <c r="BM534" s="63">
        <f t="shared" si="104"/>
        <v>0</v>
      </c>
      <c r="BN534" s="63">
        <f t="shared" si="105"/>
        <v>0</v>
      </c>
      <c r="BO534" s="63">
        <f t="shared" si="106"/>
        <v>0</v>
      </c>
      <c r="BP534" s="63">
        <f t="shared" si="107"/>
        <v>0</v>
      </c>
      <c r="BQ534" s="63">
        <f t="shared" si="108"/>
        <v>0</v>
      </c>
      <c r="BR534" s="63">
        <f t="shared" si="109"/>
        <v>2600</v>
      </c>
      <c r="BS534" s="63">
        <f t="shared" si="110"/>
        <v>2600</v>
      </c>
    </row>
    <row r="535" spans="1:71">
      <c r="A535" s="28">
        <f t="shared" si="111"/>
        <v>534</v>
      </c>
      <c r="B535" s="31" t="s">
        <v>1520</v>
      </c>
      <c r="C535" s="30" t="s">
        <v>527</v>
      </c>
      <c r="D535" s="30" t="s">
        <v>137</v>
      </c>
      <c r="E535" s="30" t="s">
        <v>111</v>
      </c>
      <c r="F535" s="30" t="s">
        <v>138</v>
      </c>
      <c r="G535" s="30" t="s">
        <v>270</v>
      </c>
      <c r="H535" s="35" t="s">
        <v>271</v>
      </c>
      <c r="I535" s="30"/>
      <c r="J535" s="30"/>
      <c r="K535" s="31" t="s">
        <v>145</v>
      </c>
      <c r="L535" s="40">
        <v>1000000</v>
      </c>
      <c r="M535" s="39" t="s">
        <v>79</v>
      </c>
      <c r="N535" s="31"/>
      <c r="O535" s="30" t="s">
        <v>1510</v>
      </c>
      <c r="P535" s="30"/>
      <c r="Q535" s="89">
        <v>0.52</v>
      </c>
      <c r="R535" s="47">
        <f t="shared" si="112"/>
        <v>322400</v>
      </c>
      <c r="S535" s="75">
        <v>0</v>
      </c>
      <c r="T535" s="48">
        <f t="shared" si="113"/>
        <v>620000</v>
      </c>
      <c r="U535" s="40">
        <v>102000</v>
      </c>
      <c r="V535" s="40">
        <v>66000</v>
      </c>
      <c r="W535" s="40">
        <v>80000</v>
      </c>
      <c r="X535" s="39">
        <v>80000</v>
      </c>
      <c r="Y535" s="39">
        <v>80000</v>
      </c>
      <c r="Z535" s="39">
        <v>80000</v>
      </c>
      <c r="AA535" s="39">
        <v>80000</v>
      </c>
      <c r="AB535" s="39">
        <v>80000</v>
      </c>
      <c r="AC535" s="39">
        <v>80000</v>
      </c>
      <c r="AD535" s="39">
        <v>100000</v>
      </c>
      <c r="AE535" s="39">
        <v>100000</v>
      </c>
      <c r="AF535" s="39">
        <v>100000</v>
      </c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30" t="s">
        <v>93</v>
      </c>
      <c r="AT535" s="30" t="s">
        <v>116</v>
      </c>
      <c r="AU535" s="30" t="s">
        <v>81</v>
      </c>
      <c r="AV535" s="30" t="s">
        <v>117</v>
      </c>
      <c r="AW535" s="30" t="s">
        <v>143</v>
      </c>
      <c r="AX535" s="30" t="s">
        <v>144</v>
      </c>
      <c r="AY535" s="30" t="s">
        <v>145</v>
      </c>
      <c r="AZ535" s="30" t="s">
        <v>52</v>
      </c>
      <c r="BA535" s="30"/>
      <c r="BB535" s="30"/>
      <c r="BC535" s="58">
        <v>2</v>
      </c>
      <c r="BD535" s="30">
        <v>45646</v>
      </c>
      <c r="BE535" s="55">
        <v>45311</v>
      </c>
      <c r="BF535" s="55">
        <v>45342</v>
      </c>
      <c r="BG535" s="55">
        <v>45371</v>
      </c>
      <c r="BH535" s="55">
        <v>45524</v>
      </c>
      <c r="BI535" s="55">
        <v>45616</v>
      </c>
      <c r="BJ535" s="64">
        <v>1</v>
      </c>
      <c r="BK535" s="39">
        <v>5</v>
      </c>
      <c r="BL535" s="63">
        <f t="shared" si="103"/>
        <v>41600</v>
      </c>
      <c r="BM535" s="63">
        <f t="shared" si="104"/>
        <v>41600</v>
      </c>
      <c r="BN535" s="63">
        <f t="shared" si="105"/>
        <v>41600</v>
      </c>
      <c r="BO535" s="63">
        <f t="shared" si="106"/>
        <v>41600</v>
      </c>
      <c r="BP535" s="63">
        <f t="shared" si="107"/>
        <v>41600</v>
      </c>
      <c r="BQ535" s="63">
        <f t="shared" si="108"/>
        <v>52000</v>
      </c>
      <c r="BR535" s="63">
        <f t="shared" si="109"/>
        <v>52000</v>
      </c>
      <c r="BS535" s="63">
        <f t="shared" si="110"/>
        <v>52000</v>
      </c>
    </row>
    <row r="536" spans="1:71">
      <c r="A536" s="28">
        <f t="shared" si="111"/>
        <v>535</v>
      </c>
      <c r="B536" s="31" t="s">
        <v>1520</v>
      </c>
      <c r="C536" s="30" t="s">
        <v>527</v>
      </c>
      <c r="D536" s="30" t="s">
        <v>137</v>
      </c>
      <c r="E536" s="30" t="s">
        <v>111</v>
      </c>
      <c r="F536" s="30" t="s">
        <v>138</v>
      </c>
      <c r="G536" s="30" t="s">
        <v>493</v>
      </c>
      <c r="H536" s="35" t="s">
        <v>494</v>
      </c>
      <c r="I536" s="30"/>
      <c r="J536" s="30"/>
      <c r="K536" s="31" t="s">
        <v>1521</v>
      </c>
      <c r="L536" s="40">
        <v>200000</v>
      </c>
      <c r="M536" s="39" t="s">
        <v>57</v>
      </c>
      <c r="N536" s="31"/>
      <c r="O536" s="30" t="s">
        <v>115</v>
      </c>
      <c r="P536" s="30"/>
      <c r="Q536" s="89">
        <v>0.85</v>
      </c>
      <c r="R536" s="47">
        <f t="shared" si="112"/>
        <v>29750</v>
      </c>
      <c r="S536" s="75">
        <v>0</v>
      </c>
      <c r="T536" s="48">
        <f t="shared" si="113"/>
        <v>35000</v>
      </c>
      <c r="U536" s="40"/>
      <c r="V536" s="40"/>
      <c r="W536" s="40"/>
      <c r="X536" s="39"/>
      <c r="Y536" s="39"/>
      <c r="Z536" s="39"/>
      <c r="AA536" s="39"/>
      <c r="AB536" s="39"/>
      <c r="AC536" s="39"/>
      <c r="AD536" s="39">
        <v>10000</v>
      </c>
      <c r="AE536" s="39">
        <v>10000</v>
      </c>
      <c r="AF536" s="39">
        <v>15000</v>
      </c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30" t="s">
        <v>1167</v>
      </c>
      <c r="AT536" s="30" t="s">
        <v>116</v>
      </c>
      <c r="AU536" s="30" t="s">
        <v>788</v>
      </c>
      <c r="AV536" s="30" t="s">
        <v>117</v>
      </c>
      <c r="AW536" s="30" t="s">
        <v>143</v>
      </c>
      <c r="AX536" s="30" t="s">
        <v>960</v>
      </c>
      <c r="AY536" s="30" t="s">
        <v>961</v>
      </c>
      <c r="AZ536" s="30" t="s">
        <v>52</v>
      </c>
      <c r="BA536" s="30"/>
      <c r="BB536" s="30"/>
      <c r="BC536" s="58">
        <v>1</v>
      </c>
      <c r="BD536" s="30">
        <v>45950</v>
      </c>
      <c r="BE536" s="55">
        <v>45524</v>
      </c>
      <c r="BF536" s="55">
        <v>45598</v>
      </c>
      <c r="BG536" s="55">
        <v>45646</v>
      </c>
      <c r="BH536" s="55">
        <v>45797</v>
      </c>
      <c r="BI536" s="55">
        <v>45555</v>
      </c>
      <c r="BJ536" s="64">
        <v>1</v>
      </c>
      <c r="BK536" s="39">
        <v>5</v>
      </c>
      <c r="BL536" s="63">
        <f t="shared" si="103"/>
        <v>0</v>
      </c>
      <c r="BM536" s="63">
        <f t="shared" si="104"/>
        <v>0</v>
      </c>
      <c r="BN536" s="63">
        <f t="shared" si="105"/>
        <v>0</v>
      </c>
      <c r="BO536" s="63">
        <f t="shared" si="106"/>
        <v>0</v>
      </c>
      <c r="BP536" s="63">
        <f t="shared" si="107"/>
        <v>0</v>
      </c>
      <c r="BQ536" s="63">
        <f t="shared" si="108"/>
        <v>8500</v>
      </c>
      <c r="BR536" s="63">
        <f t="shared" si="109"/>
        <v>8500</v>
      </c>
      <c r="BS536" s="63">
        <f t="shared" si="110"/>
        <v>12750</v>
      </c>
    </row>
    <row r="537" spans="1:71">
      <c r="A537" s="28">
        <f t="shared" si="111"/>
        <v>536</v>
      </c>
      <c r="B537" s="31" t="s">
        <v>1522</v>
      </c>
      <c r="C537" s="30" t="s">
        <v>527</v>
      </c>
      <c r="D537" s="30" t="s">
        <v>137</v>
      </c>
      <c r="E537" s="30" t="s">
        <v>111</v>
      </c>
      <c r="F537" s="30" t="s">
        <v>138</v>
      </c>
      <c r="G537" s="30" t="s">
        <v>270</v>
      </c>
      <c r="H537" s="35" t="s">
        <v>271</v>
      </c>
      <c r="I537" s="30"/>
      <c r="J537" s="30"/>
      <c r="K537" s="31" t="s">
        <v>145</v>
      </c>
      <c r="L537" s="40">
        <v>1000000</v>
      </c>
      <c r="M537" s="39" t="s">
        <v>57</v>
      </c>
      <c r="N537" s="31"/>
      <c r="O537" s="30"/>
      <c r="P537" s="30"/>
      <c r="Q537" s="89">
        <v>0.52</v>
      </c>
      <c r="R537" s="47">
        <f t="shared" si="112"/>
        <v>57200</v>
      </c>
      <c r="S537" s="75"/>
      <c r="T537" s="48">
        <f t="shared" si="113"/>
        <v>110000</v>
      </c>
      <c r="U537" s="40"/>
      <c r="V537" s="40"/>
      <c r="W537" s="40"/>
      <c r="X537" s="39"/>
      <c r="Y537" s="39"/>
      <c r="Z537" s="39"/>
      <c r="AA537" s="39"/>
      <c r="AB537" s="39"/>
      <c r="AC537" s="39">
        <v>10000</v>
      </c>
      <c r="AD537" s="39">
        <v>30000</v>
      </c>
      <c r="AE537" s="39">
        <v>30000</v>
      </c>
      <c r="AF537" s="39">
        <v>40000</v>
      </c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30" t="s">
        <v>93</v>
      </c>
      <c r="AT537" s="30" t="s">
        <v>116</v>
      </c>
      <c r="AU537" s="30" t="s">
        <v>81</v>
      </c>
      <c r="AV537" s="30" t="s">
        <v>117</v>
      </c>
      <c r="AW537" s="30" t="s">
        <v>143</v>
      </c>
      <c r="AX537" s="30" t="s">
        <v>144</v>
      </c>
      <c r="AY537" s="30" t="s">
        <v>145</v>
      </c>
      <c r="AZ537" s="30"/>
      <c r="BA537" s="30"/>
      <c r="BB537" s="30"/>
      <c r="BC537" s="58"/>
      <c r="BD537" s="30"/>
      <c r="BE537" s="55"/>
      <c r="BF537" s="55"/>
      <c r="BG537" s="55"/>
      <c r="BH537" s="55"/>
      <c r="BI537" s="55"/>
      <c r="BJ537" s="64"/>
      <c r="BK537" s="39"/>
      <c r="BL537" s="63">
        <f t="shared" si="103"/>
        <v>0</v>
      </c>
      <c r="BM537" s="63">
        <f t="shared" si="104"/>
        <v>0</v>
      </c>
      <c r="BN537" s="63">
        <f t="shared" si="105"/>
        <v>0</v>
      </c>
      <c r="BO537" s="63">
        <f t="shared" si="106"/>
        <v>0</v>
      </c>
      <c r="BP537" s="63">
        <f t="shared" si="107"/>
        <v>5200</v>
      </c>
      <c r="BQ537" s="63">
        <f t="shared" si="108"/>
        <v>15600</v>
      </c>
      <c r="BR537" s="63">
        <f t="shared" si="109"/>
        <v>15600</v>
      </c>
      <c r="BS537" s="63">
        <f t="shared" si="110"/>
        <v>20800</v>
      </c>
    </row>
    <row r="538" spans="1:71">
      <c r="A538" s="28">
        <f t="shared" si="111"/>
        <v>537</v>
      </c>
      <c r="B538" s="31" t="s">
        <v>1520</v>
      </c>
      <c r="C538" s="30" t="s">
        <v>527</v>
      </c>
      <c r="D538" s="30" t="s">
        <v>137</v>
      </c>
      <c r="E538" s="30" t="s">
        <v>111</v>
      </c>
      <c r="F538" s="30" t="s">
        <v>138</v>
      </c>
      <c r="G538" s="30" t="s">
        <v>493</v>
      </c>
      <c r="H538" s="35" t="s">
        <v>494</v>
      </c>
      <c r="I538" s="30"/>
      <c r="J538" s="30"/>
      <c r="K538" s="31" t="s">
        <v>1523</v>
      </c>
      <c r="L538" s="40">
        <v>200000</v>
      </c>
      <c r="M538" s="39" t="s">
        <v>56</v>
      </c>
      <c r="N538" s="31"/>
      <c r="O538" s="30" t="s">
        <v>115</v>
      </c>
      <c r="P538" s="30"/>
      <c r="Q538" s="89">
        <v>0.85</v>
      </c>
      <c r="R538" s="47">
        <f t="shared" si="112"/>
        <v>12750</v>
      </c>
      <c r="S538" s="75">
        <v>0</v>
      </c>
      <c r="T538" s="48">
        <f t="shared" si="113"/>
        <v>15000</v>
      </c>
      <c r="U538" s="40"/>
      <c r="V538" s="40"/>
      <c r="W538" s="40"/>
      <c r="X538" s="39"/>
      <c r="Y538" s="39"/>
      <c r="Z538" s="39"/>
      <c r="AA538" s="39"/>
      <c r="AB538" s="39"/>
      <c r="AC538" s="39"/>
      <c r="AD538" s="39">
        <v>5000</v>
      </c>
      <c r="AE538" s="39">
        <v>5000</v>
      </c>
      <c r="AF538" s="39">
        <v>5000</v>
      </c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30" t="s">
        <v>1167</v>
      </c>
      <c r="AT538" s="30" t="s">
        <v>116</v>
      </c>
      <c r="AU538" s="30" t="s">
        <v>788</v>
      </c>
      <c r="AV538" s="30" t="s">
        <v>117</v>
      </c>
      <c r="AW538" s="30" t="s">
        <v>143</v>
      </c>
      <c r="AX538" s="30" t="s">
        <v>960</v>
      </c>
      <c r="AY538" s="30" t="s">
        <v>961</v>
      </c>
      <c r="AZ538" s="30" t="s">
        <v>52</v>
      </c>
      <c r="BA538" s="30"/>
      <c r="BB538" s="30"/>
      <c r="BC538" s="58">
        <v>1</v>
      </c>
      <c r="BD538" s="30">
        <v>45950</v>
      </c>
      <c r="BE538" s="55">
        <v>45524</v>
      </c>
      <c r="BF538" s="55">
        <v>45598</v>
      </c>
      <c r="BG538" s="55">
        <v>45646</v>
      </c>
      <c r="BH538" s="55">
        <v>45797</v>
      </c>
      <c r="BI538" s="55">
        <v>45555</v>
      </c>
      <c r="BJ538" s="64">
        <v>1</v>
      </c>
      <c r="BK538" s="39">
        <v>5</v>
      </c>
      <c r="BL538" s="63">
        <f t="shared" si="103"/>
        <v>0</v>
      </c>
      <c r="BM538" s="63">
        <f t="shared" si="104"/>
        <v>0</v>
      </c>
      <c r="BN538" s="63">
        <f t="shared" si="105"/>
        <v>0</v>
      </c>
      <c r="BO538" s="63">
        <f t="shared" si="106"/>
        <v>0</v>
      </c>
      <c r="BP538" s="63">
        <f t="shared" si="107"/>
        <v>0</v>
      </c>
      <c r="BQ538" s="63">
        <f t="shared" si="108"/>
        <v>4250</v>
      </c>
      <c r="BR538" s="63">
        <f t="shared" si="109"/>
        <v>4250</v>
      </c>
      <c r="BS538" s="63">
        <f t="shared" si="110"/>
        <v>4250</v>
      </c>
    </row>
    <row r="539" spans="1:71">
      <c r="A539" s="28">
        <f t="shared" si="111"/>
        <v>538</v>
      </c>
      <c r="B539" s="31" t="s">
        <v>136</v>
      </c>
      <c r="C539" s="30" t="s">
        <v>72</v>
      </c>
      <c r="D539" s="30" t="s">
        <v>137</v>
      </c>
      <c r="E539" s="30" t="s">
        <v>111</v>
      </c>
      <c r="F539" s="30" t="s">
        <v>138</v>
      </c>
      <c r="G539" s="30" t="s">
        <v>131</v>
      </c>
      <c r="H539" s="35" t="s">
        <v>132</v>
      </c>
      <c r="I539" s="30"/>
      <c r="J539" s="30"/>
      <c r="K539" s="31" t="s">
        <v>139</v>
      </c>
      <c r="L539" s="40">
        <v>120000</v>
      </c>
      <c r="M539" s="39" t="s">
        <v>79</v>
      </c>
      <c r="N539" s="31"/>
      <c r="O539" s="30" t="s">
        <v>115</v>
      </c>
      <c r="P539" s="30"/>
      <c r="Q539" s="89">
        <v>0.33</v>
      </c>
      <c r="R539" s="47">
        <f t="shared" si="112"/>
        <v>34650</v>
      </c>
      <c r="S539" s="75">
        <v>0</v>
      </c>
      <c r="T539" s="48">
        <f t="shared" si="113"/>
        <v>105000</v>
      </c>
      <c r="U539" s="40">
        <v>17000</v>
      </c>
      <c r="V539" s="40">
        <v>11000</v>
      </c>
      <c r="W539" s="40">
        <v>15000</v>
      </c>
      <c r="X539" s="39">
        <v>15000</v>
      </c>
      <c r="Y539" s="39">
        <v>15000</v>
      </c>
      <c r="Z539" s="39">
        <v>15000</v>
      </c>
      <c r="AA539" s="39">
        <v>15000</v>
      </c>
      <c r="AB539" s="39">
        <v>15000</v>
      </c>
      <c r="AC539" s="39">
        <v>15000</v>
      </c>
      <c r="AD539" s="39">
        <v>15000</v>
      </c>
      <c r="AE539" s="39">
        <v>15000</v>
      </c>
      <c r="AF539" s="39">
        <v>15000</v>
      </c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30" t="s">
        <v>116</v>
      </c>
      <c r="AT539" s="30" t="s">
        <v>116</v>
      </c>
      <c r="AU539" s="30" t="s">
        <v>81</v>
      </c>
      <c r="AV539" s="30" t="s">
        <v>106</v>
      </c>
      <c r="AW539" s="30" t="s">
        <v>140</v>
      </c>
      <c r="AX539" s="30" t="s">
        <v>141</v>
      </c>
      <c r="AY539" s="30" t="s">
        <v>142</v>
      </c>
      <c r="AZ539" s="30" t="s">
        <v>52</v>
      </c>
      <c r="BA539" s="30"/>
      <c r="BB539" s="30"/>
      <c r="BC539" s="58">
        <v>1</v>
      </c>
      <c r="BD539" s="30">
        <v>45656</v>
      </c>
      <c r="BE539" s="55">
        <v>45616</v>
      </c>
      <c r="BF539" s="55">
        <v>45636</v>
      </c>
      <c r="BG539" s="55">
        <v>46006</v>
      </c>
      <c r="BH539" s="55">
        <v>46011</v>
      </c>
      <c r="BI539" s="55">
        <v>46016</v>
      </c>
      <c r="BJ539" s="64">
        <v>1</v>
      </c>
      <c r="BK539" s="39">
        <v>5</v>
      </c>
      <c r="BL539" s="63">
        <f t="shared" si="103"/>
        <v>4950</v>
      </c>
      <c r="BM539" s="63">
        <f t="shared" si="104"/>
        <v>4950</v>
      </c>
      <c r="BN539" s="63">
        <f t="shared" si="105"/>
        <v>4950</v>
      </c>
      <c r="BO539" s="63">
        <f t="shared" si="106"/>
        <v>4950</v>
      </c>
      <c r="BP539" s="63">
        <f t="shared" si="107"/>
        <v>4950</v>
      </c>
      <c r="BQ539" s="63">
        <f t="shared" si="108"/>
        <v>4950</v>
      </c>
      <c r="BR539" s="63">
        <f t="shared" si="109"/>
        <v>4950</v>
      </c>
      <c r="BS539" s="63">
        <f t="shared" si="110"/>
        <v>4950</v>
      </c>
    </row>
    <row r="540" spans="1:71">
      <c r="A540" s="28">
        <f t="shared" si="111"/>
        <v>539</v>
      </c>
      <c r="B540" s="31" t="s">
        <v>1524</v>
      </c>
      <c r="C540" s="30" t="s">
        <v>92</v>
      </c>
      <c r="D540" s="30" t="s">
        <v>137</v>
      </c>
      <c r="E540" s="30" t="s">
        <v>111</v>
      </c>
      <c r="F540" s="30" t="s">
        <v>138</v>
      </c>
      <c r="G540" s="30" t="s">
        <v>306</v>
      </c>
      <c r="H540" s="35" t="s">
        <v>307</v>
      </c>
      <c r="I540" s="30"/>
      <c r="J540" s="30"/>
      <c r="K540" s="31" t="s">
        <v>145</v>
      </c>
      <c r="L540" s="40">
        <v>1000000</v>
      </c>
      <c r="M540" s="39" t="s">
        <v>57</v>
      </c>
      <c r="N540" s="31"/>
      <c r="O540" s="30" t="s">
        <v>115</v>
      </c>
      <c r="P540" s="30"/>
      <c r="Q540" s="89">
        <v>0.81</v>
      </c>
      <c r="R540" s="47">
        <f t="shared" si="112"/>
        <v>53460</v>
      </c>
      <c r="S540" s="75">
        <v>0</v>
      </c>
      <c r="T540" s="48">
        <f t="shared" si="113"/>
        <v>66000</v>
      </c>
      <c r="U540" s="40"/>
      <c r="V540" s="40"/>
      <c r="W540" s="40"/>
      <c r="X540" s="39"/>
      <c r="Y540" s="39">
        <v>500</v>
      </c>
      <c r="Z540" s="39">
        <v>3000</v>
      </c>
      <c r="AA540" s="39">
        <v>3000</v>
      </c>
      <c r="AB540" s="39">
        <v>5000</v>
      </c>
      <c r="AC540" s="39">
        <v>5000</v>
      </c>
      <c r="AD540" s="39">
        <v>10000</v>
      </c>
      <c r="AE540" s="39">
        <v>20000</v>
      </c>
      <c r="AF540" s="39">
        <v>20000</v>
      </c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30" t="s">
        <v>93</v>
      </c>
      <c r="AT540" s="30" t="s">
        <v>116</v>
      </c>
      <c r="AU540" s="30" t="s">
        <v>81</v>
      </c>
      <c r="AV540" s="30" t="s">
        <v>117</v>
      </c>
      <c r="AW540" s="30" t="s">
        <v>143</v>
      </c>
      <c r="AX540" s="30" t="s">
        <v>144</v>
      </c>
      <c r="AY540" s="30" t="s">
        <v>145</v>
      </c>
      <c r="AZ540" s="30" t="s">
        <v>52</v>
      </c>
      <c r="BA540" s="30"/>
      <c r="BB540" s="30"/>
      <c r="BC540" s="58"/>
      <c r="BD540" s="30">
        <v>45858</v>
      </c>
      <c r="BE540" s="55">
        <v>45920</v>
      </c>
      <c r="BF540" s="55">
        <v>45920</v>
      </c>
      <c r="BG540" s="55">
        <v>45616</v>
      </c>
      <c r="BH540" s="55">
        <v>45708</v>
      </c>
      <c r="BI540" s="55">
        <v>45736</v>
      </c>
      <c r="BJ540" s="64">
        <v>1</v>
      </c>
      <c r="BK540" s="39">
        <v>5</v>
      </c>
      <c r="BL540" s="63">
        <f t="shared" si="103"/>
        <v>405</v>
      </c>
      <c r="BM540" s="63">
        <f t="shared" si="104"/>
        <v>2430</v>
      </c>
      <c r="BN540" s="63">
        <f t="shared" si="105"/>
        <v>2430</v>
      </c>
      <c r="BO540" s="63">
        <f t="shared" si="106"/>
        <v>4050</v>
      </c>
      <c r="BP540" s="63">
        <f t="shared" si="107"/>
        <v>4050</v>
      </c>
      <c r="BQ540" s="63">
        <f t="shared" si="108"/>
        <v>8100</v>
      </c>
      <c r="BR540" s="63">
        <f t="shared" si="109"/>
        <v>16200</v>
      </c>
      <c r="BS540" s="63">
        <f t="shared" si="110"/>
        <v>16200</v>
      </c>
    </row>
    <row r="541" spans="1:71">
      <c r="A541" s="28">
        <f t="shared" si="111"/>
        <v>540</v>
      </c>
      <c r="B541" s="31" t="s">
        <v>128</v>
      </c>
      <c r="C541" s="30" t="s">
        <v>72</v>
      </c>
      <c r="D541" s="30" t="s">
        <v>137</v>
      </c>
      <c r="E541" s="30" t="s">
        <v>111</v>
      </c>
      <c r="F541" s="30" t="s">
        <v>138</v>
      </c>
      <c r="G541" s="30" t="s">
        <v>131</v>
      </c>
      <c r="H541" s="35" t="s">
        <v>132</v>
      </c>
      <c r="I541" s="30"/>
      <c r="J541" s="30"/>
      <c r="K541" s="31" t="s">
        <v>140</v>
      </c>
      <c r="L541" s="40">
        <v>200000</v>
      </c>
      <c r="M541" s="39" t="s">
        <v>79</v>
      </c>
      <c r="N541" s="31"/>
      <c r="O541" s="30" t="s">
        <v>115</v>
      </c>
      <c r="P541" s="30"/>
      <c r="Q541" s="89">
        <v>0.34</v>
      </c>
      <c r="R541" s="47">
        <f t="shared" si="112"/>
        <v>7140</v>
      </c>
      <c r="S541" s="75">
        <v>0</v>
      </c>
      <c r="T541" s="48">
        <f t="shared" si="113"/>
        <v>21000</v>
      </c>
      <c r="U541" s="40"/>
      <c r="V541" s="40"/>
      <c r="W541" s="40"/>
      <c r="X541" s="39">
        <v>3000</v>
      </c>
      <c r="Y541" s="39">
        <v>3000</v>
      </c>
      <c r="Z541" s="39">
        <v>3000</v>
      </c>
      <c r="AA541" s="39">
        <v>3000</v>
      </c>
      <c r="AB541" s="39">
        <v>3000</v>
      </c>
      <c r="AC541" s="39">
        <v>3000</v>
      </c>
      <c r="AD541" s="39">
        <v>3000</v>
      </c>
      <c r="AE541" s="39">
        <v>3000</v>
      </c>
      <c r="AF541" s="39">
        <v>3000</v>
      </c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30" t="s">
        <v>116</v>
      </c>
      <c r="AT541" s="30" t="s">
        <v>116</v>
      </c>
      <c r="AU541" s="30" t="s">
        <v>81</v>
      </c>
      <c r="AV541" s="30" t="s">
        <v>117</v>
      </c>
      <c r="AW541" s="30" t="s">
        <v>143</v>
      </c>
      <c r="AX541" s="30" t="s">
        <v>144</v>
      </c>
      <c r="AY541" s="30" t="s">
        <v>145</v>
      </c>
      <c r="AZ541" s="30" t="s">
        <v>52</v>
      </c>
      <c r="BA541" s="30"/>
      <c r="BB541" s="30"/>
      <c r="BC541" s="58"/>
      <c r="BD541" s="30">
        <v>45858</v>
      </c>
      <c r="BE541" s="55">
        <v>45920</v>
      </c>
      <c r="BF541" s="55">
        <v>45920</v>
      </c>
      <c r="BG541" s="55">
        <v>45616</v>
      </c>
      <c r="BH541" s="55">
        <v>45708</v>
      </c>
      <c r="BI541" s="55">
        <v>45736</v>
      </c>
      <c r="BJ541" s="64">
        <v>1</v>
      </c>
      <c r="BK541" s="39">
        <v>5</v>
      </c>
      <c r="BL541" s="63">
        <f t="shared" si="103"/>
        <v>1020</v>
      </c>
      <c r="BM541" s="63">
        <f t="shared" si="104"/>
        <v>1020</v>
      </c>
      <c r="BN541" s="63">
        <f t="shared" si="105"/>
        <v>1020</v>
      </c>
      <c r="BO541" s="63">
        <f t="shared" si="106"/>
        <v>1020</v>
      </c>
      <c r="BP541" s="63">
        <f t="shared" si="107"/>
        <v>1020</v>
      </c>
      <c r="BQ541" s="63">
        <f t="shared" si="108"/>
        <v>1020</v>
      </c>
      <c r="BR541" s="63">
        <f t="shared" si="109"/>
        <v>1020</v>
      </c>
      <c r="BS541" s="63">
        <f t="shared" si="110"/>
        <v>1020</v>
      </c>
    </row>
    <row r="542" spans="1:71">
      <c r="A542" s="28">
        <f t="shared" si="111"/>
        <v>541</v>
      </c>
      <c r="B542" s="31" t="s">
        <v>1525</v>
      </c>
      <c r="C542" s="30" t="s">
        <v>72</v>
      </c>
      <c r="D542" s="30" t="s">
        <v>137</v>
      </c>
      <c r="E542" s="30" t="s">
        <v>111</v>
      </c>
      <c r="F542" s="30" t="s">
        <v>138</v>
      </c>
      <c r="G542" s="30" t="s">
        <v>415</v>
      </c>
      <c r="H542" s="35" t="s">
        <v>416</v>
      </c>
      <c r="I542" s="30"/>
      <c r="J542" s="30"/>
      <c r="K542" s="31" t="s">
        <v>1526</v>
      </c>
      <c r="L542" s="40">
        <v>120000</v>
      </c>
      <c r="M542" s="39" t="s">
        <v>57</v>
      </c>
      <c r="N542" s="31"/>
      <c r="O542" s="30" t="s">
        <v>115</v>
      </c>
      <c r="P542" s="30"/>
      <c r="Q542" s="89">
        <v>3.8</v>
      </c>
      <c r="R542" s="47">
        <f t="shared" si="112"/>
        <v>57000</v>
      </c>
      <c r="S542" s="75">
        <v>0</v>
      </c>
      <c r="T542" s="48">
        <f t="shared" si="113"/>
        <v>15000</v>
      </c>
      <c r="U542" s="40"/>
      <c r="V542" s="40"/>
      <c r="W542" s="40"/>
      <c r="X542" s="39"/>
      <c r="Y542" s="39"/>
      <c r="Z542" s="39"/>
      <c r="AA542" s="39"/>
      <c r="AB542" s="39"/>
      <c r="AC542" s="39"/>
      <c r="AD542" s="39">
        <v>5000</v>
      </c>
      <c r="AE542" s="39">
        <v>5000</v>
      </c>
      <c r="AF542" s="39">
        <v>5000</v>
      </c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30" t="s">
        <v>116</v>
      </c>
      <c r="AT542" s="30" t="s">
        <v>116</v>
      </c>
      <c r="AU542" s="30" t="s">
        <v>545</v>
      </c>
      <c r="AV542" s="30" t="s">
        <v>117</v>
      </c>
      <c r="AW542" s="30" t="s">
        <v>143</v>
      </c>
      <c r="AX542" s="30" t="s">
        <v>144</v>
      </c>
      <c r="AY542" s="30" t="s">
        <v>145</v>
      </c>
      <c r="AZ542" s="30" t="s">
        <v>52</v>
      </c>
      <c r="BA542" s="30"/>
      <c r="BB542" s="30"/>
      <c r="BC542" s="58"/>
      <c r="BD542" s="30">
        <v>45858</v>
      </c>
      <c r="BE542" s="55">
        <v>45920</v>
      </c>
      <c r="BF542" s="55">
        <v>45920</v>
      </c>
      <c r="BG542" s="55">
        <v>45616</v>
      </c>
      <c r="BH542" s="55">
        <v>45708</v>
      </c>
      <c r="BI542" s="55">
        <v>45736</v>
      </c>
      <c r="BJ542" s="64">
        <v>1</v>
      </c>
      <c r="BK542" s="39">
        <v>5</v>
      </c>
      <c r="BL542" s="63">
        <f t="shared" si="103"/>
        <v>0</v>
      </c>
      <c r="BM542" s="63">
        <f t="shared" si="104"/>
        <v>0</v>
      </c>
      <c r="BN542" s="63">
        <f t="shared" si="105"/>
        <v>0</v>
      </c>
      <c r="BO542" s="63">
        <f t="shared" si="106"/>
        <v>0</v>
      </c>
      <c r="BP542" s="63">
        <f t="shared" si="107"/>
        <v>0</v>
      </c>
      <c r="BQ542" s="63">
        <f t="shared" si="108"/>
        <v>19000</v>
      </c>
      <c r="BR542" s="63">
        <f t="shared" si="109"/>
        <v>19000</v>
      </c>
      <c r="BS542" s="63">
        <f t="shared" si="110"/>
        <v>19000</v>
      </c>
    </row>
    <row r="543" spans="1:71">
      <c r="A543" s="28">
        <f t="shared" si="111"/>
        <v>542</v>
      </c>
      <c r="B543" s="31" t="s">
        <v>1527</v>
      </c>
      <c r="C543" s="30" t="s">
        <v>72</v>
      </c>
      <c r="D543" s="30" t="s">
        <v>137</v>
      </c>
      <c r="E543" s="30" t="s">
        <v>111</v>
      </c>
      <c r="F543" s="30" t="s">
        <v>138</v>
      </c>
      <c r="G543" s="30" t="s">
        <v>285</v>
      </c>
      <c r="H543" s="35" t="s">
        <v>286</v>
      </c>
      <c r="I543" s="30"/>
      <c r="J543" s="30"/>
      <c r="K543" s="31" t="s">
        <v>1528</v>
      </c>
      <c r="L543" s="40">
        <v>120000</v>
      </c>
      <c r="M543" s="39" t="s">
        <v>79</v>
      </c>
      <c r="N543" s="31"/>
      <c r="O543" s="30" t="s">
        <v>115</v>
      </c>
      <c r="P543" s="30"/>
      <c r="Q543" s="89">
        <v>0.52</v>
      </c>
      <c r="R543" s="47">
        <f t="shared" si="112"/>
        <v>54600</v>
      </c>
      <c r="S543" s="75">
        <v>0</v>
      </c>
      <c r="T543" s="48">
        <f t="shared" si="113"/>
        <v>105000</v>
      </c>
      <c r="U543" s="40"/>
      <c r="V543" s="40">
        <v>12000</v>
      </c>
      <c r="W543" s="40"/>
      <c r="X543" s="39">
        <v>12000</v>
      </c>
      <c r="Y543" s="39">
        <v>15000</v>
      </c>
      <c r="Z543" s="39">
        <v>15000</v>
      </c>
      <c r="AA543" s="39">
        <v>15000</v>
      </c>
      <c r="AB543" s="39">
        <v>15000</v>
      </c>
      <c r="AC543" s="39">
        <v>15000</v>
      </c>
      <c r="AD543" s="39">
        <v>15000</v>
      </c>
      <c r="AE543" s="39">
        <v>15000</v>
      </c>
      <c r="AF543" s="39">
        <v>15000</v>
      </c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30" t="s">
        <v>80</v>
      </c>
      <c r="AT543" s="30" t="s">
        <v>116</v>
      </c>
      <c r="AU543" s="30" t="s">
        <v>81</v>
      </c>
      <c r="AV543" s="30" t="s">
        <v>117</v>
      </c>
      <c r="AW543" s="30" t="s">
        <v>553</v>
      </c>
      <c r="AX543" s="30" t="s">
        <v>554</v>
      </c>
      <c r="AY543" s="30" t="s">
        <v>1529</v>
      </c>
      <c r="AZ543" s="30"/>
      <c r="BA543" s="30"/>
      <c r="BB543" s="30"/>
      <c r="BC543" s="58"/>
      <c r="BD543" s="30">
        <v>45432</v>
      </c>
      <c r="BE543" s="55">
        <v>45311</v>
      </c>
      <c r="BF543" s="55">
        <v>45342</v>
      </c>
      <c r="BG543" s="55">
        <v>45371</v>
      </c>
      <c r="BH543" s="55">
        <v>45402</v>
      </c>
      <c r="BI543" s="55">
        <v>45402</v>
      </c>
      <c r="BJ543" s="64">
        <v>1</v>
      </c>
      <c r="BK543" s="39">
        <v>5</v>
      </c>
      <c r="BL543" s="63">
        <f t="shared" si="103"/>
        <v>7800</v>
      </c>
      <c r="BM543" s="63">
        <f t="shared" si="104"/>
        <v>7800</v>
      </c>
      <c r="BN543" s="63">
        <f t="shared" si="105"/>
        <v>7800</v>
      </c>
      <c r="BO543" s="63">
        <f t="shared" si="106"/>
        <v>7800</v>
      </c>
      <c r="BP543" s="63">
        <f t="shared" si="107"/>
        <v>7800</v>
      </c>
      <c r="BQ543" s="63">
        <f t="shared" si="108"/>
        <v>7800</v>
      </c>
      <c r="BR543" s="63">
        <f t="shared" si="109"/>
        <v>7800</v>
      </c>
      <c r="BS543" s="63">
        <f t="shared" si="110"/>
        <v>7800</v>
      </c>
    </row>
    <row r="544" spans="1:71">
      <c r="A544" s="28">
        <f t="shared" si="111"/>
        <v>543</v>
      </c>
      <c r="B544" s="31" t="s">
        <v>1530</v>
      </c>
      <c r="C544" s="30" t="s">
        <v>72</v>
      </c>
      <c r="D544" s="30" t="s">
        <v>542</v>
      </c>
      <c r="E544" s="30" t="s">
        <v>111</v>
      </c>
      <c r="F544" s="30" t="s">
        <v>1531</v>
      </c>
      <c r="G544" s="30" t="s">
        <v>256</v>
      </c>
      <c r="H544" s="35" t="s">
        <v>258</v>
      </c>
      <c r="I544" s="30"/>
      <c r="J544" s="30"/>
      <c r="K544" s="31" t="s">
        <v>1270</v>
      </c>
      <c r="L544" s="40">
        <v>200000</v>
      </c>
      <c r="M544" s="39" t="s">
        <v>114</v>
      </c>
      <c r="N544" s="31"/>
      <c r="O544" s="30" t="s">
        <v>115</v>
      </c>
      <c r="P544" s="30"/>
      <c r="Q544" s="89">
        <v>0.52</v>
      </c>
      <c r="R544" s="47">
        <f t="shared" si="112"/>
        <v>38480</v>
      </c>
      <c r="S544" s="75">
        <v>0</v>
      </c>
      <c r="T544" s="48">
        <f t="shared" si="113"/>
        <v>74000</v>
      </c>
      <c r="U544" s="40"/>
      <c r="V544" s="40"/>
      <c r="W544" s="40"/>
      <c r="X544" s="39">
        <v>8000</v>
      </c>
      <c r="Y544" s="39">
        <v>8000</v>
      </c>
      <c r="Z544" s="39">
        <v>8000</v>
      </c>
      <c r="AA544" s="39">
        <v>10000</v>
      </c>
      <c r="AB544" s="39">
        <v>10000</v>
      </c>
      <c r="AC544" s="39">
        <v>10000</v>
      </c>
      <c r="AD544" s="39">
        <v>12000</v>
      </c>
      <c r="AE544" s="39">
        <v>12000</v>
      </c>
      <c r="AF544" s="39">
        <v>12000</v>
      </c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30" t="s">
        <v>116</v>
      </c>
      <c r="AT544" s="30" t="s">
        <v>116</v>
      </c>
      <c r="AU544" s="30" t="s">
        <v>81</v>
      </c>
      <c r="AV544" s="30" t="s">
        <v>117</v>
      </c>
      <c r="AW544" s="30" t="s">
        <v>143</v>
      </c>
      <c r="AX544" s="30" t="s">
        <v>1030</v>
      </c>
      <c r="AY544" s="30" t="s">
        <v>1532</v>
      </c>
      <c r="AZ544" s="30" t="s">
        <v>562</v>
      </c>
      <c r="BA544" s="30"/>
      <c r="BB544" s="30"/>
      <c r="BC544" s="58"/>
      <c r="BD544" s="30">
        <v>45493</v>
      </c>
      <c r="BE544" s="55">
        <v>45371</v>
      </c>
      <c r="BF544" s="55">
        <v>45402</v>
      </c>
      <c r="BG544" s="55">
        <v>45432</v>
      </c>
      <c r="BH544" s="55">
        <v>45463</v>
      </c>
      <c r="BI544" s="55">
        <v>45463</v>
      </c>
      <c r="BJ544" s="64">
        <v>1</v>
      </c>
      <c r="BK544" s="39">
        <v>5</v>
      </c>
      <c r="BL544" s="63">
        <f t="shared" si="103"/>
        <v>4160</v>
      </c>
      <c r="BM544" s="63">
        <f t="shared" si="104"/>
        <v>4160</v>
      </c>
      <c r="BN544" s="63">
        <f t="shared" si="105"/>
        <v>5200</v>
      </c>
      <c r="BO544" s="63">
        <f t="shared" si="106"/>
        <v>5200</v>
      </c>
      <c r="BP544" s="63">
        <f t="shared" si="107"/>
        <v>5200</v>
      </c>
      <c r="BQ544" s="63">
        <f t="shared" si="108"/>
        <v>6240</v>
      </c>
      <c r="BR544" s="63">
        <f t="shared" si="109"/>
        <v>6240</v>
      </c>
      <c r="BS544" s="63">
        <f t="shared" si="110"/>
        <v>6240</v>
      </c>
    </row>
    <row r="545" spans="1:71">
      <c r="A545" s="28">
        <f t="shared" si="111"/>
        <v>544</v>
      </c>
      <c r="B545" s="31" t="s">
        <v>1533</v>
      </c>
      <c r="C545" s="30" t="s">
        <v>92</v>
      </c>
      <c r="D545" s="30" t="s">
        <v>542</v>
      </c>
      <c r="E545" s="30" t="s">
        <v>111</v>
      </c>
      <c r="F545" s="30" t="s">
        <v>1531</v>
      </c>
      <c r="G545" s="30" t="s">
        <v>167</v>
      </c>
      <c r="H545" s="35" t="s">
        <v>168</v>
      </c>
      <c r="I545" s="30"/>
      <c r="J545" s="30" t="s">
        <v>169</v>
      </c>
      <c r="K545" s="31" t="s">
        <v>832</v>
      </c>
      <c r="L545" s="40">
        <v>300000</v>
      </c>
      <c r="M545" s="39" t="s">
        <v>114</v>
      </c>
      <c r="N545" s="31"/>
      <c r="O545" s="30" t="s">
        <v>115</v>
      </c>
      <c r="P545" s="30"/>
      <c r="Q545" s="89">
        <v>0.42</v>
      </c>
      <c r="R545" s="47">
        <f t="shared" si="112"/>
        <v>50400</v>
      </c>
      <c r="S545" s="75">
        <v>0</v>
      </c>
      <c r="T545" s="48">
        <f t="shared" si="113"/>
        <v>120000</v>
      </c>
      <c r="U545" s="40"/>
      <c r="V545" s="40"/>
      <c r="W545" s="40"/>
      <c r="X545" s="39"/>
      <c r="Y545" s="39"/>
      <c r="Z545" s="39">
        <v>5000</v>
      </c>
      <c r="AA545" s="39">
        <v>5000</v>
      </c>
      <c r="AB545" s="39">
        <v>10000</v>
      </c>
      <c r="AC545" s="39">
        <v>20000</v>
      </c>
      <c r="AD545" s="39">
        <v>20000</v>
      </c>
      <c r="AE545" s="39">
        <v>30000</v>
      </c>
      <c r="AF545" s="39">
        <v>30000</v>
      </c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30" t="s">
        <v>116</v>
      </c>
      <c r="AT545" s="30" t="s">
        <v>116</v>
      </c>
      <c r="AU545" s="30" t="s">
        <v>81</v>
      </c>
      <c r="AV545" s="30" t="s">
        <v>117</v>
      </c>
      <c r="AW545" s="30" t="s">
        <v>118</v>
      </c>
      <c r="AX545" s="30" t="s">
        <v>119</v>
      </c>
      <c r="AY545" s="30" t="s">
        <v>120</v>
      </c>
      <c r="AZ545" s="30" t="s">
        <v>1534</v>
      </c>
      <c r="BA545" s="30"/>
      <c r="BB545" s="30" t="s">
        <v>1535</v>
      </c>
      <c r="BC545" s="58">
        <v>3</v>
      </c>
      <c r="BD545" s="30">
        <v>45677</v>
      </c>
      <c r="BE545" s="55">
        <v>45311</v>
      </c>
      <c r="BF545" s="55">
        <v>45371</v>
      </c>
      <c r="BG545" s="55">
        <v>45432</v>
      </c>
      <c r="BH545" s="55">
        <v>45463</v>
      </c>
      <c r="BI545" s="55">
        <v>45493</v>
      </c>
      <c r="BJ545" s="64">
        <v>1</v>
      </c>
      <c r="BK545" s="39">
        <v>5</v>
      </c>
      <c r="BL545" s="63">
        <f t="shared" si="103"/>
        <v>0</v>
      </c>
      <c r="BM545" s="63">
        <f t="shared" si="104"/>
        <v>2100</v>
      </c>
      <c r="BN545" s="63">
        <f t="shared" si="105"/>
        <v>2100</v>
      </c>
      <c r="BO545" s="63">
        <f t="shared" si="106"/>
        <v>4200</v>
      </c>
      <c r="BP545" s="63">
        <f t="shared" si="107"/>
        <v>8400</v>
      </c>
      <c r="BQ545" s="63">
        <f t="shared" si="108"/>
        <v>8400</v>
      </c>
      <c r="BR545" s="63">
        <f t="shared" si="109"/>
        <v>12600</v>
      </c>
      <c r="BS545" s="63">
        <f t="shared" si="110"/>
        <v>12600</v>
      </c>
    </row>
    <row r="546" spans="1:71">
      <c r="A546" s="28">
        <f t="shared" si="111"/>
        <v>545</v>
      </c>
      <c r="B546" s="31" t="s">
        <v>1533</v>
      </c>
      <c r="C546" s="30" t="s">
        <v>92</v>
      </c>
      <c r="D546" s="30" t="s">
        <v>542</v>
      </c>
      <c r="E546" s="30" t="s">
        <v>111</v>
      </c>
      <c r="F546" s="30" t="s">
        <v>1531</v>
      </c>
      <c r="G546" s="30" t="s">
        <v>247</v>
      </c>
      <c r="H546" s="35" t="s">
        <v>248</v>
      </c>
      <c r="I546" s="30"/>
      <c r="J546" s="30"/>
      <c r="K546" s="31" t="s">
        <v>832</v>
      </c>
      <c r="L546" s="40">
        <v>300000</v>
      </c>
      <c r="M546" s="39" t="s">
        <v>114</v>
      </c>
      <c r="N546" s="31"/>
      <c r="O546" s="30" t="s">
        <v>115</v>
      </c>
      <c r="P546" s="30"/>
      <c r="Q546" s="89">
        <v>0.52</v>
      </c>
      <c r="R546" s="47">
        <f t="shared" si="112"/>
        <v>62400</v>
      </c>
      <c r="S546" s="75">
        <v>0</v>
      </c>
      <c r="T546" s="48">
        <f t="shared" si="113"/>
        <v>120000</v>
      </c>
      <c r="U546" s="40"/>
      <c r="V546" s="40"/>
      <c r="W546" s="40"/>
      <c r="X546" s="39"/>
      <c r="Y546" s="39"/>
      <c r="Z546" s="39">
        <v>5000</v>
      </c>
      <c r="AA546" s="39">
        <v>5000</v>
      </c>
      <c r="AB546" s="39">
        <v>10000</v>
      </c>
      <c r="AC546" s="39">
        <v>20000</v>
      </c>
      <c r="AD546" s="39">
        <v>20000</v>
      </c>
      <c r="AE546" s="39">
        <v>30000</v>
      </c>
      <c r="AF546" s="39">
        <v>30000</v>
      </c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30" t="s">
        <v>116</v>
      </c>
      <c r="AT546" s="30" t="s">
        <v>116</v>
      </c>
      <c r="AU546" s="30" t="s">
        <v>81</v>
      </c>
      <c r="AV546" s="30" t="s">
        <v>117</v>
      </c>
      <c r="AW546" s="30" t="s">
        <v>118</v>
      </c>
      <c r="AX546" s="30" t="s">
        <v>119</v>
      </c>
      <c r="AY546" s="30" t="s">
        <v>120</v>
      </c>
      <c r="AZ546" s="30" t="s">
        <v>1534</v>
      </c>
      <c r="BA546" s="30"/>
      <c r="BB546" s="30" t="s">
        <v>1535</v>
      </c>
      <c r="BC546" s="58">
        <v>3</v>
      </c>
      <c r="BD546" s="30">
        <v>45677</v>
      </c>
      <c r="BE546" s="55">
        <v>45311</v>
      </c>
      <c r="BF546" s="55">
        <v>45371</v>
      </c>
      <c r="BG546" s="55">
        <v>45432</v>
      </c>
      <c r="BH546" s="55">
        <v>45463</v>
      </c>
      <c r="BI546" s="55">
        <v>45493</v>
      </c>
      <c r="BJ546" s="64">
        <v>1</v>
      </c>
      <c r="BK546" s="39">
        <v>5</v>
      </c>
      <c r="BL546" s="63">
        <f t="shared" si="103"/>
        <v>0</v>
      </c>
      <c r="BM546" s="63">
        <f t="shared" si="104"/>
        <v>2600</v>
      </c>
      <c r="BN546" s="63">
        <f t="shared" si="105"/>
        <v>2600</v>
      </c>
      <c r="BO546" s="63">
        <f t="shared" si="106"/>
        <v>5200</v>
      </c>
      <c r="BP546" s="63">
        <f t="shared" si="107"/>
        <v>10400</v>
      </c>
      <c r="BQ546" s="63">
        <f t="shared" si="108"/>
        <v>10400</v>
      </c>
      <c r="BR546" s="63">
        <f t="shared" si="109"/>
        <v>15600</v>
      </c>
      <c r="BS546" s="63">
        <f t="shared" si="110"/>
        <v>15600</v>
      </c>
    </row>
    <row r="547" spans="1:71">
      <c r="A547" s="28">
        <f t="shared" si="111"/>
        <v>546</v>
      </c>
      <c r="B547" s="31" t="s">
        <v>1536</v>
      </c>
      <c r="C547" s="30" t="s">
        <v>92</v>
      </c>
      <c r="D547" s="30" t="s">
        <v>542</v>
      </c>
      <c r="E547" s="30" t="s">
        <v>111</v>
      </c>
      <c r="F547" s="30" t="s">
        <v>1537</v>
      </c>
      <c r="G547" s="30" t="s">
        <v>439</v>
      </c>
      <c r="H547" s="35" t="s">
        <v>440</v>
      </c>
      <c r="I547" s="30"/>
      <c r="J547" s="30"/>
      <c r="K547" s="31" t="s">
        <v>745</v>
      </c>
      <c r="L547" s="40">
        <v>400000</v>
      </c>
      <c r="M547" s="39" t="s">
        <v>114</v>
      </c>
      <c r="N547" s="31"/>
      <c r="O547" s="30" t="s">
        <v>115</v>
      </c>
      <c r="P547" s="30"/>
      <c r="Q547" s="89">
        <v>2.5</v>
      </c>
      <c r="R547" s="47">
        <f t="shared" si="112"/>
        <v>525000</v>
      </c>
      <c r="S547" s="75">
        <v>0</v>
      </c>
      <c r="T547" s="48">
        <f t="shared" si="113"/>
        <v>210000</v>
      </c>
      <c r="U547" s="40"/>
      <c r="V547" s="40"/>
      <c r="W547" s="40"/>
      <c r="X547" s="39">
        <v>10000</v>
      </c>
      <c r="Y547" s="39">
        <v>20000</v>
      </c>
      <c r="Z547" s="39">
        <v>30000</v>
      </c>
      <c r="AA547" s="39">
        <v>30000</v>
      </c>
      <c r="AB547" s="39">
        <v>30000</v>
      </c>
      <c r="AC547" s="39">
        <v>30000</v>
      </c>
      <c r="AD547" s="39">
        <v>30000</v>
      </c>
      <c r="AE547" s="39">
        <v>30000</v>
      </c>
      <c r="AF547" s="39">
        <v>30000</v>
      </c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30" t="s">
        <v>552</v>
      </c>
      <c r="AT547" s="30" t="s">
        <v>116</v>
      </c>
      <c r="AU547" s="30" t="s">
        <v>688</v>
      </c>
      <c r="AV547" s="30" t="s">
        <v>117</v>
      </c>
      <c r="AW547" s="30" t="s">
        <v>118</v>
      </c>
      <c r="AX547" s="30" t="s">
        <v>1507</v>
      </c>
      <c r="AY547" s="30" t="s">
        <v>1508</v>
      </c>
      <c r="AZ547" s="30"/>
      <c r="BA547" s="30"/>
      <c r="BB547" s="30"/>
      <c r="BC547" s="58"/>
      <c r="BD547" s="30">
        <v>45585</v>
      </c>
      <c r="BE547" s="55">
        <v>45189</v>
      </c>
      <c r="BF547" s="55">
        <v>45219</v>
      </c>
      <c r="BG547" s="55">
        <v>45280</v>
      </c>
      <c r="BH547" s="55">
        <v>45432</v>
      </c>
      <c r="BI547" s="55">
        <v>45493</v>
      </c>
      <c r="BJ547" s="64">
        <v>1</v>
      </c>
      <c r="BK547" s="39">
        <v>5</v>
      </c>
      <c r="BL547" s="63">
        <f t="shared" si="103"/>
        <v>50000</v>
      </c>
      <c r="BM547" s="63">
        <f t="shared" si="104"/>
        <v>75000</v>
      </c>
      <c r="BN547" s="63">
        <f t="shared" si="105"/>
        <v>75000</v>
      </c>
      <c r="BO547" s="63">
        <f t="shared" si="106"/>
        <v>75000</v>
      </c>
      <c r="BP547" s="63">
        <f t="shared" si="107"/>
        <v>75000</v>
      </c>
      <c r="BQ547" s="63">
        <f t="shared" si="108"/>
        <v>75000</v>
      </c>
      <c r="BR547" s="63">
        <f t="shared" si="109"/>
        <v>75000</v>
      </c>
      <c r="BS547" s="63">
        <f t="shared" si="110"/>
        <v>75000</v>
      </c>
    </row>
    <row r="548" spans="1:71">
      <c r="A548" s="28">
        <f t="shared" si="111"/>
        <v>547</v>
      </c>
      <c r="B548" s="31" t="s">
        <v>1536</v>
      </c>
      <c r="C548" s="30" t="s">
        <v>92</v>
      </c>
      <c r="D548" s="30" t="s">
        <v>542</v>
      </c>
      <c r="E548" s="30" t="s">
        <v>111</v>
      </c>
      <c r="F548" s="30" t="s">
        <v>1537</v>
      </c>
      <c r="G548" s="30" t="s">
        <v>448</v>
      </c>
      <c r="H548" s="35" t="s">
        <v>449</v>
      </c>
      <c r="I548" s="30"/>
      <c r="J548" s="30"/>
      <c r="K548" s="31" t="s">
        <v>745</v>
      </c>
      <c r="L548" s="40">
        <v>400000</v>
      </c>
      <c r="M548" s="39" t="s">
        <v>79</v>
      </c>
      <c r="N548" s="31"/>
      <c r="O548" s="30" t="s">
        <v>115</v>
      </c>
      <c r="P548" s="30"/>
      <c r="Q548" s="89">
        <v>2.5</v>
      </c>
      <c r="R548" s="47">
        <f t="shared" si="112"/>
        <v>325000</v>
      </c>
      <c r="S548" s="75">
        <v>0</v>
      </c>
      <c r="T548" s="48">
        <f t="shared" si="113"/>
        <v>130000</v>
      </c>
      <c r="U548" s="40"/>
      <c r="V548" s="40"/>
      <c r="W548" s="40"/>
      <c r="X548" s="39">
        <v>10000</v>
      </c>
      <c r="Y548" s="39">
        <v>15000</v>
      </c>
      <c r="Z548" s="39">
        <v>20000</v>
      </c>
      <c r="AA548" s="39">
        <v>20000</v>
      </c>
      <c r="AB548" s="39">
        <v>20000</v>
      </c>
      <c r="AC548" s="39">
        <v>20000</v>
      </c>
      <c r="AD548" s="39">
        <v>20000</v>
      </c>
      <c r="AE548" s="39">
        <v>15000</v>
      </c>
      <c r="AF548" s="39">
        <v>15000</v>
      </c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30" t="s">
        <v>552</v>
      </c>
      <c r="AT548" s="30" t="s">
        <v>116</v>
      </c>
      <c r="AU548" s="30" t="s">
        <v>688</v>
      </c>
      <c r="AV548" s="30" t="s">
        <v>117</v>
      </c>
      <c r="AW548" s="30" t="s">
        <v>118</v>
      </c>
      <c r="AX548" s="30" t="s">
        <v>1507</v>
      </c>
      <c r="AY548" s="30" t="s">
        <v>1508</v>
      </c>
      <c r="AZ548" s="30"/>
      <c r="BA548" s="30"/>
      <c r="BB548" s="30"/>
      <c r="BC548" s="58"/>
      <c r="BD548" s="30">
        <v>45646</v>
      </c>
      <c r="BE548" s="55">
        <v>45189</v>
      </c>
      <c r="BF548" s="55">
        <v>45219</v>
      </c>
      <c r="BG548" s="55">
        <v>45280</v>
      </c>
      <c r="BH548" s="55">
        <v>45432</v>
      </c>
      <c r="BI548" s="55">
        <v>45493</v>
      </c>
      <c r="BJ548" s="64">
        <v>1</v>
      </c>
      <c r="BK548" s="39">
        <v>5</v>
      </c>
      <c r="BL548" s="63">
        <f t="shared" si="103"/>
        <v>37500</v>
      </c>
      <c r="BM548" s="63">
        <f t="shared" si="104"/>
        <v>50000</v>
      </c>
      <c r="BN548" s="63">
        <f t="shared" si="105"/>
        <v>50000</v>
      </c>
      <c r="BO548" s="63">
        <f t="shared" si="106"/>
        <v>50000</v>
      </c>
      <c r="BP548" s="63">
        <f t="shared" si="107"/>
        <v>50000</v>
      </c>
      <c r="BQ548" s="63">
        <f t="shared" si="108"/>
        <v>50000</v>
      </c>
      <c r="BR548" s="63">
        <f t="shared" si="109"/>
        <v>37500</v>
      </c>
      <c r="BS548" s="63">
        <f t="shared" si="110"/>
        <v>37500</v>
      </c>
    </row>
    <row r="549" spans="1:71">
      <c r="A549" s="28">
        <f t="shared" si="111"/>
        <v>548</v>
      </c>
      <c r="B549" s="31" t="s">
        <v>1538</v>
      </c>
      <c r="C549" s="30" t="s">
        <v>72</v>
      </c>
      <c r="D549" s="30" t="s">
        <v>542</v>
      </c>
      <c r="E549" s="30" t="s">
        <v>111</v>
      </c>
      <c r="F549" s="30" t="s">
        <v>1539</v>
      </c>
      <c r="G549" s="30" t="s">
        <v>210</v>
      </c>
      <c r="H549" s="35" t="s">
        <v>215</v>
      </c>
      <c r="I549" s="30"/>
      <c r="J549" s="30"/>
      <c r="K549" s="31" t="s">
        <v>1540</v>
      </c>
      <c r="L549" s="40">
        <v>800000</v>
      </c>
      <c r="M549" s="39" t="s">
        <v>57</v>
      </c>
      <c r="N549" s="31"/>
      <c r="O549" s="30" t="s">
        <v>115</v>
      </c>
      <c r="P549" s="30"/>
      <c r="Q549" s="89">
        <v>0.32</v>
      </c>
      <c r="R549" s="47">
        <f t="shared" si="112"/>
        <v>15040</v>
      </c>
      <c r="S549" s="75">
        <v>0</v>
      </c>
      <c r="T549" s="48">
        <f t="shared" si="113"/>
        <v>47000</v>
      </c>
      <c r="U549" s="40"/>
      <c r="V549" s="40"/>
      <c r="W549" s="40"/>
      <c r="X549" s="39">
        <v>2000</v>
      </c>
      <c r="Y549" s="39">
        <v>2000</v>
      </c>
      <c r="Z549" s="39">
        <v>2000</v>
      </c>
      <c r="AA549" s="39">
        <v>5000</v>
      </c>
      <c r="AB549" s="39">
        <v>5000</v>
      </c>
      <c r="AC549" s="39">
        <v>5000</v>
      </c>
      <c r="AD549" s="39">
        <v>10000</v>
      </c>
      <c r="AE549" s="39">
        <v>10000</v>
      </c>
      <c r="AF549" s="39">
        <v>10000</v>
      </c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30" t="s">
        <v>80</v>
      </c>
      <c r="AT549" s="30" t="s">
        <v>116</v>
      </c>
      <c r="AU549" s="30" t="s">
        <v>81</v>
      </c>
      <c r="AV549" s="30" t="s">
        <v>581</v>
      </c>
      <c r="AW549" s="30" t="s">
        <v>1541</v>
      </c>
      <c r="AX549" s="30" t="s">
        <v>1542</v>
      </c>
      <c r="AY549" s="30" t="s">
        <v>1543</v>
      </c>
      <c r="AZ549" s="30"/>
      <c r="BA549" s="30"/>
      <c r="BB549" s="30"/>
      <c r="BC549" s="58"/>
      <c r="BD549" s="30">
        <v>45767</v>
      </c>
      <c r="BE549" s="55">
        <v>45555</v>
      </c>
      <c r="BF549" s="55">
        <v>45585</v>
      </c>
      <c r="BG549" s="55">
        <v>45616</v>
      </c>
      <c r="BH549" s="55">
        <v>45646</v>
      </c>
      <c r="BI549" s="55">
        <v>45677</v>
      </c>
      <c r="BJ549" s="64">
        <v>1</v>
      </c>
      <c r="BK549" s="39">
        <v>5</v>
      </c>
      <c r="BL549" s="63">
        <f t="shared" si="103"/>
        <v>640</v>
      </c>
      <c r="BM549" s="63">
        <f t="shared" si="104"/>
        <v>640</v>
      </c>
      <c r="BN549" s="63">
        <f t="shared" si="105"/>
        <v>1600</v>
      </c>
      <c r="BO549" s="63">
        <f t="shared" si="106"/>
        <v>1600</v>
      </c>
      <c r="BP549" s="63">
        <f t="shared" si="107"/>
        <v>1600</v>
      </c>
      <c r="BQ549" s="63">
        <f t="shared" si="108"/>
        <v>3200</v>
      </c>
      <c r="BR549" s="63">
        <f t="shared" si="109"/>
        <v>3200</v>
      </c>
      <c r="BS549" s="63">
        <f t="shared" si="110"/>
        <v>3200</v>
      </c>
    </row>
    <row r="550" spans="1:71">
      <c r="A550" s="28">
        <f t="shared" si="111"/>
        <v>549</v>
      </c>
      <c r="B550" s="31" t="s">
        <v>1538</v>
      </c>
      <c r="C550" s="30" t="s">
        <v>72</v>
      </c>
      <c r="D550" s="30" t="s">
        <v>542</v>
      </c>
      <c r="E550" s="30" t="s">
        <v>111</v>
      </c>
      <c r="F550" s="30" t="s">
        <v>1539</v>
      </c>
      <c r="G550" s="30" t="s">
        <v>173</v>
      </c>
      <c r="H550" s="35" t="s">
        <v>174</v>
      </c>
      <c r="I550" s="30"/>
      <c r="J550" s="30"/>
      <c r="K550" s="31" t="s">
        <v>1540</v>
      </c>
      <c r="L550" s="40">
        <v>600000</v>
      </c>
      <c r="M550" s="39" t="s">
        <v>79</v>
      </c>
      <c r="N550" s="31"/>
      <c r="O550" s="30" t="s">
        <v>115</v>
      </c>
      <c r="P550" s="30"/>
      <c r="Q550" s="89">
        <v>0.32</v>
      </c>
      <c r="R550" s="47">
        <f t="shared" si="112"/>
        <v>112000</v>
      </c>
      <c r="S550" s="75">
        <v>0</v>
      </c>
      <c r="T550" s="48">
        <f t="shared" si="113"/>
        <v>350000</v>
      </c>
      <c r="U550" s="40">
        <v>6000</v>
      </c>
      <c r="V550" s="40"/>
      <c r="W550" s="40"/>
      <c r="X550" s="39">
        <v>12000</v>
      </c>
      <c r="Y550" s="39">
        <v>50000</v>
      </c>
      <c r="Z550" s="39">
        <v>50000</v>
      </c>
      <c r="AA550" s="39">
        <v>50000</v>
      </c>
      <c r="AB550" s="39">
        <v>50000</v>
      </c>
      <c r="AC550" s="39">
        <v>50000</v>
      </c>
      <c r="AD550" s="39">
        <v>50000</v>
      </c>
      <c r="AE550" s="39">
        <v>50000</v>
      </c>
      <c r="AF550" s="39">
        <v>50000</v>
      </c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30" t="s">
        <v>80</v>
      </c>
      <c r="AT550" s="30" t="s">
        <v>116</v>
      </c>
      <c r="AU550" s="30" t="s">
        <v>81</v>
      </c>
      <c r="AV550" s="30" t="s">
        <v>581</v>
      </c>
      <c r="AW550" s="30" t="s">
        <v>1541</v>
      </c>
      <c r="AX550" s="30" t="s">
        <v>1542</v>
      </c>
      <c r="AY550" s="30" t="s">
        <v>1543</v>
      </c>
      <c r="AZ550" s="30"/>
      <c r="BA550" s="30"/>
      <c r="BB550" s="30"/>
      <c r="BC550" s="58"/>
      <c r="BD550" s="30">
        <v>45524</v>
      </c>
      <c r="BE550" s="55">
        <v>45371</v>
      </c>
      <c r="BF550" s="55">
        <v>45402</v>
      </c>
      <c r="BG550" s="55">
        <v>45432</v>
      </c>
      <c r="BH550" s="55">
        <v>45463</v>
      </c>
      <c r="BI550" s="55">
        <v>45493</v>
      </c>
      <c r="BJ550" s="64">
        <v>1</v>
      </c>
      <c r="BK550" s="39">
        <v>5</v>
      </c>
      <c r="BL550" s="63">
        <f t="shared" si="103"/>
        <v>16000</v>
      </c>
      <c r="BM550" s="63">
        <f t="shared" si="104"/>
        <v>16000</v>
      </c>
      <c r="BN550" s="63">
        <f t="shared" si="105"/>
        <v>16000</v>
      </c>
      <c r="BO550" s="63">
        <f t="shared" si="106"/>
        <v>16000</v>
      </c>
      <c r="BP550" s="63">
        <f t="shared" si="107"/>
        <v>16000</v>
      </c>
      <c r="BQ550" s="63">
        <f t="shared" si="108"/>
        <v>16000</v>
      </c>
      <c r="BR550" s="63">
        <f t="shared" si="109"/>
        <v>16000</v>
      </c>
      <c r="BS550" s="63">
        <f t="shared" si="110"/>
        <v>16000</v>
      </c>
    </row>
    <row r="551" spans="1:71">
      <c r="A551" s="28">
        <f t="shared" si="111"/>
        <v>550</v>
      </c>
      <c r="B551" s="31" t="s">
        <v>1538</v>
      </c>
      <c r="C551" s="30" t="s">
        <v>72</v>
      </c>
      <c r="D551" s="30" t="s">
        <v>542</v>
      </c>
      <c r="E551" s="30" t="s">
        <v>111</v>
      </c>
      <c r="F551" s="30" t="s">
        <v>1539</v>
      </c>
      <c r="G551" s="30" t="s">
        <v>318</v>
      </c>
      <c r="H551" s="35" t="s">
        <v>319</v>
      </c>
      <c r="I551" s="30"/>
      <c r="J551" s="30"/>
      <c r="K551" s="31" t="s">
        <v>1544</v>
      </c>
      <c r="L551" s="40">
        <v>100000</v>
      </c>
      <c r="M551" s="39" t="s">
        <v>57</v>
      </c>
      <c r="N551" s="31"/>
      <c r="O551" s="30" t="s">
        <v>115</v>
      </c>
      <c r="P551" s="30"/>
      <c r="Q551" s="89">
        <v>0.52</v>
      </c>
      <c r="R551" s="47">
        <f t="shared" si="112"/>
        <v>10920</v>
      </c>
      <c r="S551" s="75">
        <v>0</v>
      </c>
      <c r="T551" s="48">
        <f t="shared" si="113"/>
        <v>21000</v>
      </c>
      <c r="U551" s="40"/>
      <c r="V551" s="40"/>
      <c r="W551" s="40"/>
      <c r="X551" s="39"/>
      <c r="Y551" s="39"/>
      <c r="Z551" s="39"/>
      <c r="AA551" s="39"/>
      <c r="AB551" s="39"/>
      <c r="AC551" s="39"/>
      <c r="AD551" s="39">
        <v>5000</v>
      </c>
      <c r="AE551" s="39">
        <v>8000</v>
      </c>
      <c r="AF551" s="39">
        <v>8000</v>
      </c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30" t="s">
        <v>80</v>
      </c>
      <c r="AT551" s="30" t="s">
        <v>116</v>
      </c>
      <c r="AU551" s="30" t="s">
        <v>81</v>
      </c>
      <c r="AV551" s="30" t="s">
        <v>117</v>
      </c>
      <c r="AW551" s="30" t="s">
        <v>143</v>
      </c>
      <c r="AX551" s="30" t="s">
        <v>1030</v>
      </c>
      <c r="AY551" s="30" t="s">
        <v>1532</v>
      </c>
      <c r="AZ551" s="30"/>
      <c r="BA551" s="30"/>
      <c r="BB551" s="30"/>
      <c r="BC551" s="58"/>
      <c r="BD551" s="30">
        <v>45950</v>
      </c>
      <c r="BE551" s="55">
        <v>45585</v>
      </c>
      <c r="BF551" s="55">
        <v>45585</v>
      </c>
      <c r="BG551" s="55">
        <v>45616</v>
      </c>
      <c r="BH551" s="55"/>
      <c r="BI551" s="55"/>
      <c r="BJ551" s="64">
        <v>1</v>
      </c>
      <c r="BK551" s="39">
        <v>5</v>
      </c>
      <c r="BL551" s="63">
        <f t="shared" si="103"/>
        <v>0</v>
      </c>
      <c r="BM551" s="63">
        <f t="shared" si="104"/>
        <v>0</v>
      </c>
      <c r="BN551" s="63">
        <f t="shared" si="105"/>
        <v>0</v>
      </c>
      <c r="BO551" s="63">
        <f t="shared" si="106"/>
        <v>0</v>
      </c>
      <c r="BP551" s="63">
        <f t="shared" si="107"/>
        <v>0</v>
      </c>
      <c r="BQ551" s="63">
        <f t="shared" si="108"/>
        <v>2600</v>
      </c>
      <c r="BR551" s="63">
        <f t="shared" si="109"/>
        <v>4160</v>
      </c>
      <c r="BS551" s="63">
        <f t="shared" si="110"/>
        <v>4160</v>
      </c>
    </row>
    <row r="552" spans="1:71">
      <c r="A552" s="28">
        <f t="shared" si="111"/>
        <v>551</v>
      </c>
      <c r="B552" s="31" t="s">
        <v>1545</v>
      </c>
      <c r="C552" s="30" t="s">
        <v>72</v>
      </c>
      <c r="D552" s="30" t="s">
        <v>542</v>
      </c>
      <c r="E552" s="30" t="s">
        <v>111</v>
      </c>
      <c r="F552" s="30" t="s">
        <v>1539</v>
      </c>
      <c r="G552" s="30" t="s">
        <v>272</v>
      </c>
      <c r="H552" s="35" t="s">
        <v>273</v>
      </c>
      <c r="I552" s="30"/>
      <c r="J552" s="30"/>
      <c r="K552" s="31" t="s">
        <v>1546</v>
      </c>
      <c r="L552" s="40">
        <v>100000</v>
      </c>
      <c r="M552" s="39" t="s">
        <v>114</v>
      </c>
      <c r="N552" s="31"/>
      <c r="O552" s="30" t="s">
        <v>115</v>
      </c>
      <c r="P552" s="30"/>
      <c r="Q552" s="89">
        <v>0.52</v>
      </c>
      <c r="R552" s="47">
        <f t="shared" si="112"/>
        <v>29120</v>
      </c>
      <c r="S552" s="75">
        <v>0</v>
      </c>
      <c r="T552" s="48">
        <f t="shared" si="113"/>
        <v>56000</v>
      </c>
      <c r="U552" s="40"/>
      <c r="V552" s="40"/>
      <c r="W552" s="40"/>
      <c r="X552" s="39">
        <v>5000</v>
      </c>
      <c r="Y552" s="39">
        <v>5000</v>
      </c>
      <c r="Z552" s="39">
        <v>5000</v>
      </c>
      <c r="AA552" s="39">
        <v>5000</v>
      </c>
      <c r="AB552" s="39">
        <v>8000</v>
      </c>
      <c r="AC552" s="39">
        <v>8000</v>
      </c>
      <c r="AD552" s="39">
        <v>10000</v>
      </c>
      <c r="AE552" s="39">
        <v>10000</v>
      </c>
      <c r="AF552" s="39">
        <v>10000</v>
      </c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30" t="s">
        <v>116</v>
      </c>
      <c r="AT552" s="30" t="s">
        <v>116</v>
      </c>
      <c r="AU552" s="30" t="s">
        <v>81</v>
      </c>
      <c r="AV552" s="30" t="s">
        <v>117</v>
      </c>
      <c r="AW552" s="30" t="s">
        <v>143</v>
      </c>
      <c r="AX552" s="30" t="s">
        <v>561</v>
      </c>
      <c r="AY552" s="30" t="s">
        <v>1547</v>
      </c>
      <c r="AZ552" s="30"/>
      <c r="BA552" s="30"/>
      <c r="BB552" s="30"/>
      <c r="BC552" s="58"/>
      <c r="BD552" s="30">
        <v>45585</v>
      </c>
      <c r="BE552" s="55">
        <v>45342</v>
      </c>
      <c r="BF552" s="55">
        <v>45371</v>
      </c>
      <c r="BG552" s="55">
        <v>45402</v>
      </c>
      <c r="BH552" s="55">
        <v>45432</v>
      </c>
      <c r="BI552" s="55">
        <v>45493</v>
      </c>
      <c r="BJ552" s="64">
        <v>1</v>
      </c>
      <c r="BK552" s="39">
        <v>5</v>
      </c>
      <c r="BL552" s="63">
        <f t="shared" si="103"/>
        <v>2600</v>
      </c>
      <c r="BM552" s="63">
        <f t="shared" si="104"/>
        <v>2600</v>
      </c>
      <c r="BN552" s="63">
        <f t="shared" si="105"/>
        <v>2600</v>
      </c>
      <c r="BO552" s="63">
        <f t="shared" si="106"/>
        <v>4160</v>
      </c>
      <c r="BP552" s="63">
        <f t="shared" si="107"/>
        <v>4160</v>
      </c>
      <c r="BQ552" s="63">
        <f t="shared" si="108"/>
        <v>5200</v>
      </c>
      <c r="BR552" s="63">
        <f t="shared" si="109"/>
        <v>5200</v>
      </c>
      <c r="BS552" s="63">
        <f t="shared" si="110"/>
        <v>5200</v>
      </c>
    </row>
    <row r="553" spans="1:71">
      <c r="A553" s="28">
        <f t="shared" si="111"/>
        <v>552</v>
      </c>
      <c r="B553" s="31" t="s">
        <v>1548</v>
      </c>
      <c r="C553" s="30" t="s">
        <v>92</v>
      </c>
      <c r="D553" s="30" t="s">
        <v>129</v>
      </c>
      <c r="E553" s="30" t="s">
        <v>111</v>
      </c>
      <c r="F553" s="30" t="s">
        <v>1549</v>
      </c>
      <c r="G553" s="30">
        <v>3100</v>
      </c>
      <c r="H553" s="35" t="s">
        <v>154</v>
      </c>
      <c r="I553" s="30"/>
      <c r="J553" s="30"/>
      <c r="K553" s="31" t="s">
        <v>1550</v>
      </c>
      <c r="L553" s="40">
        <v>300000</v>
      </c>
      <c r="M553" s="39" t="s">
        <v>114</v>
      </c>
      <c r="N553" s="31"/>
      <c r="O553" s="30" t="s">
        <v>115</v>
      </c>
      <c r="P553" s="30"/>
      <c r="Q553" s="89">
        <v>2.8</v>
      </c>
      <c r="R553" s="47">
        <f t="shared" si="112"/>
        <v>350000</v>
      </c>
      <c r="S553" s="75">
        <v>0</v>
      </c>
      <c r="T553" s="48">
        <f t="shared" si="113"/>
        <v>125000</v>
      </c>
      <c r="U553" s="40"/>
      <c r="V553" s="40"/>
      <c r="W553" s="40"/>
      <c r="X553" s="39"/>
      <c r="Y553" s="39">
        <v>5000</v>
      </c>
      <c r="Z553" s="39">
        <v>5000</v>
      </c>
      <c r="AA553" s="39">
        <v>10000</v>
      </c>
      <c r="AB553" s="39">
        <v>10000</v>
      </c>
      <c r="AC553" s="39">
        <v>20000</v>
      </c>
      <c r="AD553" s="39">
        <v>20000</v>
      </c>
      <c r="AE553" s="39">
        <v>30000</v>
      </c>
      <c r="AF553" s="39">
        <v>30000</v>
      </c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30" t="s">
        <v>572</v>
      </c>
      <c r="AT553" s="30" t="s">
        <v>116</v>
      </c>
      <c r="AU553" s="30" t="s">
        <v>532</v>
      </c>
      <c r="AV553" s="30" t="s">
        <v>1285</v>
      </c>
      <c r="AW553" s="30" t="s">
        <v>1551</v>
      </c>
      <c r="AX553" s="30" t="s">
        <v>1552</v>
      </c>
      <c r="AY553" s="30" t="s">
        <v>1553</v>
      </c>
      <c r="AZ553" s="30"/>
      <c r="BA553" s="30"/>
      <c r="BB553" s="30"/>
      <c r="BC553" s="58"/>
      <c r="BD553" s="30">
        <v>45585</v>
      </c>
      <c r="BE553" s="55">
        <v>45311</v>
      </c>
      <c r="BF553" s="55">
        <v>45342</v>
      </c>
      <c r="BG553" s="55">
        <v>45371</v>
      </c>
      <c r="BH553" s="55">
        <v>45402</v>
      </c>
      <c r="BI553" s="55">
        <v>45463</v>
      </c>
      <c r="BJ553" s="64">
        <v>1</v>
      </c>
      <c r="BK553" s="39">
        <v>5</v>
      </c>
      <c r="BL553" s="63">
        <f t="shared" si="103"/>
        <v>14000</v>
      </c>
      <c r="BM553" s="63">
        <f t="shared" si="104"/>
        <v>14000</v>
      </c>
      <c r="BN553" s="63">
        <f t="shared" si="105"/>
        <v>28000</v>
      </c>
      <c r="BO553" s="63">
        <f t="shared" si="106"/>
        <v>28000</v>
      </c>
      <c r="BP553" s="63">
        <f t="shared" si="107"/>
        <v>56000</v>
      </c>
      <c r="BQ553" s="63">
        <f t="shared" si="108"/>
        <v>56000</v>
      </c>
      <c r="BR553" s="63">
        <f t="shared" si="109"/>
        <v>84000</v>
      </c>
      <c r="BS553" s="63">
        <f t="shared" si="110"/>
        <v>84000</v>
      </c>
    </row>
    <row r="554" spans="1:71">
      <c r="A554" s="28">
        <f t="shared" si="111"/>
        <v>553</v>
      </c>
      <c r="B554" s="31" t="s">
        <v>1548</v>
      </c>
      <c r="C554" s="30" t="s">
        <v>92</v>
      </c>
      <c r="D554" s="30" t="s">
        <v>129</v>
      </c>
      <c r="E554" s="30" t="s">
        <v>111</v>
      </c>
      <c r="F554" s="30" t="s">
        <v>1549</v>
      </c>
      <c r="G554" s="30" t="s">
        <v>371</v>
      </c>
      <c r="H554" s="35" t="s">
        <v>372</v>
      </c>
      <c r="I554" s="30"/>
      <c r="J554" s="30"/>
      <c r="K554" s="31" t="s">
        <v>1554</v>
      </c>
      <c r="L554" s="40">
        <v>300000</v>
      </c>
      <c r="M554" s="39" t="s">
        <v>114</v>
      </c>
      <c r="N554" s="31"/>
      <c r="O554" s="30" t="s">
        <v>115</v>
      </c>
      <c r="P554" s="30"/>
      <c r="Q554" s="89">
        <v>2.8</v>
      </c>
      <c r="R554" s="47">
        <f t="shared" si="112"/>
        <v>350000</v>
      </c>
      <c r="S554" s="75">
        <v>0</v>
      </c>
      <c r="T554" s="48">
        <f t="shared" si="113"/>
        <v>125000</v>
      </c>
      <c r="U554" s="40"/>
      <c r="V554" s="40"/>
      <c r="W554" s="40"/>
      <c r="X554" s="39"/>
      <c r="Y554" s="39">
        <v>5000</v>
      </c>
      <c r="Z554" s="39">
        <v>5000</v>
      </c>
      <c r="AA554" s="39">
        <v>10000</v>
      </c>
      <c r="AB554" s="39">
        <v>10000</v>
      </c>
      <c r="AC554" s="39">
        <v>20000</v>
      </c>
      <c r="AD554" s="39">
        <v>20000</v>
      </c>
      <c r="AE554" s="39">
        <v>30000</v>
      </c>
      <c r="AF554" s="39">
        <v>30000</v>
      </c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30" t="s">
        <v>572</v>
      </c>
      <c r="AT554" s="30" t="s">
        <v>116</v>
      </c>
      <c r="AU554" s="30" t="s">
        <v>532</v>
      </c>
      <c r="AV554" s="30" t="s">
        <v>1285</v>
      </c>
      <c r="AW554" s="30" t="s">
        <v>1551</v>
      </c>
      <c r="AX554" s="30" t="s">
        <v>1552</v>
      </c>
      <c r="AY554" s="30" t="s">
        <v>1553</v>
      </c>
      <c r="AZ554" s="30"/>
      <c r="BA554" s="30"/>
      <c r="BB554" s="30"/>
      <c r="BC554" s="58"/>
      <c r="BD554" s="30">
        <v>45585</v>
      </c>
      <c r="BE554" s="55">
        <v>45311</v>
      </c>
      <c r="BF554" s="55">
        <v>45342</v>
      </c>
      <c r="BG554" s="55">
        <v>45371</v>
      </c>
      <c r="BH554" s="55">
        <v>45402</v>
      </c>
      <c r="BI554" s="55">
        <v>45463</v>
      </c>
      <c r="BJ554" s="64">
        <v>1</v>
      </c>
      <c r="BK554" s="39">
        <v>5</v>
      </c>
      <c r="BL554" s="63">
        <f t="shared" si="103"/>
        <v>14000</v>
      </c>
      <c r="BM554" s="63">
        <f t="shared" si="104"/>
        <v>14000</v>
      </c>
      <c r="BN554" s="63">
        <f t="shared" si="105"/>
        <v>28000</v>
      </c>
      <c r="BO554" s="63">
        <f t="shared" si="106"/>
        <v>28000</v>
      </c>
      <c r="BP554" s="63">
        <f t="shared" si="107"/>
        <v>56000</v>
      </c>
      <c r="BQ554" s="63">
        <f t="shared" si="108"/>
        <v>56000</v>
      </c>
      <c r="BR554" s="63">
        <f t="shared" si="109"/>
        <v>84000</v>
      </c>
      <c r="BS554" s="63">
        <f t="shared" si="110"/>
        <v>84000</v>
      </c>
    </row>
    <row r="555" spans="1:71">
      <c r="A555" s="28">
        <f t="shared" si="111"/>
        <v>554</v>
      </c>
      <c r="B555" s="31" t="s">
        <v>1548</v>
      </c>
      <c r="C555" s="30" t="s">
        <v>92</v>
      </c>
      <c r="D555" s="30" t="s">
        <v>129</v>
      </c>
      <c r="E555" s="30" t="s">
        <v>111</v>
      </c>
      <c r="F555" s="30" t="s">
        <v>1549</v>
      </c>
      <c r="G555" s="30" t="s">
        <v>371</v>
      </c>
      <c r="H555" s="35" t="s">
        <v>372</v>
      </c>
      <c r="I555" s="30"/>
      <c r="J555" s="30"/>
      <c r="K555" s="31" t="s">
        <v>1555</v>
      </c>
      <c r="L555" s="40">
        <v>300000</v>
      </c>
      <c r="M555" s="39" t="s">
        <v>114</v>
      </c>
      <c r="N555" s="31"/>
      <c r="O555" s="30" t="s">
        <v>115</v>
      </c>
      <c r="P555" s="30"/>
      <c r="Q555" s="89">
        <v>2.8</v>
      </c>
      <c r="R555" s="47">
        <f t="shared" si="112"/>
        <v>420000</v>
      </c>
      <c r="S555" s="75">
        <v>0</v>
      </c>
      <c r="T555" s="48">
        <f t="shared" si="113"/>
        <v>150000</v>
      </c>
      <c r="U555" s="40"/>
      <c r="V555" s="40"/>
      <c r="W555" s="40"/>
      <c r="X555" s="39"/>
      <c r="Y555" s="39"/>
      <c r="Z555" s="39">
        <v>10000</v>
      </c>
      <c r="AA555" s="39">
        <v>10000</v>
      </c>
      <c r="AB555" s="39">
        <v>20000</v>
      </c>
      <c r="AC555" s="39">
        <v>20000</v>
      </c>
      <c r="AD555" s="39">
        <v>30000</v>
      </c>
      <c r="AE555" s="39">
        <v>30000</v>
      </c>
      <c r="AF555" s="39">
        <v>30000</v>
      </c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30" t="s">
        <v>572</v>
      </c>
      <c r="AT555" s="30" t="s">
        <v>116</v>
      </c>
      <c r="AU555" s="30" t="s">
        <v>532</v>
      </c>
      <c r="AV555" s="30" t="s">
        <v>1285</v>
      </c>
      <c r="AW555" s="30" t="s">
        <v>1551</v>
      </c>
      <c r="AX555" s="30" t="s">
        <v>1552</v>
      </c>
      <c r="AY555" s="30" t="s">
        <v>1553</v>
      </c>
      <c r="AZ555" s="30"/>
      <c r="BA555" s="30"/>
      <c r="BB555" s="30"/>
      <c r="BC555" s="58"/>
      <c r="BD555" s="30">
        <v>45585</v>
      </c>
      <c r="BE555" s="55">
        <v>45311</v>
      </c>
      <c r="BF555" s="55">
        <v>45342</v>
      </c>
      <c r="BG555" s="55">
        <v>45371</v>
      </c>
      <c r="BH555" s="55">
        <v>45402</v>
      </c>
      <c r="BI555" s="55">
        <v>45463</v>
      </c>
      <c r="BJ555" s="64">
        <v>1</v>
      </c>
      <c r="BK555" s="39">
        <v>5</v>
      </c>
      <c r="BL555" s="63">
        <f t="shared" si="103"/>
        <v>0</v>
      </c>
      <c r="BM555" s="63">
        <f t="shared" si="104"/>
        <v>28000</v>
      </c>
      <c r="BN555" s="63">
        <f t="shared" si="105"/>
        <v>28000</v>
      </c>
      <c r="BO555" s="63">
        <f t="shared" si="106"/>
        <v>56000</v>
      </c>
      <c r="BP555" s="63">
        <f t="shared" si="107"/>
        <v>56000</v>
      </c>
      <c r="BQ555" s="63">
        <f t="shared" si="108"/>
        <v>84000</v>
      </c>
      <c r="BR555" s="63">
        <f t="shared" si="109"/>
        <v>84000</v>
      </c>
      <c r="BS555" s="63">
        <f t="shared" si="110"/>
        <v>84000</v>
      </c>
    </row>
    <row r="556" spans="1:71">
      <c r="A556" s="28">
        <f t="shared" si="111"/>
        <v>555</v>
      </c>
      <c r="B556" s="31" t="s">
        <v>1548</v>
      </c>
      <c r="C556" s="30" t="s">
        <v>92</v>
      </c>
      <c r="D556" s="30" t="s">
        <v>129</v>
      </c>
      <c r="E556" s="30" t="s">
        <v>111</v>
      </c>
      <c r="F556" s="30" t="s">
        <v>1549</v>
      </c>
      <c r="G556" s="30" t="s">
        <v>364</v>
      </c>
      <c r="H556" s="35" t="s">
        <v>365</v>
      </c>
      <c r="I556" s="30"/>
      <c r="J556" s="30"/>
      <c r="K556" s="31" t="s">
        <v>1555</v>
      </c>
      <c r="L556" s="40">
        <v>200000</v>
      </c>
      <c r="M556" s="39" t="s">
        <v>57</v>
      </c>
      <c r="N556" s="31"/>
      <c r="O556" s="30" t="s">
        <v>115</v>
      </c>
      <c r="P556" s="30"/>
      <c r="Q556" s="89">
        <v>2.8</v>
      </c>
      <c r="R556" s="47">
        <f t="shared" si="112"/>
        <v>224000</v>
      </c>
      <c r="S556" s="75">
        <v>0</v>
      </c>
      <c r="T556" s="48">
        <f t="shared" si="113"/>
        <v>80000</v>
      </c>
      <c r="U556" s="40"/>
      <c r="V556" s="40"/>
      <c r="W556" s="40"/>
      <c r="X556" s="39"/>
      <c r="Y556" s="39"/>
      <c r="Z556" s="39"/>
      <c r="AA556" s="39"/>
      <c r="AB556" s="39">
        <v>10000</v>
      </c>
      <c r="AC556" s="39">
        <v>10000</v>
      </c>
      <c r="AD556" s="39">
        <v>20000</v>
      </c>
      <c r="AE556" s="39">
        <v>20000</v>
      </c>
      <c r="AF556" s="39">
        <v>20000</v>
      </c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30" t="s">
        <v>572</v>
      </c>
      <c r="AT556" s="30" t="s">
        <v>116</v>
      </c>
      <c r="AU556" s="30" t="s">
        <v>532</v>
      </c>
      <c r="AV556" s="30" t="s">
        <v>1285</v>
      </c>
      <c r="AW556" s="30" t="s">
        <v>1551</v>
      </c>
      <c r="AX556" s="30" t="s">
        <v>1552</v>
      </c>
      <c r="AY556" s="30" t="s">
        <v>1553</v>
      </c>
      <c r="AZ556" s="30"/>
      <c r="BA556" s="30"/>
      <c r="BB556" s="30"/>
      <c r="BC556" s="58"/>
      <c r="BD556" s="30">
        <v>45585</v>
      </c>
      <c r="BE556" s="55">
        <v>45311</v>
      </c>
      <c r="BF556" s="55">
        <v>45342</v>
      </c>
      <c r="BG556" s="55">
        <v>45371</v>
      </c>
      <c r="BH556" s="55">
        <v>45402</v>
      </c>
      <c r="BI556" s="55">
        <v>45463</v>
      </c>
      <c r="BJ556" s="64">
        <v>1</v>
      </c>
      <c r="BK556" s="39">
        <v>5</v>
      </c>
      <c r="BL556" s="63">
        <f t="shared" si="103"/>
        <v>0</v>
      </c>
      <c r="BM556" s="63">
        <f t="shared" si="104"/>
        <v>0</v>
      </c>
      <c r="BN556" s="63">
        <f t="shared" si="105"/>
        <v>0</v>
      </c>
      <c r="BO556" s="63">
        <f t="shared" si="106"/>
        <v>28000</v>
      </c>
      <c r="BP556" s="63">
        <f t="shared" si="107"/>
        <v>28000</v>
      </c>
      <c r="BQ556" s="63">
        <f t="shared" si="108"/>
        <v>56000</v>
      </c>
      <c r="BR556" s="63">
        <f t="shared" si="109"/>
        <v>56000</v>
      </c>
      <c r="BS556" s="63">
        <f t="shared" si="110"/>
        <v>56000</v>
      </c>
    </row>
    <row r="557" spans="1:71">
      <c r="A557" s="28">
        <f t="shared" si="111"/>
        <v>556</v>
      </c>
      <c r="B557" s="31" t="s">
        <v>1556</v>
      </c>
      <c r="C557" s="30" t="s">
        <v>92</v>
      </c>
      <c r="D557" s="30" t="s">
        <v>129</v>
      </c>
      <c r="E557" s="30" t="s">
        <v>111</v>
      </c>
      <c r="F557" s="30" t="s">
        <v>1549</v>
      </c>
      <c r="G557" s="30" t="s">
        <v>387</v>
      </c>
      <c r="H557" s="35" t="s">
        <v>388</v>
      </c>
      <c r="I557" s="30"/>
      <c r="J557" s="30"/>
      <c r="K557" s="31" t="s">
        <v>1557</v>
      </c>
      <c r="L557" s="40">
        <v>500000</v>
      </c>
      <c r="M557" s="39" t="s">
        <v>57</v>
      </c>
      <c r="N557" s="31"/>
      <c r="O557" s="30" t="s">
        <v>115</v>
      </c>
      <c r="P557" s="30"/>
      <c r="Q557" s="89">
        <v>2.8</v>
      </c>
      <c r="R557" s="47">
        <f t="shared" si="112"/>
        <v>14000</v>
      </c>
      <c r="S557" s="75">
        <v>0</v>
      </c>
      <c r="T557" s="48">
        <f t="shared" si="113"/>
        <v>5000</v>
      </c>
      <c r="U557" s="40"/>
      <c r="V557" s="40"/>
      <c r="W557" s="40"/>
      <c r="X557" s="39"/>
      <c r="Y557" s="39"/>
      <c r="Z557" s="39"/>
      <c r="AA557" s="39"/>
      <c r="AB557" s="39"/>
      <c r="AC557" s="39"/>
      <c r="AD557" s="39"/>
      <c r="AE557" s="39"/>
      <c r="AF557" s="39">
        <v>5000</v>
      </c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30" t="s">
        <v>572</v>
      </c>
      <c r="AT557" s="30" t="s">
        <v>116</v>
      </c>
      <c r="AU557" s="30" t="s">
        <v>532</v>
      </c>
      <c r="AV557" s="30" t="s">
        <v>1285</v>
      </c>
      <c r="AW557" s="30" t="s">
        <v>1551</v>
      </c>
      <c r="AX557" s="30" t="s">
        <v>1552</v>
      </c>
      <c r="AY557" s="30" t="s">
        <v>1553</v>
      </c>
      <c r="AZ557" s="30"/>
      <c r="BA557" s="30"/>
      <c r="BB557" s="30"/>
      <c r="BC557" s="58"/>
      <c r="BD557" s="30">
        <v>45585</v>
      </c>
      <c r="BE557" s="55">
        <v>45311</v>
      </c>
      <c r="BF557" s="55">
        <v>45342</v>
      </c>
      <c r="BG557" s="55">
        <v>45371</v>
      </c>
      <c r="BH557" s="55">
        <v>45402</v>
      </c>
      <c r="BI557" s="55">
        <v>45463</v>
      </c>
      <c r="BJ557" s="64">
        <v>1</v>
      </c>
      <c r="BK557" s="39">
        <v>5</v>
      </c>
      <c r="BL557" s="63">
        <f t="shared" si="103"/>
        <v>0</v>
      </c>
      <c r="BM557" s="63">
        <f t="shared" si="104"/>
        <v>0</v>
      </c>
      <c r="BN557" s="63">
        <f t="shared" si="105"/>
        <v>0</v>
      </c>
      <c r="BO557" s="63">
        <f t="shared" si="106"/>
        <v>0</v>
      </c>
      <c r="BP557" s="63">
        <f t="shared" si="107"/>
        <v>0</v>
      </c>
      <c r="BQ557" s="63">
        <f t="shared" si="108"/>
        <v>0</v>
      </c>
      <c r="BR557" s="63">
        <f t="shared" si="109"/>
        <v>0</v>
      </c>
      <c r="BS557" s="63">
        <f t="shared" si="110"/>
        <v>14000</v>
      </c>
    </row>
    <row r="558" spans="1:71">
      <c r="A558" s="28">
        <f t="shared" si="111"/>
        <v>557</v>
      </c>
      <c r="B558" s="31" t="s">
        <v>1558</v>
      </c>
      <c r="C558" s="30" t="s">
        <v>527</v>
      </c>
      <c r="D558" s="30" t="s">
        <v>1559</v>
      </c>
      <c r="E558" s="30" t="s">
        <v>111</v>
      </c>
      <c r="F558" s="30" t="s">
        <v>1560</v>
      </c>
      <c r="G558" s="30" t="s">
        <v>313</v>
      </c>
      <c r="H558" s="35" t="s">
        <v>314</v>
      </c>
      <c r="I558" s="30"/>
      <c r="J558" s="30"/>
      <c r="K558" s="31" t="s">
        <v>1485</v>
      </c>
      <c r="L558" s="40">
        <v>2000000</v>
      </c>
      <c r="M558" s="39" t="s">
        <v>114</v>
      </c>
      <c r="N558" s="31"/>
      <c r="O558" s="30" t="s">
        <v>1561</v>
      </c>
      <c r="P558" s="30"/>
      <c r="Q558" s="89">
        <v>0.55</v>
      </c>
      <c r="R558" s="47">
        <f t="shared" si="112"/>
        <v>88000</v>
      </c>
      <c r="S558" s="75">
        <v>0</v>
      </c>
      <c r="T558" s="48">
        <f t="shared" si="113"/>
        <v>160000</v>
      </c>
      <c r="U558" s="40"/>
      <c r="V558" s="40"/>
      <c r="W558" s="40"/>
      <c r="X558" s="39"/>
      <c r="Y558" s="39">
        <v>20000</v>
      </c>
      <c r="Z558" s="39">
        <v>10000</v>
      </c>
      <c r="AA558" s="39">
        <v>20000</v>
      </c>
      <c r="AB558" s="39">
        <v>20000</v>
      </c>
      <c r="AC558" s="39">
        <v>30000</v>
      </c>
      <c r="AD558" s="39">
        <v>30000</v>
      </c>
      <c r="AE558" s="39">
        <v>30000</v>
      </c>
      <c r="AF558" s="39">
        <v>20000</v>
      </c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30" t="s">
        <v>93</v>
      </c>
      <c r="AT558" s="30" t="s">
        <v>116</v>
      </c>
      <c r="AU558" s="30" t="s">
        <v>81</v>
      </c>
      <c r="AV558" s="30" t="s">
        <v>117</v>
      </c>
      <c r="AW558" s="30" t="s">
        <v>143</v>
      </c>
      <c r="AX558" s="30" t="s">
        <v>1484</v>
      </c>
      <c r="AY558" s="30" t="s">
        <v>1485</v>
      </c>
      <c r="AZ558" s="30"/>
      <c r="BA558" s="30"/>
      <c r="BB558" s="30"/>
      <c r="BC558" s="58">
        <v>1</v>
      </c>
      <c r="BD558" s="30">
        <v>45828</v>
      </c>
      <c r="BE558" s="55">
        <v>44946</v>
      </c>
      <c r="BF558" s="55">
        <v>45311</v>
      </c>
      <c r="BG558" s="55">
        <v>45371</v>
      </c>
      <c r="BH558" s="55">
        <v>45463</v>
      </c>
      <c r="BI558" s="55">
        <v>45493</v>
      </c>
      <c r="BJ558" s="64">
        <v>1</v>
      </c>
      <c r="BK558" s="39">
        <v>5</v>
      </c>
      <c r="BL558" s="63">
        <f t="shared" si="103"/>
        <v>11000</v>
      </c>
      <c r="BM558" s="63">
        <f t="shared" si="104"/>
        <v>5500</v>
      </c>
      <c r="BN558" s="63">
        <f t="shared" si="105"/>
        <v>11000</v>
      </c>
      <c r="BO558" s="63">
        <f t="shared" si="106"/>
        <v>11000</v>
      </c>
      <c r="BP558" s="63">
        <f t="shared" si="107"/>
        <v>16500</v>
      </c>
      <c r="BQ558" s="63">
        <f t="shared" si="108"/>
        <v>16500</v>
      </c>
      <c r="BR558" s="63">
        <f t="shared" si="109"/>
        <v>16500</v>
      </c>
      <c r="BS558" s="63">
        <f t="shared" si="110"/>
        <v>11000</v>
      </c>
    </row>
    <row r="559" spans="1:71">
      <c r="A559" s="28">
        <f t="shared" si="111"/>
        <v>558</v>
      </c>
      <c r="B559" s="31" t="s">
        <v>1558</v>
      </c>
      <c r="C559" s="30" t="s">
        <v>527</v>
      </c>
      <c r="D559" s="30" t="s">
        <v>1559</v>
      </c>
      <c r="E559" s="30" t="s">
        <v>111</v>
      </c>
      <c r="F559" s="30" t="s">
        <v>1560</v>
      </c>
      <c r="G559" s="30" t="s">
        <v>311</v>
      </c>
      <c r="H559" s="35" t="s">
        <v>312</v>
      </c>
      <c r="I559" s="30"/>
      <c r="J559" s="30"/>
      <c r="K559" s="31" t="s">
        <v>1485</v>
      </c>
      <c r="L559" s="40">
        <v>500000</v>
      </c>
      <c r="M559" s="39" t="s">
        <v>57</v>
      </c>
      <c r="N559" s="31"/>
      <c r="O559" s="30" t="s">
        <v>1562</v>
      </c>
      <c r="P559" s="30"/>
      <c r="Q559" s="89">
        <v>0.75</v>
      </c>
      <c r="R559" s="47">
        <f t="shared" si="112"/>
        <v>3750</v>
      </c>
      <c r="S559" s="75">
        <v>0</v>
      </c>
      <c r="T559" s="48">
        <f t="shared" si="113"/>
        <v>5000</v>
      </c>
      <c r="U559" s="40"/>
      <c r="V559" s="40"/>
      <c r="W559" s="40"/>
      <c r="X559" s="39"/>
      <c r="Y559" s="39"/>
      <c r="Z559" s="39"/>
      <c r="AA559" s="39"/>
      <c r="AB559" s="39"/>
      <c r="AC559" s="39"/>
      <c r="AD559" s="39"/>
      <c r="AE559" s="39"/>
      <c r="AF559" s="39">
        <v>5000</v>
      </c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30" t="s">
        <v>93</v>
      </c>
      <c r="AT559" s="30" t="s">
        <v>116</v>
      </c>
      <c r="AU559" s="30" t="s">
        <v>81</v>
      </c>
      <c r="AV559" s="30" t="s">
        <v>117</v>
      </c>
      <c r="AW559" s="30" t="s">
        <v>143</v>
      </c>
      <c r="AX559" s="30" t="s">
        <v>1484</v>
      </c>
      <c r="AY559" s="30" t="s">
        <v>1485</v>
      </c>
      <c r="AZ559" s="30"/>
      <c r="BA559" s="30"/>
      <c r="BB559" s="30"/>
      <c r="BC559" s="58"/>
      <c r="BD559" s="30">
        <v>45828</v>
      </c>
      <c r="BE559" s="55">
        <v>45311</v>
      </c>
      <c r="BF559" s="55">
        <v>45463</v>
      </c>
      <c r="BG559" s="55">
        <v>45524</v>
      </c>
      <c r="BH559" s="55">
        <v>45616</v>
      </c>
      <c r="BI559" s="55">
        <v>45646</v>
      </c>
      <c r="BJ559" s="64">
        <v>0.2</v>
      </c>
      <c r="BK559" s="39">
        <v>5</v>
      </c>
      <c r="BL559" s="63">
        <f t="shared" si="103"/>
        <v>0</v>
      </c>
      <c r="BM559" s="63">
        <f t="shared" si="104"/>
        <v>0</v>
      </c>
      <c r="BN559" s="63">
        <f t="shared" si="105"/>
        <v>0</v>
      </c>
      <c r="BO559" s="63">
        <f t="shared" si="106"/>
        <v>0</v>
      </c>
      <c r="BP559" s="63">
        <f t="shared" si="107"/>
        <v>0</v>
      </c>
      <c r="BQ559" s="63">
        <f t="shared" si="108"/>
        <v>0</v>
      </c>
      <c r="BR559" s="63">
        <f t="shared" si="109"/>
        <v>0</v>
      </c>
      <c r="BS559" s="63">
        <f t="shared" si="110"/>
        <v>3750</v>
      </c>
    </row>
    <row r="560" spans="1:71">
      <c r="A560" s="28">
        <f t="shared" si="111"/>
        <v>559</v>
      </c>
      <c r="B560" s="31" t="s">
        <v>1558</v>
      </c>
      <c r="C560" s="30" t="s">
        <v>527</v>
      </c>
      <c r="D560" s="30" t="s">
        <v>1559</v>
      </c>
      <c r="E560" s="30" t="s">
        <v>111</v>
      </c>
      <c r="F560" s="30" t="s">
        <v>1560</v>
      </c>
      <c r="G560" s="30" t="s">
        <v>261</v>
      </c>
      <c r="H560" s="35" t="s">
        <v>262</v>
      </c>
      <c r="I560" s="30"/>
      <c r="J560" s="30"/>
      <c r="K560" s="31" t="s">
        <v>1563</v>
      </c>
      <c r="L560" s="40">
        <v>200000</v>
      </c>
      <c r="M560" s="39" t="s">
        <v>114</v>
      </c>
      <c r="N560" s="31"/>
      <c r="O560" s="30" t="s">
        <v>1564</v>
      </c>
      <c r="P560" s="30"/>
      <c r="Q560" s="89">
        <v>0.45</v>
      </c>
      <c r="R560" s="47">
        <f t="shared" si="112"/>
        <v>10800</v>
      </c>
      <c r="S560" s="75">
        <v>0</v>
      </c>
      <c r="T560" s="48">
        <f t="shared" si="113"/>
        <v>24000</v>
      </c>
      <c r="U560" s="40"/>
      <c r="V560" s="40"/>
      <c r="W560" s="40"/>
      <c r="X560" s="39"/>
      <c r="Y560" s="39"/>
      <c r="Z560" s="39"/>
      <c r="AA560" s="39"/>
      <c r="AB560" s="39"/>
      <c r="AC560" s="39"/>
      <c r="AD560" s="39">
        <v>8000</v>
      </c>
      <c r="AE560" s="39">
        <v>8000</v>
      </c>
      <c r="AF560" s="39">
        <v>8000</v>
      </c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30" t="s">
        <v>93</v>
      </c>
      <c r="AT560" s="30" t="s">
        <v>116</v>
      </c>
      <c r="AU560" s="30" t="s">
        <v>81</v>
      </c>
      <c r="AV560" s="30" t="s">
        <v>117</v>
      </c>
      <c r="AW560" s="30" t="s">
        <v>143</v>
      </c>
      <c r="AX560" s="30" t="s">
        <v>1484</v>
      </c>
      <c r="AY560" s="30" t="s">
        <v>1563</v>
      </c>
      <c r="AZ560" s="30" t="s">
        <v>1565</v>
      </c>
      <c r="BA560" s="30"/>
      <c r="BB560" s="30"/>
      <c r="BC560" s="58">
        <v>2</v>
      </c>
      <c r="BD560" s="30">
        <v>45736</v>
      </c>
      <c r="BE560" s="55">
        <v>45311</v>
      </c>
      <c r="BF560" s="55">
        <v>45342</v>
      </c>
      <c r="BG560" s="55">
        <v>45371</v>
      </c>
      <c r="BH560" s="55">
        <v>45432</v>
      </c>
      <c r="BI560" s="55">
        <v>45493</v>
      </c>
      <c r="BJ560" s="64">
        <v>1</v>
      </c>
      <c r="BK560" s="39">
        <v>5</v>
      </c>
      <c r="BL560" s="63">
        <f t="shared" si="103"/>
        <v>0</v>
      </c>
      <c r="BM560" s="63">
        <f t="shared" si="104"/>
        <v>0</v>
      </c>
      <c r="BN560" s="63">
        <f t="shared" si="105"/>
        <v>0</v>
      </c>
      <c r="BO560" s="63">
        <f t="shared" si="106"/>
        <v>0</v>
      </c>
      <c r="BP560" s="63">
        <f t="shared" si="107"/>
        <v>0</v>
      </c>
      <c r="BQ560" s="63">
        <f t="shared" si="108"/>
        <v>3600</v>
      </c>
      <c r="BR560" s="63">
        <f t="shared" si="109"/>
        <v>3600</v>
      </c>
      <c r="BS560" s="63">
        <f t="shared" si="110"/>
        <v>3600</v>
      </c>
    </row>
    <row r="561" spans="1:71">
      <c r="A561" s="28">
        <f t="shared" si="111"/>
        <v>560</v>
      </c>
      <c r="B561" s="31" t="s">
        <v>1558</v>
      </c>
      <c r="C561" s="30" t="s">
        <v>527</v>
      </c>
      <c r="D561" s="30" t="s">
        <v>1559</v>
      </c>
      <c r="E561" s="30" t="s">
        <v>111</v>
      </c>
      <c r="F561" s="30" t="s">
        <v>1560</v>
      </c>
      <c r="G561" s="30" t="s">
        <v>391</v>
      </c>
      <c r="H561" s="35" t="s">
        <v>392</v>
      </c>
      <c r="I561" s="30"/>
      <c r="J561" s="30"/>
      <c r="K561" s="31" t="s">
        <v>1566</v>
      </c>
      <c r="L561" s="40">
        <v>200000</v>
      </c>
      <c r="M561" s="39" t="s">
        <v>57</v>
      </c>
      <c r="N561" s="31"/>
      <c r="O561" s="30" t="s">
        <v>1567</v>
      </c>
      <c r="P561" s="30"/>
      <c r="Q561" s="89">
        <v>2.8</v>
      </c>
      <c r="R561" s="47">
        <f t="shared" si="112"/>
        <v>42000</v>
      </c>
      <c r="S561" s="75">
        <v>0</v>
      </c>
      <c r="T561" s="48">
        <f t="shared" si="113"/>
        <v>15000</v>
      </c>
      <c r="U561" s="40"/>
      <c r="V561" s="40"/>
      <c r="W561" s="40"/>
      <c r="X561" s="39"/>
      <c r="Y561" s="39"/>
      <c r="Z561" s="39"/>
      <c r="AA561" s="39"/>
      <c r="AB561" s="39"/>
      <c r="AC561" s="39"/>
      <c r="AD561" s="39">
        <v>5000</v>
      </c>
      <c r="AE561" s="39">
        <v>5000</v>
      </c>
      <c r="AF561" s="39">
        <v>5000</v>
      </c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30" t="s">
        <v>572</v>
      </c>
      <c r="AT561" s="30" t="s">
        <v>116</v>
      </c>
      <c r="AU561" s="30" t="s">
        <v>545</v>
      </c>
      <c r="AV561" s="30" t="s">
        <v>117</v>
      </c>
      <c r="AW561" s="30" t="s">
        <v>143</v>
      </c>
      <c r="AX561" s="30" t="s">
        <v>1484</v>
      </c>
      <c r="AY561" s="30" t="s">
        <v>1568</v>
      </c>
      <c r="AZ561" s="30"/>
      <c r="BA561" s="30"/>
      <c r="BB561" s="30"/>
      <c r="BC561" s="58"/>
      <c r="BD561" s="30">
        <v>45736</v>
      </c>
      <c r="BE561" s="55">
        <v>44946</v>
      </c>
      <c r="BF561" s="55">
        <v>45311</v>
      </c>
      <c r="BG561" s="55">
        <v>45371</v>
      </c>
      <c r="BH561" s="55">
        <v>45463</v>
      </c>
      <c r="BI561" s="55">
        <v>45493</v>
      </c>
      <c r="BJ561" s="64">
        <v>1</v>
      </c>
      <c r="BK561" s="39">
        <v>5</v>
      </c>
      <c r="BL561" s="63">
        <f t="shared" si="103"/>
        <v>0</v>
      </c>
      <c r="BM561" s="63">
        <f t="shared" si="104"/>
        <v>0</v>
      </c>
      <c r="BN561" s="63">
        <f t="shared" si="105"/>
        <v>0</v>
      </c>
      <c r="BO561" s="63">
        <f t="shared" si="106"/>
        <v>0</v>
      </c>
      <c r="BP561" s="63">
        <f t="shared" si="107"/>
        <v>0</v>
      </c>
      <c r="BQ561" s="63">
        <f t="shared" si="108"/>
        <v>14000</v>
      </c>
      <c r="BR561" s="63">
        <f t="shared" si="109"/>
        <v>14000</v>
      </c>
      <c r="BS561" s="63">
        <f t="shared" si="110"/>
        <v>14000</v>
      </c>
    </row>
    <row r="562" spans="1:71">
      <c r="A562" s="28">
        <f t="shared" si="111"/>
        <v>561</v>
      </c>
      <c r="B562" s="31" t="s">
        <v>1569</v>
      </c>
      <c r="C562" s="30" t="s">
        <v>72</v>
      </c>
      <c r="D562" s="30" t="s">
        <v>1570</v>
      </c>
      <c r="E562" s="30" t="s">
        <v>111</v>
      </c>
      <c r="F562" s="30" t="s">
        <v>1571</v>
      </c>
      <c r="G562" s="30" t="s">
        <v>324</v>
      </c>
      <c r="H562" s="35" t="s">
        <v>325</v>
      </c>
      <c r="I562" s="30"/>
      <c r="J562" s="30"/>
      <c r="K562" s="31" t="s">
        <v>1572</v>
      </c>
      <c r="L562" s="40">
        <v>700000</v>
      </c>
      <c r="M562" s="39" t="s">
        <v>79</v>
      </c>
      <c r="N562" s="31"/>
      <c r="O562" s="30" t="s">
        <v>115</v>
      </c>
      <c r="P562" s="30"/>
      <c r="Q562" s="89">
        <v>0.235</v>
      </c>
      <c r="R562" s="47">
        <f t="shared" si="112"/>
        <v>32900</v>
      </c>
      <c r="S562" s="75">
        <v>0</v>
      </c>
      <c r="T562" s="48">
        <f t="shared" si="113"/>
        <v>140000</v>
      </c>
      <c r="U562" s="40"/>
      <c r="V562" s="40"/>
      <c r="W562" s="40"/>
      <c r="X562" s="39">
        <v>18000</v>
      </c>
      <c r="Y562" s="39">
        <v>20000</v>
      </c>
      <c r="Z562" s="39">
        <v>20000</v>
      </c>
      <c r="AA562" s="39">
        <v>20000</v>
      </c>
      <c r="AB562" s="39">
        <v>20000</v>
      </c>
      <c r="AC562" s="39">
        <v>20000</v>
      </c>
      <c r="AD562" s="39">
        <v>20000</v>
      </c>
      <c r="AE562" s="39">
        <v>20000</v>
      </c>
      <c r="AF562" s="39">
        <v>20000</v>
      </c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30" t="s">
        <v>80</v>
      </c>
      <c r="AT562" s="30" t="s">
        <v>116</v>
      </c>
      <c r="AU562" s="30" t="s">
        <v>81</v>
      </c>
      <c r="AV562" s="30" t="s">
        <v>581</v>
      </c>
      <c r="AW562" s="30" t="s">
        <v>582</v>
      </c>
      <c r="AX562" s="30" t="s">
        <v>586</v>
      </c>
      <c r="AY562" s="30"/>
      <c r="AZ562" s="30" t="s">
        <v>1573</v>
      </c>
      <c r="BA562" s="30"/>
      <c r="BB562" s="30"/>
      <c r="BC562" s="58">
        <v>2</v>
      </c>
      <c r="BD562" s="30">
        <v>45646</v>
      </c>
      <c r="BE562" s="55">
        <v>45402</v>
      </c>
      <c r="BF562" s="55">
        <v>45432</v>
      </c>
      <c r="BG562" s="55">
        <v>45463</v>
      </c>
      <c r="BH562" s="55">
        <v>45493</v>
      </c>
      <c r="BI562" s="55">
        <v>45524</v>
      </c>
      <c r="BJ562" s="64">
        <v>1</v>
      </c>
      <c r="BK562" s="39">
        <v>5</v>
      </c>
      <c r="BL562" s="63">
        <f t="shared" ref="BL562:BL582" si="114">$Q562*Y562</f>
        <v>4700</v>
      </c>
      <c r="BM562" s="63">
        <f t="shared" si="104"/>
        <v>4700</v>
      </c>
      <c r="BN562" s="63">
        <f t="shared" si="105"/>
        <v>4700</v>
      </c>
      <c r="BO562" s="63">
        <f t="shared" si="106"/>
        <v>4700</v>
      </c>
      <c r="BP562" s="63">
        <f t="shared" si="107"/>
        <v>4700</v>
      </c>
      <c r="BQ562" s="63">
        <f t="shared" si="108"/>
        <v>4700</v>
      </c>
      <c r="BR562" s="63">
        <f t="shared" si="109"/>
        <v>4700</v>
      </c>
      <c r="BS562" s="63">
        <f t="shared" si="110"/>
        <v>4700</v>
      </c>
    </row>
    <row r="563" spans="1:71">
      <c r="A563" s="28">
        <f t="shared" si="111"/>
        <v>562</v>
      </c>
      <c r="B563" s="31" t="s">
        <v>1569</v>
      </c>
      <c r="C563" s="30" t="s">
        <v>72</v>
      </c>
      <c r="D563" s="30" t="s">
        <v>1570</v>
      </c>
      <c r="E563" s="30" t="s">
        <v>111</v>
      </c>
      <c r="F563" s="30" t="s">
        <v>1571</v>
      </c>
      <c r="G563" s="30" t="s">
        <v>362</v>
      </c>
      <c r="H563" s="35"/>
      <c r="I563" s="30"/>
      <c r="J563" s="30"/>
      <c r="K563" s="31" t="s">
        <v>1574</v>
      </c>
      <c r="L563" s="40">
        <v>120000</v>
      </c>
      <c r="M563" s="39" t="s">
        <v>79</v>
      </c>
      <c r="N563" s="31"/>
      <c r="O563" s="30" t="s">
        <v>1575</v>
      </c>
      <c r="P563" s="30"/>
      <c r="Q563" s="89">
        <v>2.3</v>
      </c>
      <c r="R563" s="47">
        <f t="shared" si="112"/>
        <v>8050</v>
      </c>
      <c r="S563" s="75">
        <v>0</v>
      </c>
      <c r="T563" s="48">
        <f t="shared" si="113"/>
        <v>3500</v>
      </c>
      <c r="U563" s="40"/>
      <c r="V563" s="40"/>
      <c r="W563" s="40"/>
      <c r="X563" s="39"/>
      <c r="Y563" s="39"/>
      <c r="Z563" s="39">
        <v>500</v>
      </c>
      <c r="AA563" s="39">
        <v>500</v>
      </c>
      <c r="AB563" s="39">
        <v>500</v>
      </c>
      <c r="AC563" s="39">
        <v>500</v>
      </c>
      <c r="AD563" s="39">
        <v>500</v>
      </c>
      <c r="AE563" s="39">
        <v>500</v>
      </c>
      <c r="AF563" s="39">
        <v>500</v>
      </c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30" t="s">
        <v>105</v>
      </c>
      <c r="AT563" s="30" t="s">
        <v>116</v>
      </c>
      <c r="AU563" s="30" t="s">
        <v>532</v>
      </c>
      <c r="AV563" s="30" t="s">
        <v>106</v>
      </c>
      <c r="AW563" s="30" t="s">
        <v>638</v>
      </c>
      <c r="AX563" s="30"/>
      <c r="AY563" s="30"/>
      <c r="AZ563" s="30"/>
      <c r="BA563" s="30"/>
      <c r="BB563" s="30"/>
      <c r="BC563" s="58">
        <v>1</v>
      </c>
      <c r="BD563" s="30">
        <v>45493</v>
      </c>
      <c r="BE563" s="55">
        <v>45371</v>
      </c>
      <c r="BF563" s="55">
        <v>45402</v>
      </c>
      <c r="BG563" s="55">
        <v>45432</v>
      </c>
      <c r="BH563" s="55">
        <v>45432</v>
      </c>
      <c r="BI563" s="55">
        <v>45432</v>
      </c>
      <c r="BJ563" s="64">
        <v>1</v>
      </c>
      <c r="BK563" s="39">
        <v>5</v>
      </c>
      <c r="BL563" s="63">
        <f t="shared" si="114"/>
        <v>0</v>
      </c>
      <c r="BM563" s="63">
        <f t="shared" si="104"/>
        <v>1150</v>
      </c>
      <c r="BN563" s="63">
        <f t="shared" si="105"/>
        <v>1150</v>
      </c>
      <c r="BO563" s="63">
        <f t="shared" si="106"/>
        <v>1150</v>
      </c>
      <c r="BP563" s="63">
        <f t="shared" si="107"/>
        <v>1150</v>
      </c>
      <c r="BQ563" s="63">
        <f t="shared" si="108"/>
        <v>1150</v>
      </c>
      <c r="BR563" s="63">
        <f t="shared" si="109"/>
        <v>1150</v>
      </c>
      <c r="BS563" s="63">
        <f t="shared" si="110"/>
        <v>1150</v>
      </c>
    </row>
    <row r="564" spans="1:71">
      <c r="A564" s="28">
        <f t="shared" si="111"/>
        <v>563</v>
      </c>
      <c r="B564" s="31" t="s">
        <v>1569</v>
      </c>
      <c r="C564" s="30" t="s">
        <v>72</v>
      </c>
      <c r="D564" s="30" t="s">
        <v>1570</v>
      </c>
      <c r="E564" s="30" t="s">
        <v>111</v>
      </c>
      <c r="F564" s="30" t="s">
        <v>1571</v>
      </c>
      <c r="G564" s="30" t="s">
        <v>294</v>
      </c>
      <c r="H564" s="35"/>
      <c r="I564" s="30"/>
      <c r="J564" s="30"/>
      <c r="K564" s="31" t="s">
        <v>1576</v>
      </c>
      <c r="L564" s="40">
        <v>10000000</v>
      </c>
      <c r="M564" s="39" t="s">
        <v>56</v>
      </c>
      <c r="N564" s="31"/>
      <c r="O564" s="30" t="s">
        <v>1577</v>
      </c>
      <c r="P564" s="30"/>
      <c r="Q564" s="89">
        <v>0.68</v>
      </c>
      <c r="R564" s="47">
        <f t="shared" si="112"/>
        <v>10200</v>
      </c>
      <c r="S564" s="75">
        <v>0</v>
      </c>
      <c r="T564" s="48">
        <f t="shared" si="113"/>
        <v>15000</v>
      </c>
      <c r="U564" s="40"/>
      <c r="V564" s="40"/>
      <c r="W564" s="40"/>
      <c r="X564" s="39"/>
      <c r="Y564" s="39"/>
      <c r="Z564" s="39"/>
      <c r="AA564" s="39"/>
      <c r="AB564" s="39"/>
      <c r="AC564" s="39"/>
      <c r="AD564" s="39">
        <v>5000</v>
      </c>
      <c r="AE564" s="39">
        <v>5000</v>
      </c>
      <c r="AF564" s="39">
        <v>5000</v>
      </c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30" t="s">
        <v>105</v>
      </c>
      <c r="AT564" s="30" t="s">
        <v>116</v>
      </c>
      <c r="AU564" s="30" t="s">
        <v>81</v>
      </c>
      <c r="AV564" s="30" t="s">
        <v>106</v>
      </c>
      <c r="AW564" s="30" t="s">
        <v>638</v>
      </c>
      <c r="AX564" s="30"/>
      <c r="AY564" s="30"/>
      <c r="AZ564" s="30"/>
      <c r="BA564" s="30"/>
      <c r="BB564" s="30"/>
      <c r="BC564" s="58">
        <v>1</v>
      </c>
      <c r="BD564" s="30">
        <v>45493</v>
      </c>
      <c r="BE564" s="55">
        <v>45371</v>
      </c>
      <c r="BF564" s="55">
        <v>45402</v>
      </c>
      <c r="BG564" s="55">
        <v>45432</v>
      </c>
      <c r="BH564" s="55">
        <v>45432</v>
      </c>
      <c r="BI564" s="55">
        <v>45432</v>
      </c>
      <c r="BJ564" s="64">
        <v>1</v>
      </c>
      <c r="BK564" s="39">
        <v>5</v>
      </c>
      <c r="BL564" s="63">
        <f t="shared" si="114"/>
        <v>0</v>
      </c>
      <c r="BM564" s="63">
        <f t="shared" si="104"/>
        <v>0</v>
      </c>
      <c r="BN564" s="63">
        <f t="shared" si="105"/>
        <v>0</v>
      </c>
      <c r="BO564" s="63">
        <f t="shared" si="106"/>
        <v>0</v>
      </c>
      <c r="BP564" s="63">
        <f t="shared" si="107"/>
        <v>0</v>
      </c>
      <c r="BQ564" s="63">
        <f t="shared" si="108"/>
        <v>3400</v>
      </c>
      <c r="BR564" s="63">
        <f t="shared" si="109"/>
        <v>3400</v>
      </c>
      <c r="BS564" s="63">
        <f t="shared" si="110"/>
        <v>3400</v>
      </c>
    </row>
    <row r="565" spans="1:71">
      <c r="A565" s="28">
        <f t="shared" si="111"/>
        <v>564</v>
      </c>
      <c r="B565" s="31" t="s">
        <v>1578</v>
      </c>
      <c r="C565" s="30" t="s">
        <v>92</v>
      </c>
      <c r="D565" s="30" t="s">
        <v>1203</v>
      </c>
      <c r="E565" s="30" t="s">
        <v>111</v>
      </c>
      <c r="F565" s="30" t="s">
        <v>1579</v>
      </c>
      <c r="G565" s="30" t="s">
        <v>439</v>
      </c>
      <c r="H565" s="35" t="s">
        <v>440</v>
      </c>
      <c r="I565" s="30"/>
      <c r="J565" s="30"/>
      <c r="K565" s="31" t="s">
        <v>1580</v>
      </c>
      <c r="L565" s="40">
        <v>300000</v>
      </c>
      <c r="M565" s="39" t="s">
        <v>79</v>
      </c>
      <c r="N565" s="31"/>
      <c r="O565" s="30" t="s">
        <v>1581</v>
      </c>
      <c r="P565" s="30"/>
      <c r="Q565" s="89">
        <v>2.2</v>
      </c>
      <c r="R565" s="47">
        <f t="shared" si="112"/>
        <v>682000</v>
      </c>
      <c r="S565" s="75">
        <v>0</v>
      </c>
      <c r="T565" s="48">
        <f t="shared" si="113"/>
        <v>310000</v>
      </c>
      <c r="U565" s="40"/>
      <c r="V565" s="40"/>
      <c r="W565" s="40">
        <v>47000</v>
      </c>
      <c r="X565" s="39">
        <v>20000</v>
      </c>
      <c r="Y565" s="39">
        <v>30000</v>
      </c>
      <c r="Z565" s="39">
        <v>30000</v>
      </c>
      <c r="AA565" s="39">
        <v>40000</v>
      </c>
      <c r="AB565" s="39">
        <v>40000</v>
      </c>
      <c r="AC565" s="39">
        <v>50000</v>
      </c>
      <c r="AD565" s="39">
        <v>50000</v>
      </c>
      <c r="AE565" s="39">
        <v>50000</v>
      </c>
      <c r="AF565" s="39">
        <v>50000</v>
      </c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30" t="s">
        <v>116</v>
      </c>
      <c r="AT565" s="30" t="s">
        <v>116</v>
      </c>
      <c r="AU565" s="30" t="s">
        <v>688</v>
      </c>
      <c r="AV565" s="30" t="s">
        <v>135</v>
      </c>
      <c r="AW565" s="30" t="s">
        <v>681</v>
      </c>
      <c r="AX565" s="30"/>
      <c r="AY565" s="30"/>
      <c r="AZ565" s="30"/>
      <c r="BA565" s="30"/>
      <c r="BB565" s="30"/>
      <c r="BC565" s="58"/>
      <c r="BD565" s="30">
        <v>45493</v>
      </c>
      <c r="BE565" s="55">
        <v>45371</v>
      </c>
      <c r="BF565" s="55">
        <v>45402</v>
      </c>
      <c r="BG565" s="55">
        <v>45432</v>
      </c>
      <c r="BH565" s="55">
        <v>45463</v>
      </c>
      <c r="BI565" s="55">
        <v>45463</v>
      </c>
      <c r="BJ565" s="64">
        <v>1</v>
      </c>
      <c r="BK565" s="39">
        <v>5</v>
      </c>
      <c r="BL565" s="63">
        <f t="shared" si="114"/>
        <v>66000</v>
      </c>
      <c r="BM565" s="63">
        <f t="shared" si="104"/>
        <v>66000</v>
      </c>
      <c r="BN565" s="63">
        <f t="shared" si="105"/>
        <v>88000</v>
      </c>
      <c r="BO565" s="63">
        <f t="shared" si="106"/>
        <v>88000</v>
      </c>
      <c r="BP565" s="63">
        <f t="shared" si="107"/>
        <v>110000</v>
      </c>
      <c r="BQ565" s="63">
        <f t="shared" si="108"/>
        <v>110000</v>
      </c>
      <c r="BR565" s="63">
        <f t="shared" si="109"/>
        <v>110000</v>
      </c>
      <c r="BS565" s="63">
        <f t="shared" si="110"/>
        <v>110000</v>
      </c>
    </row>
    <row r="566" spans="1:71">
      <c r="A566" s="28">
        <f t="shared" si="111"/>
        <v>565</v>
      </c>
      <c r="B566" s="31" t="s">
        <v>1582</v>
      </c>
      <c r="C566" s="30" t="s">
        <v>92</v>
      </c>
      <c r="D566" s="30" t="s">
        <v>1148</v>
      </c>
      <c r="E566" s="30" t="s">
        <v>111</v>
      </c>
      <c r="F566" s="30" t="s">
        <v>1583</v>
      </c>
      <c r="G566" s="30" t="s">
        <v>452</v>
      </c>
      <c r="H566" s="35" t="s">
        <v>454</v>
      </c>
      <c r="I566" s="30"/>
      <c r="J566" s="30"/>
      <c r="K566" s="31" t="s">
        <v>1584</v>
      </c>
      <c r="L566" s="40">
        <v>300000</v>
      </c>
      <c r="M566" s="39" t="s">
        <v>57</v>
      </c>
      <c r="N566" s="31"/>
      <c r="O566" s="30" t="s">
        <v>115</v>
      </c>
      <c r="P566" s="30"/>
      <c r="Q566" s="89">
        <v>2.52</v>
      </c>
      <c r="R566" s="47">
        <f t="shared" si="112"/>
        <v>80640</v>
      </c>
      <c r="S566" s="75">
        <v>0</v>
      </c>
      <c r="T566" s="48">
        <f t="shared" si="113"/>
        <v>32000</v>
      </c>
      <c r="U566" s="40"/>
      <c r="V566" s="40"/>
      <c r="W566" s="40"/>
      <c r="X566" s="39"/>
      <c r="Y566" s="39">
        <v>1000</v>
      </c>
      <c r="Z566" s="39">
        <v>3000</v>
      </c>
      <c r="AA566" s="39">
        <v>3000</v>
      </c>
      <c r="AB566" s="39">
        <v>3000</v>
      </c>
      <c r="AC566" s="39">
        <v>5000</v>
      </c>
      <c r="AD566" s="39">
        <v>5000</v>
      </c>
      <c r="AE566" s="39">
        <v>5000</v>
      </c>
      <c r="AF566" s="39">
        <v>8000</v>
      </c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30" t="s">
        <v>116</v>
      </c>
      <c r="AT566" s="30" t="s">
        <v>116</v>
      </c>
      <c r="AU566" s="30" t="s">
        <v>688</v>
      </c>
      <c r="AV566" s="30" t="s">
        <v>135</v>
      </c>
      <c r="AW566" s="30" t="s">
        <v>681</v>
      </c>
      <c r="AX566" s="30"/>
      <c r="AY566" s="30"/>
      <c r="AZ566" s="30"/>
      <c r="BA566" s="30"/>
      <c r="BB566" s="30"/>
      <c r="BC566" s="58"/>
      <c r="BD566" s="30">
        <v>45828</v>
      </c>
      <c r="BE566" s="55">
        <v>45889</v>
      </c>
      <c r="BF566" s="55">
        <v>45889</v>
      </c>
      <c r="BG566" s="55">
        <v>45585</v>
      </c>
      <c r="BH566" s="55">
        <v>45646</v>
      </c>
      <c r="BI566" s="55">
        <v>45708</v>
      </c>
      <c r="BJ566" s="64">
        <v>1</v>
      </c>
      <c r="BK566" s="39">
        <v>5</v>
      </c>
      <c r="BL566" s="63">
        <f t="shared" si="114"/>
        <v>2520</v>
      </c>
      <c r="BM566" s="63">
        <f t="shared" si="104"/>
        <v>7560</v>
      </c>
      <c r="BN566" s="63">
        <f t="shared" si="105"/>
        <v>7560</v>
      </c>
      <c r="BO566" s="63">
        <f t="shared" si="106"/>
        <v>7560</v>
      </c>
      <c r="BP566" s="63">
        <f t="shared" si="107"/>
        <v>12600</v>
      </c>
      <c r="BQ566" s="63">
        <f t="shared" si="108"/>
        <v>12600</v>
      </c>
      <c r="BR566" s="63">
        <f t="shared" si="109"/>
        <v>12600</v>
      </c>
      <c r="BS566" s="63">
        <f t="shared" si="110"/>
        <v>20160</v>
      </c>
    </row>
    <row r="567" spans="1:71">
      <c r="A567" s="28">
        <f t="shared" si="111"/>
        <v>566</v>
      </c>
      <c r="B567" s="31" t="s">
        <v>1585</v>
      </c>
      <c r="C567" s="30" t="s">
        <v>92</v>
      </c>
      <c r="D567" s="30" t="s">
        <v>137</v>
      </c>
      <c r="E567" s="30" t="s">
        <v>111</v>
      </c>
      <c r="F567" s="30" t="s">
        <v>1586</v>
      </c>
      <c r="G567" s="30" t="s">
        <v>270</v>
      </c>
      <c r="H567" s="35" t="s">
        <v>271</v>
      </c>
      <c r="I567" s="30"/>
      <c r="J567" s="30"/>
      <c r="K567" s="31" t="s">
        <v>1587</v>
      </c>
      <c r="L567" s="40">
        <v>4000000</v>
      </c>
      <c r="M567" s="39" t="s">
        <v>57</v>
      </c>
      <c r="N567" s="31"/>
      <c r="O567" s="30" t="s">
        <v>1510</v>
      </c>
      <c r="P567" s="30"/>
      <c r="Q567" s="89">
        <v>0.452</v>
      </c>
      <c r="R567" s="47">
        <f t="shared" si="112"/>
        <v>31640</v>
      </c>
      <c r="S567" s="75">
        <v>0</v>
      </c>
      <c r="T567" s="48">
        <f t="shared" si="113"/>
        <v>70000</v>
      </c>
      <c r="U567" s="40"/>
      <c r="V567" s="40"/>
      <c r="W567" s="40"/>
      <c r="X567" s="39"/>
      <c r="Y567" s="39"/>
      <c r="Z567" s="39"/>
      <c r="AA567" s="39">
        <v>5000</v>
      </c>
      <c r="AB567" s="39">
        <v>5000</v>
      </c>
      <c r="AC567" s="39">
        <v>10000</v>
      </c>
      <c r="AD567" s="39">
        <v>10000</v>
      </c>
      <c r="AE567" s="39">
        <v>20000</v>
      </c>
      <c r="AF567" s="39">
        <v>20000</v>
      </c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30" t="s">
        <v>116</v>
      </c>
      <c r="AT567" s="30" t="s">
        <v>116</v>
      </c>
      <c r="AU567" s="30" t="s">
        <v>81</v>
      </c>
      <c r="AV567" s="30" t="s">
        <v>117</v>
      </c>
      <c r="AW567" s="30" t="s">
        <v>143</v>
      </c>
      <c r="AX567" s="30" t="s">
        <v>960</v>
      </c>
      <c r="AY567" s="30" t="s">
        <v>961</v>
      </c>
      <c r="AZ567" s="30" t="s">
        <v>1588</v>
      </c>
      <c r="BA567" s="30"/>
      <c r="BB567" s="30"/>
      <c r="BC567" s="58">
        <v>2</v>
      </c>
      <c r="BD567" s="30">
        <v>45858</v>
      </c>
      <c r="BE567" s="55">
        <v>45524</v>
      </c>
      <c r="BF567" s="55">
        <v>45541</v>
      </c>
      <c r="BG567" s="55">
        <v>45585</v>
      </c>
      <c r="BH567" s="55">
        <v>45677</v>
      </c>
      <c r="BI567" s="55">
        <v>45736</v>
      </c>
      <c r="BJ567" s="64">
        <v>1</v>
      </c>
      <c r="BK567" s="39">
        <v>5</v>
      </c>
      <c r="BL567" s="63">
        <f t="shared" si="114"/>
        <v>0</v>
      </c>
      <c r="BM567" s="63">
        <f t="shared" si="104"/>
        <v>0</v>
      </c>
      <c r="BN567" s="63">
        <f t="shared" si="105"/>
        <v>2260</v>
      </c>
      <c r="BO567" s="63">
        <f t="shared" si="106"/>
        <v>2260</v>
      </c>
      <c r="BP567" s="63">
        <f t="shared" si="107"/>
        <v>4520</v>
      </c>
      <c r="BQ567" s="63">
        <f t="shared" si="108"/>
        <v>4520</v>
      </c>
      <c r="BR567" s="63">
        <f t="shared" si="109"/>
        <v>9040</v>
      </c>
      <c r="BS567" s="63">
        <f t="shared" si="110"/>
        <v>9040</v>
      </c>
    </row>
    <row r="568" spans="1:71">
      <c r="A568" s="28">
        <f t="shared" si="111"/>
        <v>567</v>
      </c>
      <c r="B568" s="31" t="s">
        <v>1585</v>
      </c>
      <c r="C568" s="30" t="s">
        <v>92</v>
      </c>
      <c r="D568" s="30" t="s">
        <v>137</v>
      </c>
      <c r="E568" s="30" t="s">
        <v>111</v>
      </c>
      <c r="F568" s="30" t="s">
        <v>1586</v>
      </c>
      <c r="G568" s="30" t="s">
        <v>167</v>
      </c>
      <c r="H568" s="35" t="s">
        <v>168</v>
      </c>
      <c r="I568" s="30"/>
      <c r="J568" s="30"/>
      <c r="K568" s="31" t="s">
        <v>1589</v>
      </c>
      <c r="L568" s="40">
        <v>200000</v>
      </c>
      <c r="M568" s="39" t="s">
        <v>56</v>
      </c>
      <c r="N568" s="31"/>
      <c r="O568" s="30" t="s">
        <v>115</v>
      </c>
      <c r="P568" s="30"/>
      <c r="Q568" s="89">
        <v>0.52</v>
      </c>
      <c r="R568" s="47">
        <f t="shared" si="112"/>
        <v>5200</v>
      </c>
      <c r="S568" s="75">
        <v>0</v>
      </c>
      <c r="T568" s="48">
        <f t="shared" si="113"/>
        <v>10000</v>
      </c>
      <c r="U568" s="40"/>
      <c r="V568" s="40"/>
      <c r="W568" s="40"/>
      <c r="X568" s="39"/>
      <c r="Y568" s="39"/>
      <c r="Z568" s="39"/>
      <c r="AA568" s="39"/>
      <c r="AB568" s="39"/>
      <c r="AC568" s="39"/>
      <c r="AD568" s="39"/>
      <c r="AE568" s="39">
        <v>5000</v>
      </c>
      <c r="AF568" s="39">
        <v>5000</v>
      </c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30" t="s">
        <v>116</v>
      </c>
      <c r="AT568" s="30" t="s">
        <v>116</v>
      </c>
      <c r="AU568" s="30" t="s">
        <v>81</v>
      </c>
      <c r="AV568" s="30" t="s">
        <v>117</v>
      </c>
      <c r="AW568" s="30" t="s">
        <v>553</v>
      </c>
      <c r="AX568" s="30" t="s">
        <v>554</v>
      </c>
      <c r="AY568" s="30" t="s">
        <v>1490</v>
      </c>
      <c r="AZ568" s="30"/>
      <c r="BA568" s="30"/>
      <c r="BB568" s="30"/>
      <c r="BC568" s="58"/>
      <c r="BD568" s="30"/>
      <c r="BE568" s="55"/>
      <c r="BF568" s="55"/>
      <c r="BG568" s="55"/>
      <c r="BH568" s="55"/>
      <c r="BI568" s="55"/>
      <c r="BJ568" s="64"/>
      <c r="BK568" s="39"/>
      <c r="BL568" s="63">
        <f t="shared" si="114"/>
        <v>0</v>
      </c>
      <c r="BM568" s="63">
        <f t="shared" si="104"/>
        <v>0</v>
      </c>
      <c r="BN568" s="63">
        <f t="shared" si="105"/>
        <v>0</v>
      </c>
      <c r="BO568" s="63">
        <f t="shared" si="106"/>
        <v>0</v>
      </c>
      <c r="BP568" s="63">
        <f t="shared" si="107"/>
        <v>0</v>
      </c>
      <c r="BQ568" s="63">
        <f t="shared" si="108"/>
        <v>0</v>
      </c>
      <c r="BR568" s="63">
        <f t="shared" si="109"/>
        <v>2600</v>
      </c>
      <c r="BS568" s="63">
        <f t="shared" si="110"/>
        <v>2600</v>
      </c>
    </row>
    <row r="569" spans="1:71">
      <c r="A569" s="28">
        <f t="shared" si="111"/>
        <v>568</v>
      </c>
      <c r="B569" s="31" t="s">
        <v>1585</v>
      </c>
      <c r="C569" s="30" t="s">
        <v>92</v>
      </c>
      <c r="D569" s="30" t="s">
        <v>137</v>
      </c>
      <c r="E569" s="30" t="s">
        <v>111</v>
      </c>
      <c r="F569" s="30" t="s">
        <v>1586</v>
      </c>
      <c r="G569" s="30" t="s">
        <v>280</v>
      </c>
      <c r="H569" s="35"/>
      <c r="I569" s="30"/>
      <c r="J569" s="30"/>
      <c r="K569" s="31" t="s">
        <v>1590</v>
      </c>
      <c r="L569" s="40">
        <v>500000</v>
      </c>
      <c r="M569" s="39" t="s">
        <v>56</v>
      </c>
      <c r="N569" s="31"/>
      <c r="O569" s="30" t="s">
        <v>1591</v>
      </c>
      <c r="P569" s="30"/>
      <c r="Q569" s="89">
        <v>0.52</v>
      </c>
      <c r="R569" s="47">
        <f t="shared" si="112"/>
        <v>5200</v>
      </c>
      <c r="S569" s="75">
        <v>0</v>
      </c>
      <c r="T569" s="48">
        <f t="shared" si="113"/>
        <v>10000</v>
      </c>
      <c r="U569" s="40"/>
      <c r="V569" s="40"/>
      <c r="W569" s="40"/>
      <c r="X569" s="39"/>
      <c r="Y569" s="39"/>
      <c r="Z569" s="39"/>
      <c r="AA569" s="39"/>
      <c r="AB569" s="39"/>
      <c r="AC569" s="39"/>
      <c r="AD569" s="39"/>
      <c r="AE569" s="39">
        <v>5000</v>
      </c>
      <c r="AF569" s="39">
        <v>5000</v>
      </c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30" t="s">
        <v>116</v>
      </c>
      <c r="AT569" s="30" t="s">
        <v>116</v>
      </c>
      <c r="AU569" s="30" t="s">
        <v>81</v>
      </c>
      <c r="AV569" s="30" t="s">
        <v>117</v>
      </c>
      <c r="AW569" s="30" t="s">
        <v>553</v>
      </c>
      <c r="AX569" s="30" t="s">
        <v>554</v>
      </c>
      <c r="AY569" s="30" t="s">
        <v>1490</v>
      </c>
      <c r="AZ569" s="30"/>
      <c r="BA569" s="30"/>
      <c r="BB569" s="30"/>
      <c r="BC569" s="58"/>
      <c r="BD569" s="30"/>
      <c r="BE569" s="55"/>
      <c r="BF569" s="55"/>
      <c r="BG569" s="55"/>
      <c r="BH569" s="55"/>
      <c r="BI569" s="55"/>
      <c r="BJ569" s="64"/>
      <c r="BK569" s="39"/>
      <c r="BL569" s="63">
        <f t="shared" si="114"/>
        <v>0</v>
      </c>
      <c r="BM569" s="63">
        <f t="shared" si="104"/>
        <v>0</v>
      </c>
      <c r="BN569" s="63">
        <f t="shared" si="105"/>
        <v>0</v>
      </c>
      <c r="BO569" s="63">
        <f t="shared" si="106"/>
        <v>0</v>
      </c>
      <c r="BP569" s="63">
        <f t="shared" si="107"/>
        <v>0</v>
      </c>
      <c r="BQ569" s="63">
        <f t="shared" si="108"/>
        <v>0</v>
      </c>
      <c r="BR569" s="63">
        <f t="shared" si="109"/>
        <v>2600</v>
      </c>
      <c r="BS569" s="63">
        <f t="shared" si="110"/>
        <v>2600</v>
      </c>
    </row>
    <row r="570" spans="1:71">
      <c r="A570" s="28">
        <f t="shared" si="111"/>
        <v>569</v>
      </c>
      <c r="B570" s="31" t="s">
        <v>1592</v>
      </c>
      <c r="C570" s="30" t="s">
        <v>92</v>
      </c>
      <c r="D570" s="30" t="s">
        <v>137</v>
      </c>
      <c r="E570" s="30" t="s">
        <v>111</v>
      </c>
      <c r="F570" s="30" t="s">
        <v>1586</v>
      </c>
      <c r="G570" s="30" t="s">
        <v>270</v>
      </c>
      <c r="H570" s="35" t="s">
        <v>271</v>
      </c>
      <c r="I570" s="30"/>
      <c r="J570" s="30"/>
      <c r="K570" s="31" t="s">
        <v>1587</v>
      </c>
      <c r="L570" s="40">
        <v>1000000</v>
      </c>
      <c r="M570" s="39" t="s">
        <v>56</v>
      </c>
      <c r="N570" s="31"/>
      <c r="O570" s="30" t="s">
        <v>1510</v>
      </c>
      <c r="P570" s="30"/>
      <c r="Q570" s="89">
        <v>0.52</v>
      </c>
      <c r="R570" s="47">
        <f t="shared" si="112"/>
        <v>36400</v>
      </c>
      <c r="S570" s="75">
        <v>0</v>
      </c>
      <c r="T570" s="48">
        <f t="shared" si="113"/>
        <v>70000</v>
      </c>
      <c r="U570" s="40"/>
      <c r="V570" s="40"/>
      <c r="W570" s="40"/>
      <c r="X570" s="39"/>
      <c r="Y570" s="39"/>
      <c r="Z570" s="39"/>
      <c r="AA570" s="39">
        <v>5000</v>
      </c>
      <c r="AB570" s="39">
        <v>5000</v>
      </c>
      <c r="AC570" s="39">
        <v>10000</v>
      </c>
      <c r="AD570" s="39">
        <v>10000</v>
      </c>
      <c r="AE570" s="39">
        <v>20000</v>
      </c>
      <c r="AF570" s="39">
        <v>20000</v>
      </c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30" t="s">
        <v>116</v>
      </c>
      <c r="AT570" s="30" t="s">
        <v>116</v>
      </c>
      <c r="AU570" s="30" t="s">
        <v>81</v>
      </c>
      <c r="AV570" s="30" t="s">
        <v>117</v>
      </c>
      <c r="AW570" s="30" t="s">
        <v>143</v>
      </c>
      <c r="AX570" s="30" t="s">
        <v>960</v>
      </c>
      <c r="AY570" s="30" t="s">
        <v>961</v>
      </c>
      <c r="AZ570" s="30" t="s">
        <v>1588</v>
      </c>
      <c r="BA570" s="30"/>
      <c r="BB570" s="30"/>
      <c r="BC570" s="58">
        <v>2</v>
      </c>
      <c r="BD570" s="30">
        <v>45858</v>
      </c>
      <c r="BE570" s="55">
        <v>45524</v>
      </c>
      <c r="BF570" s="55">
        <v>45541</v>
      </c>
      <c r="BG570" s="55">
        <v>45585</v>
      </c>
      <c r="BH570" s="55">
        <v>45677</v>
      </c>
      <c r="BI570" s="55">
        <v>45736</v>
      </c>
      <c r="BJ570" s="64">
        <v>1</v>
      </c>
      <c r="BK570" s="39">
        <v>5</v>
      </c>
      <c r="BL570" s="63">
        <f t="shared" si="114"/>
        <v>0</v>
      </c>
      <c r="BM570" s="63">
        <f t="shared" si="104"/>
        <v>0</v>
      </c>
      <c r="BN570" s="63">
        <f t="shared" si="105"/>
        <v>2600</v>
      </c>
      <c r="BO570" s="63">
        <f t="shared" si="106"/>
        <v>2600</v>
      </c>
      <c r="BP570" s="63">
        <f t="shared" si="107"/>
        <v>5200</v>
      </c>
      <c r="BQ570" s="63">
        <f t="shared" si="108"/>
        <v>5200</v>
      </c>
      <c r="BR570" s="63">
        <f t="shared" si="109"/>
        <v>10400</v>
      </c>
      <c r="BS570" s="63">
        <f t="shared" si="110"/>
        <v>10400</v>
      </c>
    </row>
    <row r="571" spans="1:71">
      <c r="A571" s="28">
        <f t="shared" si="111"/>
        <v>570</v>
      </c>
      <c r="B571" s="31" t="s">
        <v>1593</v>
      </c>
      <c r="C571" s="30" t="s">
        <v>92</v>
      </c>
      <c r="D571" s="30" t="s">
        <v>1594</v>
      </c>
      <c r="E571" s="30" t="s">
        <v>111</v>
      </c>
      <c r="F571" s="30" t="s">
        <v>1595</v>
      </c>
      <c r="G571" s="30" t="s">
        <v>229</v>
      </c>
      <c r="H571" s="35" t="s">
        <v>230</v>
      </c>
      <c r="I571" s="30"/>
      <c r="J571" s="30"/>
      <c r="K571" s="31" t="s">
        <v>1596</v>
      </c>
      <c r="L571" s="40">
        <v>400000</v>
      </c>
      <c r="M571" s="39" t="s">
        <v>57</v>
      </c>
      <c r="N571" s="31"/>
      <c r="O571" s="30" t="s">
        <v>115</v>
      </c>
      <c r="P571" s="30"/>
      <c r="Q571" s="89">
        <v>0.52</v>
      </c>
      <c r="R571" s="47">
        <f t="shared" si="112"/>
        <v>39000</v>
      </c>
      <c r="S571" s="75">
        <v>0</v>
      </c>
      <c r="T571" s="48">
        <f t="shared" si="113"/>
        <v>75000</v>
      </c>
      <c r="U571" s="40"/>
      <c r="V571" s="40"/>
      <c r="W571" s="40"/>
      <c r="X571" s="39"/>
      <c r="Y571" s="39"/>
      <c r="Z571" s="39">
        <v>5000</v>
      </c>
      <c r="AA571" s="39">
        <v>5000</v>
      </c>
      <c r="AB571" s="39">
        <v>5000</v>
      </c>
      <c r="AC571" s="39">
        <v>10000</v>
      </c>
      <c r="AD571" s="39">
        <v>10000</v>
      </c>
      <c r="AE571" s="39">
        <v>20000</v>
      </c>
      <c r="AF571" s="39">
        <v>20000</v>
      </c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30" t="s">
        <v>116</v>
      </c>
      <c r="AT571" s="30" t="s">
        <v>116</v>
      </c>
      <c r="AU571" s="30" t="s">
        <v>81</v>
      </c>
      <c r="AV571" s="30" t="s">
        <v>581</v>
      </c>
      <c r="AW571" s="30" t="s">
        <v>582</v>
      </c>
      <c r="AX571" s="30"/>
      <c r="AY571" s="30"/>
      <c r="AZ571" s="30"/>
      <c r="BA571" s="30"/>
      <c r="BB571" s="30"/>
      <c r="BC571" s="58"/>
      <c r="BD571" s="30">
        <v>45797</v>
      </c>
      <c r="BE571" s="55">
        <v>45555</v>
      </c>
      <c r="BF571" s="55">
        <v>45585</v>
      </c>
      <c r="BG571" s="55">
        <v>45616</v>
      </c>
      <c r="BH571" s="55">
        <v>45371</v>
      </c>
      <c r="BI571" s="55">
        <v>45432</v>
      </c>
      <c r="BJ571" s="64">
        <v>1</v>
      </c>
      <c r="BK571" s="39">
        <v>5</v>
      </c>
      <c r="BL571" s="63">
        <f t="shared" si="114"/>
        <v>0</v>
      </c>
      <c r="BM571" s="63">
        <f t="shared" si="104"/>
        <v>2600</v>
      </c>
      <c r="BN571" s="63">
        <f t="shared" si="105"/>
        <v>2600</v>
      </c>
      <c r="BO571" s="63">
        <f t="shared" si="106"/>
        <v>2600</v>
      </c>
      <c r="BP571" s="63">
        <f t="shared" si="107"/>
        <v>5200</v>
      </c>
      <c r="BQ571" s="63">
        <f t="shared" si="108"/>
        <v>5200</v>
      </c>
      <c r="BR571" s="63">
        <f t="shared" si="109"/>
        <v>10400</v>
      </c>
      <c r="BS571" s="63">
        <f t="shared" si="110"/>
        <v>10400</v>
      </c>
    </row>
    <row r="572" spans="1:71">
      <c r="A572" s="28">
        <f t="shared" si="111"/>
        <v>571</v>
      </c>
      <c r="B572" s="31" t="s">
        <v>1593</v>
      </c>
      <c r="C572" s="30" t="s">
        <v>92</v>
      </c>
      <c r="D572" s="30" t="s">
        <v>1594</v>
      </c>
      <c r="E572" s="30" t="s">
        <v>111</v>
      </c>
      <c r="F572" s="30" t="s">
        <v>1595</v>
      </c>
      <c r="G572" s="30" t="s">
        <v>238</v>
      </c>
      <c r="H572" s="35" t="s">
        <v>239</v>
      </c>
      <c r="I572" s="30"/>
      <c r="J572" s="30"/>
      <c r="K572" s="31" t="s">
        <v>1597</v>
      </c>
      <c r="L572" s="40">
        <v>200000</v>
      </c>
      <c r="M572" s="39" t="s">
        <v>57</v>
      </c>
      <c r="N572" s="31"/>
      <c r="O572" s="30" t="s">
        <v>115</v>
      </c>
      <c r="P572" s="30"/>
      <c r="Q572" s="89">
        <v>0.52</v>
      </c>
      <c r="R572" s="47">
        <f t="shared" si="112"/>
        <v>39000</v>
      </c>
      <c r="S572" s="75">
        <v>0</v>
      </c>
      <c r="T572" s="48">
        <f t="shared" si="113"/>
        <v>75000</v>
      </c>
      <c r="U572" s="40"/>
      <c r="V572" s="40"/>
      <c r="W572" s="40"/>
      <c r="X572" s="39"/>
      <c r="Y572" s="39"/>
      <c r="Z572" s="39">
        <v>5000</v>
      </c>
      <c r="AA572" s="39">
        <v>5000</v>
      </c>
      <c r="AB572" s="39">
        <v>5000</v>
      </c>
      <c r="AC572" s="39">
        <v>10000</v>
      </c>
      <c r="AD572" s="39">
        <v>10000</v>
      </c>
      <c r="AE572" s="39">
        <v>20000</v>
      </c>
      <c r="AF572" s="39">
        <v>20000</v>
      </c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30" t="s">
        <v>116</v>
      </c>
      <c r="AT572" s="30" t="s">
        <v>116</v>
      </c>
      <c r="AU572" s="30" t="s">
        <v>81</v>
      </c>
      <c r="AV572" s="30" t="s">
        <v>581</v>
      </c>
      <c r="AW572" s="30" t="s">
        <v>582</v>
      </c>
      <c r="AX572" s="30"/>
      <c r="AY572" s="30"/>
      <c r="AZ572" s="30"/>
      <c r="BA572" s="30"/>
      <c r="BB572" s="30"/>
      <c r="BC572" s="58"/>
      <c r="BD572" s="30">
        <v>45797</v>
      </c>
      <c r="BE572" s="55">
        <v>45555</v>
      </c>
      <c r="BF572" s="55">
        <v>45585</v>
      </c>
      <c r="BG572" s="55">
        <v>45616</v>
      </c>
      <c r="BH572" s="55">
        <v>45371</v>
      </c>
      <c r="BI572" s="55">
        <v>45432</v>
      </c>
      <c r="BJ572" s="64">
        <v>1</v>
      </c>
      <c r="BK572" s="39">
        <v>5</v>
      </c>
      <c r="BL572" s="63">
        <f t="shared" si="114"/>
        <v>0</v>
      </c>
      <c r="BM572" s="63">
        <f t="shared" si="104"/>
        <v>2600</v>
      </c>
      <c r="BN572" s="63">
        <f t="shared" si="105"/>
        <v>2600</v>
      </c>
      <c r="BO572" s="63">
        <f t="shared" si="106"/>
        <v>2600</v>
      </c>
      <c r="BP572" s="63">
        <f t="shared" si="107"/>
        <v>5200</v>
      </c>
      <c r="BQ572" s="63">
        <f t="shared" si="108"/>
        <v>5200</v>
      </c>
      <c r="BR572" s="63">
        <f t="shared" si="109"/>
        <v>10400</v>
      </c>
      <c r="BS572" s="63">
        <f t="shared" si="110"/>
        <v>10400</v>
      </c>
    </row>
    <row r="573" spans="1:71">
      <c r="A573" s="28">
        <f t="shared" si="111"/>
        <v>572</v>
      </c>
      <c r="B573" s="31" t="s">
        <v>1598</v>
      </c>
      <c r="C573" s="30" t="s">
        <v>92</v>
      </c>
      <c r="D573" s="30" t="s">
        <v>1594</v>
      </c>
      <c r="E573" s="30" t="s">
        <v>111</v>
      </c>
      <c r="F573" s="30" t="s">
        <v>1595</v>
      </c>
      <c r="G573" s="30" t="s">
        <v>336</v>
      </c>
      <c r="H573" s="35" t="s">
        <v>337</v>
      </c>
      <c r="I573" s="30"/>
      <c r="J573" s="30"/>
      <c r="K573" s="31" t="s">
        <v>1599</v>
      </c>
      <c r="L573" s="40">
        <v>200000</v>
      </c>
      <c r="M573" s="39" t="s">
        <v>57</v>
      </c>
      <c r="N573" s="31"/>
      <c r="O573" s="30" t="s">
        <v>115</v>
      </c>
      <c r="P573" s="30"/>
      <c r="Q573" s="89">
        <v>0.52</v>
      </c>
      <c r="R573" s="47">
        <f t="shared" si="112"/>
        <v>39000</v>
      </c>
      <c r="S573" s="75">
        <v>0</v>
      </c>
      <c r="T573" s="48">
        <f t="shared" si="113"/>
        <v>75000</v>
      </c>
      <c r="U573" s="40"/>
      <c r="V573" s="40"/>
      <c r="W573" s="40"/>
      <c r="X573" s="39"/>
      <c r="Y573" s="39"/>
      <c r="Z573" s="39">
        <v>5000</v>
      </c>
      <c r="AA573" s="39">
        <v>5000</v>
      </c>
      <c r="AB573" s="39">
        <v>5000</v>
      </c>
      <c r="AC573" s="39">
        <v>10000</v>
      </c>
      <c r="AD573" s="39">
        <v>10000</v>
      </c>
      <c r="AE573" s="39">
        <v>20000</v>
      </c>
      <c r="AF573" s="39">
        <v>20000</v>
      </c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30" t="s">
        <v>116</v>
      </c>
      <c r="AT573" s="30" t="s">
        <v>116</v>
      </c>
      <c r="AU573" s="30" t="s">
        <v>81</v>
      </c>
      <c r="AV573" s="30" t="s">
        <v>581</v>
      </c>
      <c r="AW573" s="30" t="s">
        <v>582</v>
      </c>
      <c r="AX573" s="30"/>
      <c r="AY573" s="30"/>
      <c r="AZ573" s="30"/>
      <c r="BA573" s="30"/>
      <c r="BB573" s="30"/>
      <c r="BC573" s="58"/>
      <c r="BD573" s="30">
        <v>45797</v>
      </c>
      <c r="BE573" s="55">
        <v>45555</v>
      </c>
      <c r="BF573" s="55">
        <v>45585</v>
      </c>
      <c r="BG573" s="55">
        <v>45616</v>
      </c>
      <c r="BH573" s="55">
        <v>45371</v>
      </c>
      <c r="BI573" s="55">
        <v>45432</v>
      </c>
      <c r="BJ573" s="64">
        <v>1</v>
      </c>
      <c r="BK573" s="39">
        <v>5</v>
      </c>
      <c r="BL573" s="63">
        <f t="shared" si="114"/>
        <v>0</v>
      </c>
      <c r="BM573" s="63">
        <f t="shared" si="104"/>
        <v>2600</v>
      </c>
      <c r="BN573" s="63">
        <f t="shared" si="105"/>
        <v>2600</v>
      </c>
      <c r="BO573" s="63">
        <f t="shared" si="106"/>
        <v>2600</v>
      </c>
      <c r="BP573" s="63">
        <f t="shared" si="107"/>
        <v>5200</v>
      </c>
      <c r="BQ573" s="63">
        <f t="shared" si="108"/>
        <v>5200</v>
      </c>
      <c r="BR573" s="63">
        <f t="shared" si="109"/>
        <v>10400</v>
      </c>
      <c r="BS573" s="63">
        <f t="shared" si="110"/>
        <v>10400</v>
      </c>
    </row>
    <row r="574" spans="1:71">
      <c r="A574" s="28">
        <f t="shared" si="111"/>
        <v>573</v>
      </c>
      <c r="B574" s="31" t="s">
        <v>1598</v>
      </c>
      <c r="C574" s="30" t="s">
        <v>92</v>
      </c>
      <c r="D574" s="30" t="s">
        <v>1594</v>
      </c>
      <c r="E574" s="30" t="s">
        <v>111</v>
      </c>
      <c r="F574" s="30" t="s">
        <v>1595</v>
      </c>
      <c r="G574" s="30" t="s">
        <v>238</v>
      </c>
      <c r="H574" s="35" t="s">
        <v>239</v>
      </c>
      <c r="I574" s="30"/>
      <c r="J574" s="30"/>
      <c r="K574" s="31" t="s">
        <v>1600</v>
      </c>
      <c r="L574" s="40">
        <v>200000</v>
      </c>
      <c r="M574" s="39" t="s">
        <v>57</v>
      </c>
      <c r="N574" s="31"/>
      <c r="O574" s="30" t="s">
        <v>115</v>
      </c>
      <c r="P574" s="30"/>
      <c r="Q574" s="89">
        <v>0.52</v>
      </c>
      <c r="R574" s="47">
        <f t="shared" si="112"/>
        <v>39000</v>
      </c>
      <c r="S574" s="75">
        <v>0</v>
      </c>
      <c r="T574" s="48">
        <f t="shared" si="113"/>
        <v>75000</v>
      </c>
      <c r="U574" s="40"/>
      <c r="V574" s="40"/>
      <c r="W574" s="40"/>
      <c r="X574" s="39"/>
      <c r="Y574" s="39"/>
      <c r="Z574" s="39">
        <v>5000</v>
      </c>
      <c r="AA574" s="39">
        <v>5000</v>
      </c>
      <c r="AB574" s="39">
        <v>5000</v>
      </c>
      <c r="AC574" s="39">
        <v>10000</v>
      </c>
      <c r="AD574" s="39">
        <v>10000</v>
      </c>
      <c r="AE574" s="39">
        <v>20000</v>
      </c>
      <c r="AF574" s="39">
        <v>20000</v>
      </c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30" t="s">
        <v>116</v>
      </c>
      <c r="AT574" s="30" t="s">
        <v>116</v>
      </c>
      <c r="AU574" s="30" t="s">
        <v>81</v>
      </c>
      <c r="AV574" s="30" t="s">
        <v>581</v>
      </c>
      <c r="AW574" s="30" t="s">
        <v>582</v>
      </c>
      <c r="AX574" s="30"/>
      <c r="AY574" s="30"/>
      <c r="AZ574" s="30"/>
      <c r="BA574" s="30"/>
      <c r="BB574" s="30"/>
      <c r="BC574" s="58"/>
      <c r="BD574" s="30">
        <v>45797</v>
      </c>
      <c r="BE574" s="55">
        <v>45555</v>
      </c>
      <c r="BF574" s="55">
        <v>45585</v>
      </c>
      <c r="BG574" s="55">
        <v>45616</v>
      </c>
      <c r="BH574" s="55">
        <v>45371</v>
      </c>
      <c r="BI574" s="55">
        <v>45432</v>
      </c>
      <c r="BJ574" s="64">
        <v>1</v>
      </c>
      <c r="BK574" s="39">
        <v>5</v>
      </c>
      <c r="BL574" s="63">
        <f t="shared" si="114"/>
        <v>0</v>
      </c>
      <c r="BM574" s="63">
        <f t="shared" si="104"/>
        <v>2600</v>
      </c>
      <c r="BN574" s="63">
        <f t="shared" si="105"/>
        <v>2600</v>
      </c>
      <c r="BO574" s="63">
        <f t="shared" si="106"/>
        <v>2600</v>
      </c>
      <c r="BP574" s="63">
        <f t="shared" si="107"/>
        <v>5200</v>
      </c>
      <c r="BQ574" s="63">
        <f t="shared" si="108"/>
        <v>5200</v>
      </c>
      <c r="BR574" s="63">
        <f t="shared" si="109"/>
        <v>10400</v>
      </c>
      <c r="BS574" s="63">
        <f t="shared" si="110"/>
        <v>10400</v>
      </c>
    </row>
    <row r="575" spans="1:71">
      <c r="A575" s="28">
        <f t="shared" si="111"/>
        <v>574</v>
      </c>
      <c r="B575" s="31" t="s">
        <v>1598</v>
      </c>
      <c r="C575" s="30" t="s">
        <v>92</v>
      </c>
      <c r="D575" s="30" t="s">
        <v>1594</v>
      </c>
      <c r="E575" s="30" t="s">
        <v>111</v>
      </c>
      <c r="F575" s="30" t="s">
        <v>1595</v>
      </c>
      <c r="G575" s="30" t="s">
        <v>229</v>
      </c>
      <c r="H575" s="35" t="s">
        <v>230</v>
      </c>
      <c r="I575" s="30"/>
      <c r="J575" s="30"/>
      <c r="K575" s="31" t="s">
        <v>1596</v>
      </c>
      <c r="L575" s="40">
        <v>300000</v>
      </c>
      <c r="M575" s="39" t="s">
        <v>114</v>
      </c>
      <c r="N575" s="31"/>
      <c r="O575" s="30" t="s">
        <v>115</v>
      </c>
      <c r="P575" s="30"/>
      <c r="Q575" s="89">
        <v>0.52</v>
      </c>
      <c r="R575" s="47">
        <f t="shared" si="112"/>
        <v>39000</v>
      </c>
      <c r="S575" s="75">
        <v>0</v>
      </c>
      <c r="T575" s="48">
        <f t="shared" si="113"/>
        <v>75000</v>
      </c>
      <c r="U575" s="40"/>
      <c r="V575" s="40">
        <v>3000</v>
      </c>
      <c r="W575" s="40"/>
      <c r="X575" s="39"/>
      <c r="Y575" s="39">
        <v>3000</v>
      </c>
      <c r="Z575" s="39">
        <v>5000</v>
      </c>
      <c r="AA575" s="39">
        <v>5000</v>
      </c>
      <c r="AB575" s="39">
        <v>5000</v>
      </c>
      <c r="AC575" s="39">
        <v>10000</v>
      </c>
      <c r="AD575" s="39">
        <v>10000</v>
      </c>
      <c r="AE575" s="39">
        <v>20000</v>
      </c>
      <c r="AF575" s="39">
        <v>20000</v>
      </c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30" t="s">
        <v>116</v>
      </c>
      <c r="AT575" s="30" t="s">
        <v>116</v>
      </c>
      <c r="AU575" s="30" t="s">
        <v>81</v>
      </c>
      <c r="AV575" s="30" t="s">
        <v>581</v>
      </c>
      <c r="AW575" s="30" t="s">
        <v>582</v>
      </c>
      <c r="AX575" s="30"/>
      <c r="AY575" s="30"/>
      <c r="AZ575" s="30"/>
      <c r="BA575" s="30"/>
      <c r="BB575" s="30"/>
      <c r="BC575" s="58"/>
      <c r="BD575" s="30"/>
      <c r="BE575" s="55"/>
      <c r="BF575" s="55"/>
      <c r="BG575" s="55"/>
      <c r="BH575" s="55"/>
      <c r="BI575" s="55"/>
      <c r="BJ575" s="64"/>
      <c r="BK575" s="39"/>
      <c r="BL575" s="63">
        <f t="shared" si="114"/>
        <v>1560</v>
      </c>
      <c r="BM575" s="63">
        <f t="shared" si="104"/>
        <v>2600</v>
      </c>
      <c r="BN575" s="63">
        <f t="shared" si="105"/>
        <v>2600</v>
      </c>
      <c r="BO575" s="63">
        <f t="shared" si="106"/>
        <v>2600</v>
      </c>
      <c r="BP575" s="63">
        <f t="shared" si="107"/>
        <v>5200</v>
      </c>
      <c r="BQ575" s="63">
        <f t="shared" si="108"/>
        <v>5200</v>
      </c>
      <c r="BR575" s="63">
        <f t="shared" si="109"/>
        <v>10400</v>
      </c>
      <c r="BS575" s="63">
        <f t="shared" si="110"/>
        <v>10400</v>
      </c>
    </row>
    <row r="576" spans="1:71">
      <c r="A576" s="28">
        <f t="shared" si="111"/>
        <v>575</v>
      </c>
      <c r="B576" s="31" t="s">
        <v>1601</v>
      </c>
      <c r="C576" s="30" t="s">
        <v>92</v>
      </c>
      <c r="D576" s="30" t="s">
        <v>610</v>
      </c>
      <c r="E576" s="30" t="s">
        <v>111</v>
      </c>
      <c r="F576" s="30" t="s">
        <v>1602</v>
      </c>
      <c r="G576" s="30" t="s">
        <v>231</v>
      </c>
      <c r="H576" s="35" t="s">
        <v>232</v>
      </c>
      <c r="I576" s="30"/>
      <c r="J576" s="30"/>
      <c r="K576" s="31" t="s">
        <v>1603</v>
      </c>
      <c r="L576" s="40">
        <v>1000000</v>
      </c>
      <c r="M576" s="39" t="s">
        <v>57</v>
      </c>
      <c r="N576" s="31"/>
      <c r="O576" s="30" t="s">
        <v>1604</v>
      </c>
      <c r="P576" s="30"/>
      <c r="Q576" s="89">
        <v>0.52</v>
      </c>
      <c r="R576" s="47">
        <f t="shared" si="112"/>
        <v>936000</v>
      </c>
      <c r="S576" s="75">
        <v>0</v>
      </c>
      <c r="T576" s="48">
        <f t="shared" si="113"/>
        <v>1800000</v>
      </c>
      <c r="U576" s="40"/>
      <c r="V576" s="40"/>
      <c r="W576" s="40"/>
      <c r="X576" s="39"/>
      <c r="Y576" s="39"/>
      <c r="Z576" s="39"/>
      <c r="AA576" s="39">
        <v>300000</v>
      </c>
      <c r="AB576" s="39">
        <v>300000</v>
      </c>
      <c r="AC576" s="39">
        <v>300000</v>
      </c>
      <c r="AD576" s="39">
        <v>300000</v>
      </c>
      <c r="AE576" s="39">
        <v>300000</v>
      </c>
      <c r="AF576" s="39">
        <v>300000</v>
      </c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30" t="s">
        <v>116</v>
      </c>
      <c r="AT576" s="30" t="s">
        <v>116</v>
      </c>
      <c r="AU576" s="30" t="s">
        <v>81</v>
      </c>
      <c r="AV576" s="30" t="s">
        <v>117</v>
      </c>
      <c r="AW576" s="30" t="s">
        <v>143</v>
      </c>
      <c r="AX576" s="30" t="s">
        <v>1030</v>
      </c>
      <c r="AY576" s="30" t="s">
        <v>1028</v>
      </c>
      <c r="AZ576" s="30"/>
      <c r="BA576" s="30"/>
      <c r="BB576" s="30"/>
      <c r="BC576" s="58"/>
      <c r="BD576" s="30"/>
      <c r="BE576" s="55"/>
      <c r="BF576" s="55"/>
      <c r="BG576" s="55"/>
      <c r="BH576" s="55"/>
      <c r="BI576" s="55"/>
      <c r="BJ576" s="64"/>
      <c r="BK576" s="39"/>
      <c r="BL576" s="63">
        <f t="shared" si="114"/>
        <v>0</v>
      </c>
      <c r="BM576" s="63">
        <f t="shared" si="104"/>
        <v>0</v>
      </c>
      <c r="BN576" s="63">
        <f t="shared" si="105"/>
        <v>156000</v>
      </c>
      <c r="BO576" s="63">
        <f t="shared" si="106"/>
        <v>156000</v>
      </c>
      <c r="BP576" s="63">
        <f t="shared" si="107"/>
        <v>156000</v>
      </c>
      <c r="BQ576" s="63">
        <f t="shared" si="108"/>
        <v>156000</v>
      </c>
      <c r="BR576" s="63">
        <f t="shared" si="109"/>
        <v>156000</v>
      </c>
      <c r="BS576" s="63">
        <f t="shared" si="110"/>
        <v>156000</v>
      </c>
    </row>
    <row r="577" spans="1:71">
      <c r="A577" s="28">
        <f t="shared" si="111"/>
        <v>576</v>
      </c>
      <c r="B577" s="31" t="s">
        <v>1601</v>
      </c>
      <c r="C577" s="30" t="s">
        <v>92</v>
      </c>
      <c r="D577" s="30" t="s">
        <v>610</v>
      </c>
      <c r="E577" s="30" t="s">
        <v>111</v>
      </c>
      <c r="F577" s="30" t="s">
        <v>1602</v>
      </c>
      <c r="G577" s="30" t="s">
        <v>167</v>
      </c>
      <c r="H577" s="35" t="s">
        <v>168</v>
      </c>
      <c r="I577" s="30"/>
      <c r="J577" s="30"/>
      <c r="K577" s="31"/>
      <c r="L577" s="40"/>
      <c r="M577" s="39"/>
      <c r="N577" s="31"/>
      <c r="O577" s="30"/>
      <c r="P577" s="30"/>
      <c r="Q577" s="66">
        <v>0.4</v>
      </c>
      <c r="R577" s="47">
        <f t="shared" si="112"/>
        <v>120000</v>
      </c>
      <c r="S577" s="75"/>
      <c r="T577" s="48">
        <f t="shared" si="113"/>
        <v>300000</v>
      </c>
      <c r="U577" s="40"/>
      <c r="V577" s="40"/>
      <c r="W577" s="40"/>
      <c r="X577" s="39"/>
      <c r="Y577" s="39"/>
      <c r="Z577" s="39"/>
      <c r="AA577" s="39">
        <v>50000</v>
      </c>
      <c r="AB577" s="39">
        <v>50000</v>
      </c>
      <c r="AC577" s="39">
        <v>50000</v>
      </c>
      <c r="AD577" s="39">
        <v>50000</v>
      </c>
      <c r="AE577" s="39">
        <v>50000</v>
      </c>
      <c r="AF577" s="39">
        <v>50000</v>
      </c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30" t="s">
        <v>116</v>
      </c>
      <c r="AT577" s="30" t="s">
        <v>116</v>
      </c>
      <c r="AU577" s="30" t="s">
        <v>81</v>
      </c>
      <c r="AV577" s="30"/>
      <c r="AW577" s="30"/>
      <c r="AX577" s="30"/>
      <c r="AY577" s="30"/>
      <c r="AZ577" s="30"/>
      <c r="BA577" s="30"/>
      <c r="BB577" s="30"/>
      <c r="BC577" s="58"/>
      <c r="BD577" s="30"/>
      <c r="BE577" s="55"/>
      <c r="BF577" s="55"/>
      <c r="BG577" s="55"/>
      <c r="BH577" s="55"/>
      <c r="BI577" s="55"/>
      <c r="BJ577" s="64"/>
      <c r="BK577" s="39"/>
      <c r="BL577" s="63"/>
      <c r="BM577" s="63">
        <f t="shared" si="104"/>
        <v>0</v>
      </c>
      <c r="BN577" s="63">
        <f t="shared" si="105"/>
        <v>20000</v>
      </c>
      <c r="BO577" s="63">
        <f t="shared" si="106"/>
        <v>20000</v>
      </c>
      <c r="BP577" s="63">
        <f t="shared" si="107"/>
        <v>20000</v>
      </c>
      <c r="BQ577" s="63">
        <f t="shared" si="108"/>
        <v>20000</v>
      </c>
      <c r="BR577" s="63">
        <f t="shared" si="109"/>
        <v>20000</v>
      </c>
      <c r="BS577" s="63">
        <f t="shared" si="110"/>
        <v>20000</v>
      </c>
    </row>
    <row r="578" spans="1:71">
      <c r="A578" s="28">
        <f t="shared" si="111"/>
        <v>577</v>
      </c>
      <c r="B578" s="31" t="s">
        <v>1601</v>
      </c>
      <c r="C578" s="30" t="s">
        <v>92</v>
      </c>
      <c r="D578" s="30" t="s">
        <v>610</v>
      </c>
      <c r="E578" s="30" t="s">
        <v>111</v>
      </c>
      <c r="F578" s="30" t="s">
        <v>1602</v>
      </c>
      <c r="G578" s="104" t="s">
        <v>274</v>
      </c>
      <c r="H578" s="35" t="s">
        <v>275</v>
      </c>
      <c r="I578" s="30"/>
      <c r="J578" s="30"/>
      <c r="K578" s="31"/>
      <c r="L578" s="40"/>
      <c r="M578" s="39"/>
      <c r="N578" s="31"/>
      <c r="O578" s="30"/>
      <c r="P578" s="30"/>
      <c r="Q578" s="66">
        <v>0.5198</v>
      </c>
      <c r="R578" s="47">
        <f t="shared" si="112"/>
        <v>467820</v>
      </c>
      <c r="S578" s="75"/>
      <c r="T578" s="48">
        <f t="shared" si="113"/>
        <v>900000</v>
      </c>
      <c r="U578" s="40"/>
      <c r="V578" s="40"/>
      <c r="W578" s="40"/>
      <c r="X578" s="39"/>
      <c r="Y578" s="39"/>
      <c r="Z578" s="39"/>
      <c r="AA578" s="39">
        <v>150000</v>
      </c>
      <c r="AB578" s="39">
        <v>150000</v>
      </c>
      <c r="AC578" s="39">
        <v>150000</v>
      </c>
      <c r="AD578" s="39">
        <v>150000</v>
      </c>
      <c r="AE578" s="39">
        <v>150000</v>
      </c>
      <c r="AF578" s="39">
        <v>150000</v>
      </c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30" t="s">
        <v>116</v>
      </c>
      <c r="AT578" s="30" t="s">
        <v>116</v>
      </c>
      <c r="AU578" s="30" t="s">
        <v>81</v>
      </c>
      <c r="AV578" s="30"/>
      <c r="AW578" s="30"/>
      <c r="AX578" s="30"/>
      <c r="AY578" s="30"/>
      <c r="AZ578" s="30"/>
      <c r="BA578" s="30"/>
      <c r="BB578" s="30"/>
      <c r="BC578" s="58"/>
      <c r="BD578" s="30"/>
      <c r="BE578" s="55"/>
      <c r="BF578" s="55"/>
      <c r="BG578" s="55"/>
      <c r="BH578" s="55"/>
      <c r="BI578" s="55"/>
      <c r="BJ578" s="64"/>
      <c r="BK578" s="39"/>
      <c r="BL578" s="63"/>
      <c r="BM578" s="63">
        <f t="shared" si="104"/>
        <v>0</v>
      </c>
      <c r="BN578" s="63">
        <f t="shared" si="105"/>
        <v>77970</v>
      </c>
      <c r="BO578" s="63">
        <f t="shared" si="106"/>
        <v>77970</v>
      </c>
      <c r="BP578" s="63">
        <f t="shared" si="107"/>
        <v>77970</v>
      </c>
      <c r="BQ578" s="63">
        <f t="shared" si="108"/>
        <v>77970</v>
      </c>
      <c r="BR578" s="63">
        <f t="shared" si="109"/>
        <v>77970</v>
      </c>
      <c r="BS578" s="63">
        <f t="shared" si="110"/>
        <v>77970</v>
      </c>
    </row>
    <row r="579" spans="1:71">
      <c r="A579" s="28">
        <f t="shared" si="111"/>
        <v>578</v>
      </c>
      <c r="B579" s="31" t="s">
        <v>1601</v>
      </c>
      <c r="C579" s="30" t="s">
        <v>92</v>
      </c>
      <c r="D579" s="30" t="s">
        <v>610</v>
      </c>
      <c r="E579" s="30" t="s">
        <v>111</v>
      </c>
      <c r="F579" s="30" t="s">
        <v>1602</v>
      </c>
      <c r="G579" s="30" t="s">
        <v>306</v>
      </c>
      <c r="H579" s="35" t="s">
        <v>307</v>
      </c>
      <c r="I579" s="30"/>
      <c r="J579" s="30"/>
      <c r="K579" s="31"/>
      <c r="L579" s="40"/>
      <c r="M579" s="39"/>
      <c r="N579" s="31"/>
      <c r="O579" s="30"/>
      <c r="P579" s="30"/>
      <c r="Q579" s="66">
        <v>0.66</v>
      </c>
      <c r="R579" s="47">
        <f t="shared" si="112"/>
        <v>118800</v>
      </c>
      <c r="S579" s="75"/>
      <c r="T579" s="48">
        <f t="shared" si="113"/>
        <v>180000</v>
      </c>
      <c r="U579" s="40"/>
      <c r="V579" s="40"/>
      <c r="W579" s="40"/>
      <c r="X579" s="39"/>
      <c r="Y579" s="39"/>
      <c r="Z579" s="39"/>
      <c r="AA579" s="39">
        <v>30000</v>
      </c>
      <c r="AB579" s="39">
        <v>30000</v>
      </c>
      <c r="AC579" s="39">
        <v>30000</v>
      </c>
      <c r="AD579" s="39">
        <v>30000</v>
      </c>
      <c r="AE579" s="39">
        <v>30000</v>
      </c>
      <c r="AF579" s="39">
        <v>30000</v>
      </c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30" t="s">
        <v>116</v>
      </c>
      <c r="AT579" s="30" t="s">
        <v>116</v>
      </c>
      <c r="AU579" s="30" t="s">
        <v>81</v>
      </c>
      <c r="AV579" s="30"/>
      <c r="AW579" s="30"/>
      <c r="AX579" s="30"/>
      <c r="AY579" s="30"/>
      <c r="AZ579" s="30"/>
      <c r="BA579" s="30"/>
      <c r="BB579" s="30"/>
      <c r="BC579" s="58"/>
      <c r="BD579" s="30"/>
      <c r="BE579" s="55"/>
      <c r="BF579" s="55"/>
      <c r="BG579" s="55"/>
      <c r="BH579" s="55"/>
      <c r="BI579" s="55"/>
      <c r="BJ579" s="64"/>
      <c r="BK579" s="39"/>
      <c r="BL579" s="63"/>
      <c r="BM579" s="63">
        <f t="shared" ref="BM579:BM602" si="115">$Q579*Z579</f>
        <v>0</v>
      </c>
      <c r="BN579" s="63">
        <f t="shared" ref="BN579:BN602" si="116">$Q579*AA579</f>
        <v>19800</v>
      </c>
      <c r="BO579" s="63">
        <f t="shared" ref="BO579:BO602" si="117">$Q579*AB579</f>
        <v>19800</v>
      </c>
      <c r="BP579" s="63">
        <f t="shared" ref="BP579:BP602" si="118">$Q579*AC579</f>
        <v>19800</v>
      </c>
      <c r="BQ579" s="63">
        <f t="shared" ref="BQ579:BQ602" si="119">$Q579*AD579</f>
        <v>19800</v>
      </c>
      <c r="BR579" s="63">
        <f t="shared" ref="BR579:BR602" si="120">$Q579*AE579</f>
        <v>19800</v>
      </c>
      <c r="BS579" s="63">
        <f t="shared" ref="BS579:BS602" si="121">$Q579*AF579</f>
        <v>19800</v>
      </c>
    </row>
    <row r="580" spans="1:71">
      <c r="A580" s="28">
        <f t="shared" ref="A580:A602" si="122">ROW()-1</f>
        <v>579</v>
      </c>
      <c r="B580" s="31" t="s">
        <v>1605</v>
      </c>
      <c r="C580" s="30" t="s">
        <v>72</v>
      </c>
      <c r="D580" s="30" t="s">
        <v>137</v>
      </c>
      <c r="E580" s="30" t="s">
        <v>111</v>
      </c>
      <c r="F580" s="30" t="s">
        <v>138</v>
      </c>
      <c r="G580" s="30" t="s">
        <v>310</v>
      </c>
      <c r="H580" s="35"/>
      <c r="I580" s="30"/>
      <c r="J580" s="30"/>
      <c r="K580" s="31" t="s">
        <v>1028</v>
      </c>
      <c r="L580" s="40">
        <v>500000</v>
      </c>
      <c r="M580" s="39" t="s">
        <v>56</v>
      </c>
      <c r="N580" s="31"/>
      <c r="O580" s="30" t="s">
        <v>1606</v>
      </c>
      <c r="P580" s="30"/>
      <c r="Q580" s="89">
        <v>0.78</v>
      </c>
      <c r="R580" s="47">
        <f t="shared" ref="R580:R592" si="123">Q580*T580</f>
        <v>0</v>
      </c>
      <c r="S580" s="75">
        <v>0</v>
      </c>
      <c r="T580" s="48">
        <f t="shared" ref="T580:T592" si="124">SUM(Z580:AF580)</f>
        <v>0</v>
      </c>
      <c r="U580" s="40"/>
      <c r="V580" s="40"/>
      <c r="W580" s="40"/>
      <c r="X580" s="39"/>
      <c r="Y580" s="39"/>
      <c r="Z580" s="39"/>
      <c r="AA580" s="39"/>
      <c r="AB580" s="39"/>
      <c r="AC580" s="39"/>
      <c r="AD580" s="39"/>
      <c r="AE580" s="39"/>
      <c r="AF580" s="39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30" t="s">
        <v>116</v>
      </c>
      <c r="AT580" s="30" t="s">
        <v>116</v>
      </c>
      <c r="AU580" s="30" t="s">
        <v>81</v>
      </c>
      <c r="AV580" s="30" t="s">
        <v>117</v>
      </c>
      <c r="AW580" s="30" t="s">
        <v>117</v>
      </c>
      <c r="AX580" s="30" t="s">
        <v>143</v>
      </c>
      <c r="AY580" s="30" t="s">
        <v>1030</v>
      </c>
      <c r="AZ580" s="30"/>
      <c r="BA580" s="30"/>
      <c r="BB580" s="30"/>
      <c r="BC580" s="58"/>
      <c r="BD580" s="30"/>
      <c r="BE580" s="55"/>
      <c r="BF580" s="55"/>
      <c r="BG580" s="55"/>
      <c r="BH580" s="55"/>
      <c r="BI580" s="55"/>
      <c r="BJ580" s="64"/>
      <c r="BK580" s="39"/>
      <c r="BL580" s="63">
        <f t="shared" si="114"/>
        <v>0</v>
      </c>
      <c r="BM580" s="63">
        <f t="shared" si="115"/>
        <v>0</v>
      </c>
      <c r="BN580" s="63">
        <f t="shared" si="116"/>
        <v>0</v>
      </c>
      <c r="BO580" s="63">
        <f t="shared" si="117"/>
        <v>0</v>
      </c>
      <c r="BP580" s="63">
        <f t="shared" si="118"/>
        <v>0</v>
      </c>
      <c r="BQ580" s="63">
        <f t="shared" si="119"/>
        <v>0</v>
      </c>
      <c r="BR580" s="63">
        <f t="shared" si="120"/>
        <v>0</v>
      </c>
      <c r="BS580" s="63">
        <f t="shared" si="121"/>
        <v>0</v>
      </c>
    </row>
    <row r="581" spans="1:71">
      <c r="A581" s="28">
        <f t="shared" si="122"/>
        <v>580</v>
      </c>
      <c r="B581" s="31" t="s">
        <v>1607</v>
      </c>
      <c r="C581" s="30" t="s">
        <v>92</v>
      </c>
      <c r="D581" s="30" t="s">
        <v>683</v>
      </c>
      <c r="E581" s="30" t="s">
        <v>111</v>
      </c>
      <c r="F581" s="30" t="s">
        <v>1608</v>
      </c>
      <c r="G581" s="30" t="s">
        <v>371</v>
      </c>
      <c r="H581" s="35" t="s">
        <v>372</v>
      </c>
      <c r="I581" s="30"/>
      <c r="J581" s="30"/>
      <c r="K581" s="31" t="s">
        <v>535</v>
      </c>
      <c r="L581" s="40">
        <v>300000</v>
      </c>
      <c r="M581" s="39" t="s">
        <v>56</v>
      </c>
      <c r="N581" s="31"/>
      <c r="O581" s="30" t="s">
        <v>1079</v>
      </c>
      <c r="P581" s="30"/>
      <c r="Q581" s="89">
        <v>2.8</v>
      </c>
      <c r="R581" s="47">
        <f t="shared" si="123"/>
        <v>84000</v>
      </c>
      <c r="S581" s="75">
        <v>0</v>
      </c>
      <c r="T581" s="48">
        <f t="shared" si="124"/>
        <v>30000</v>
      </c>
      <c r="U581" s="40"/>
      <c r="V581" s="40"/>
      <c r="W581" s="40"/>
      <c r="X581" s="39"/>
      <c r="Y581" s="39"/>
      <c r="Z581" s="39"/>
      <c r="AA581" s="39"/>
      <c r="AB581" s="39"/>
      <c r="AC581" s="39"/>
      <c r="AD581" s="39">
        <v>10000</v>
      </c>
      <c r="AE581" s="39">
        <v>10000</v>
      </c>
      <c r="AF581" s="39">
        <v>10000</v>
      </c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30" t="s">
        <v>116</v>
      </c>
      <c r="AT581" s="30" t="s">
        <v>116</v>
      </c>
      <c r="AU581" s="30" t="s">
        <v>532</v>
      </c>
      <c r="AV581" s="30" t="s">
        <v>117</v>
      </c>
      <c r="AW581" s="30" t="s">
        <v>533</v>
      </c>
      <c r="AX581" s="30" t="s">
        <v>534</v>
      </c>
      <c r="AY581" s="30" t="s">
        <v>535</v>
      </c>
      <c r="AZ581" s="30"/>
      <c r="BA581" s="30"/>
      <c r="BB581" s="30"/>
      <c r="BC581" s="58"/>
      <c r="BD581" s="30"/>
      <c r="BE581" s="55"/>
      <c r="BF581" s="55"/>
      <c r="BG581" s="55"/>
      <c r="BH581" s="55"/>
      <c r="BI581" s="55"/>
      <c r="BJ581" s="64"/>
      <c r="BK581" s="39"/>
      <c r="BL581" s="63">
        <f t="shared" si="114"/>
        <v>0</v>
      </c>
      <c r="BM581" s="63">
        <f t="shared" si="115"/>
        <v>0</v>
      </c>
      <c r="BN581" s="63">
        <f t="shared" si="116"/>
        <v>0</v>
      </c>
      <c r="BO581" s="63">
        <f t="shared" si="117"/>
        <v>0</v>
      </c>
      <c r="BP581" s="63">
        <f t="shared" si="118"/>
        <v>0</v>
      </c>
      <c r="BQ581" s="63">
        <f t="shared" si="119"/>
        <v>28000</v>
      </c>
      <c r="BR581" s="63">
        <f t="shared" si="120"/>
        <v>28000</v>
      </c>
      <c r="BS581" s="63">
        <f t="shared" si="121"/>
        <v>28000</v>
      </c>
    </row>
    <row r="582" spans="1:71">
      <c r="A582" s="28">
        <f t="shared" si="122"/>
        <v>581</v>
      </c>
      <c r="B582" s="31" t="s">
        <v>1609</v>
      </c>
      <c r="C582" s="30" t="s">
        <v>92</v>
      </c>
      <c r="D582" s="30" t="s">
        <v>850</v>
      </c>
      <c r="E582" s="30" t="s">
        <v>111</v>
      </c>
      <c r="F582" s="30" t="s">
        <v>138</v>
      </c>
      <c r="G582" s="30" t="s">
        <v>318</v>
      </c>
      <c r="H582" s="35" t="s">
        <v>319</v>
      </c>
      <c r="I582" s="30"/>
      <c r="J582" s="30"/>
      <c r="K582" s="31" t="s">
        <v>1610</v>
      </c>
      <c r="L582" s="40">
        <v>1000000</v>
      </c>
      <c r="M582" s="39" t="s">
        <v>56</v>
      </c>
      <c r="N582" s="31"/>
      <c r="O582" s="30" t="s">
        <v>115</v>
      </c>
      <c r="P582" s="30"/>
      <c r="Q582" s="89">
        <v>0.52</v>
      </c>
      <c r="R582" s="47">
        <f t="shared" si="123"/>
        <v>2600</v>
      </c>
      <c r="S582" s="75">
        <v>0</v>
      </c>
      <c r="T582" s="48">
        <f t="shared" si="124"/>
        <v>5000</v>
      </c>
      <c r="U582" s="40"/>
      <c r="V582" s="40"/>
      <c r="W582" s="40"/>
      <c r="X582" s="39"/>
      <c r="Y582" s="39"/>
      <c r="Z582" s="39"/>
      <c r="AA582" s="39"/>
      <c r="AB582" s="39"/>
      <c r="AC582" s="39"/>
      <c r="AD582" s="39"/>
      <c r="AE582" s="39"/>
      <c r="AF582" s="39">
        <v>5000</v>
      </c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30" t="s">
        <v>116</v>
      </c>
      <c r="AT582" s="30" t="s">
        <v>116</v>
      </c>
      <c r="AU582" s="30" t="s">
        <v>81</v>
      </c>
      <c r="AV582" s="30" t="s">
        <v>117</v>
      </c>
      <c r="AW582" s="30" t="s">
        <v>143</v>
      </c>
      <c r="AX582" s="30" t="s">
        <v>1611</v>
      </c>
      <c r="AY582" s="30" t="s">
        <v>961</v>
      </c>
      <c r="AZ582" s="30"/>
      <c r="BA582" s="30"/>
      <c r="BB582" s="30"/>
      <c r="BC582" s="58"/>
      <c r="BD582" s="30"/>
      <c r="BE582" s="55"/>
      <c r="BF582" s="55"/>
      <c r="BG582" s="55"/>
      <c r="BH582" s="55"/>
      <c r="BI582" s="55"/>
      <c r="BJ582" s="64"/>
      <c r="BK582" s="39"/>
      <c r="BL582" s="63">
        <f t="shared" si="114"/>
        <v>0</v>
      </c>
      <c r="BM582" s="63">
        <f t="shared" si="115"/>
        <v>0</v>
      </c>
      <c r="BN582" s="63">
        <f t="shared" si="116"/>
        <v>0</v>
      </c>
      <c r="BO582" s="63">
        <f t="shared" si="117"/>
        <v>0</v>
      </c>
      <c r="BP582" s="63">
        <f t="shared" si="118"/>
        <v>0</v>
      </c>
      <c r="BQ582" s="63">
        <f t="shared" si="119"/>
        <v>0</v>
      </c>
      <c r="BR582" s="63">
        <f t="shared" si="120"/>
        <v>0</v>
      </c>
      <c r="BS582" s="63">
        <f t="shared" si="121"/>
        <v>2600</v>
      </c>
    </row>
    <row r="583" spans="1:71">
      <c r="A583" s="28">
        <f t="shared" si="122"/>
        <v>582</v>
      </c>
      <c r="B583" s="31" t="s">
        <v>1612</v>
      </c>
      <c r="C583" s="31" t="s">
        <v>527</v>
      </c>
      <c r="D583" s="31" t="s">
        <v>601</v>
      </c>
      <c r="E583" s="31" t="s">
        <v>756</v>
      </c>
      <c r="F583" s="31" t="s">
        <v>602</v>
      </c>
      <c r="G583" s="32" t="s">
        <v>261</v>
      </c>
      <c r="H583" s="35" t="s">
        <v>262</v>
      </c>
      <c r="I583" s="32"/>
      <c r="J583" s="32"/>
      <c r="K583" s="39"/>
      <c r="L583" s="39"/>
      <c r="M583" s="32"/>
      <c r="N583" s="39"/>
      <c r="O583" s="39"/>
      <c r="P583" s="39"/>
      <c r="Q583" s="66">
        <v>0.37</v>
      </c>
      <c r="R583" s="47">
        <f t="shared" si="123"/>
        <v>20720</v>
      </c>
      <c r="S583" s="48"/>
      <c r="T583" s="48">
        <f t="shared" si="124"/>
        <v>56000</v>
      </c>
      <c r="U583" s="39"/>
      <c r="V583" s="39"/>
      <c r="W583" s="39"/>
      <c r="X583" s="39"/>
      <c r="Y583" s="39"/>
      <c r="Z583" s="39">
        <v>8000</v>
      </c>
      <c r="AA583" s="39">
        <v>8000</v>
      </c>
      <c r="AB583" s="39">
        <v>8000</v>
      </c>
      <c r="AC583" s="39">
        <v>8000</v>
      </c>
      <c r="AD583" s="39">
        <v>8000</v>
      </c>
      <c r="AE583" s="39">
        <v>8000</v>
      </c>
      <c r="AF583" s="39">
        <v>8000</v>
      </c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0" t="s">
        <v>116</v>
      </c>
      <c r="AU583" s="30" t="s">
        <v>81</v>
      </c>
      <c r="AV583" s="31"/>
      <c r="AW583" s="31"/>
      <c r="AX583" s="31"/>
      <c r="AY583" s="31"/>
      <c r="AZ583" s="31"/>
      <c r="BA583" s="31"/>
      <c r="BB583" s="31"/>
      <c r="BC583" s="31"/>
      <c r="BD583" s="31"/>
      <c r="BE583" s="31"/>
      <c r="BF583" s="31"/>
      <c r="BG583" s="31"/>
      <c r="BH583" s="31"/>
      <c r="BI583" s="31"/>
      <c r="BJ583" s="31"/>
      <c r="BK583" s="31"/>
      <c r="BL583" s="63"/>
      <c r="BM583" s="63">
        <f t="shared" si="115"/>
        <v>2960</v>
      </c>
      <c r="BN583" s="63">
        <f t="shared" si="116"/>
        <v>2960</v>
      </c>
      <c r="BO583" s="63">
        <f t="shared" si="117"/>
        <v>2960</v>
      </c>
      <c r="BP583" s="63">
        <f t="shared" si="118"/>
        <v>2960</v>
      </c>
      <c r="BQ583" s="63">
        <f t="shared" si="119"/>
        <v>2960</v>
      </c>
      <c r="BR583" s="63">
        <f t="shared" si="120"/>
        <v>2960</v>
      </c>
      <c r="BS583" s="63">
        <f t="shared" si="121"/>
        <v>2960</v>
      </c>
    </row>
    <row r="584" spans="1:71">
      <c r="A584" s="28">
        <f t="shared" si="122"/>
        <v>583</v>
      </c>
      <c r="B584" s="30" t="s">
        <v>1613</v>
      </c>
      <c r="C584" s="30" t="s">
        <v>72</v>
      </c>
      <c r="D584" s="30" t="s">
        <v>812</v>
      </c>
      <c r="E584" s="30" t="s">
        <v>810</v>
      </c>
      <c r="F584" s="30" t="s">
        <v>817</v>
      </c>
      <c r="G584" s="30" t="s">
        <v>261</v>
      </c>
      <c r="H584" s="35" t="s">
        <v>262</v>
      </c>
      <c r="I584" s="30"/>
      <c r="J584" s="30"/>
      <c r="K584" s="30" t="s">
        <v>1614</v>
      </c>
      <c r="L584" s="63"/>
      <c r="M584" s="63"/>
      <c r="N584" s="63"/>
      <c r="O584" s="63"/>
      <c r="P584" s="63"/>
      <c r="Q584" s="42">
        <v>0.36</v>
      </c>
      <c r="R584" s="47">
        <f t="shared" si="123"/>
        <v>69444</v>
      </c>
      <c r="S584" s="48"/>
      <c r="T584" s="48">
        <f t="shared" si="124"/>
        <v>192900</v>
      </c>
      <c r="U584" s="63"/>
      <c r="V584" s="63"/>
      <c r="W584" s="63"/>
      <c r="X584" s="63"/>
      <c r="Y584" s="39"/>
      <c r="Z584" s="39">
        <v>18000</v>
      </c>
      <c r="AA584" s="39">
        <v>16400</v>
      </c>
      <c r="AB584" s="39">
        <v>18000</v>
      </c>
      <c r="AC584" s="39">
        <v>86500</v>
      </c>
      <c r="AD584" s="39">
        <v>18000</v>
      </c>
      <c r="AE584" s="39">
        <v>18000</v>
      </c>
      <c r="AF584" s="39">
        <v>18000</v>
      </c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 t="s">
        <v>116</v>
      </c>
      <c r="AU584" s="30" t="s">
        <v>81</v>
      </c>
      <c r="AV584" s="63"/>
      <c r="AW584" s="63"/>
      <c r="AX584" s="63"/>
      <c r="AY584" s="63"/>
      <c r="AZ584" s="63"/>
      <c r="BA584" s="63"/>
      <c r="BB584" s="63"/>
      <c r="BC584" s="63"/>
      <c r="BD584" s="63"/>
      <c r="BE584" s="63"/>
      <c r="BF584" s="63"/>
      <c r="BG584" s="63"/>
      <c r="BH584" s="63"/>
      <c r="BI584" s="63"/>
      <c r="BJ584" s="63"/>
      <c r="BK584" s="63"/>
      <c r="BL584" s="63"/>
      <c r="BM584" s="63">
        <f t="shared" si="115"/>
        <v>6480</v>
      </c>
      <c r="BN584" s="63">
        <f t="shared" si="116"/>
        <v>5904</v>
      </c>
      <c r="BO584" s="63">
        <f t="shared" si="117"/>
        <v>6480</v>
      </c>
      <c r="BP584" s="63">
        <f t="shared" si="118"/>
        <v>31140</v>
      </c>
      <c r="BQ584" s="63">
        <f t="shared" si="119"/>
        <v>6480</v>
      </c>
      <c r="BR584" s="63">
        <f t="shared" si="120"/>
        <v>6480</v>
      </c>
      <c r="BS584" s="63">
        <f t="shared" si="121"/>
        <v>6480</v>
      </c>
    </row>
    <row r="585" spans="1:71">
      <c r="A585" s="28">
        <f t="shared" si="122"/>
        <v>584</v>
      </c>
      <c r="B585" s="30" t="s">
        <v>847</v>
      </c>
      <c r="C585" s="30" t="s">
        <v>92</v>
      </c>
      <c r="D585" s="30" t="s">
        <v>691</v>
      </c>
      <c r="E585" s="30" t="s">
        <v>810</v>
      </c>
      <c r="F585" s="30" t="s">
        <v>774</v>
      </c>
      <c r="G585" s="30" t="s">
        <v>437</v>
      </c>
      <c r="H585" s="35" t="s">
        <v>438</v>
      </c>
      <c r="I585" s="30"/>
      <c r="J585" s="30"/>
      <c r="K585" s="30"/>
      <c r="L585" s="63"/>
      <c r="M585" s="63"/>
      <c r="N585" s="63"/>
      <c r="O585" s="63"/>
      <c r="P585" s="63"/>
      <c r="Q585" s="42">
        <v>6.5</v>
      </c>
      <c r="R585" s="47">
        <f t="shared" si="123"/>
        <v>130000</v>
      </c>
      <c r="S585" s="48"/>
      <c r="T585" s="48">
        <f t="shared" si="124"/>
        <v>20000</v>
      </c>
      <c r="U585" s="63"/>
      <c r="V585" s="63"/>
      <c r="W585" s="63"/>
      <c r="X585" s="63"/>
      <c r="Y585" s="39"/>
      <c r="Z585" s="39">
        <v>10000</v>
      </c>
      <c r="AA585" s="39"/>
      <c r="AB585" s="39">
        <v>10000</v>
      </c>
      <c r="AC585" s="39"/>
      <c r="AD585" s="39"/>
      <c r="AE585" s="39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 t="s">
        <v>116</v>
      </c>
      <c r="AU585" s="30" t="s">
        <v>688</v>
      </c>
      <c r="AV585" s="63"/>
      <c r="AW585" s="63"/>
      <c r="AX585" s="63"/>
      <c r="AY585" s="63"/>
      <c r="AZ585" s="63"/>
      <c r="BA585" s="63"/>
      <c r="BB585" s="63"/>
      <c r="BC585" s="63"/>
      <c r="BD585" s="63"/>
      <c r="BE585" s="63"/>
      <c r="BF585" s="63"/>
      <c r="BG585" s="63"/>
      <c r="BH585" s="63"/>
      <c r="BI585" s="63"/>
      <c r="BJ585" s="63"/>
      <c r="BK585" s="63"/>
      <c r="BL585" s="63"/>
      <c r="BM585" s="63">
        <f t="shared" si="115"/>
        <v>65000</v>
      </c>
      <c r="BN585" s="63">
        <f t="shared" si="116"/>
        <v>0</v>
      </c>
      <c r="BO585" s="63">
        <f t="shared" si="117"/>
        <v>65000</v>
      </c>
      <c r="BP585" s="63">
        <f t="shared" si="118"/>
        <v>0</v>
      </c>
      <c r="BQ585" s="63">
        <f t="shared" si="119"/>
        <v>0</v>
      </c>
      <c r="BR585" s="63">
        <f t="shared" si="120"/>
        <v>0</v>
      </c>
      <c r="BS585" s="63">
        <f t="shared" si="121"/>
        <v>0</v>
      </c>
    </row>
    <row r="586" spans="1:71">
      <c r="A586" s="28">
        <f t="shared" si="122"/>
        <v>585</v>
      </c>
      <c r="B586" s="30" t="s">
        <v>1615</v>
      </c>
      <c r="C586" s="30" t="s">
        <v>72</v>
      </c>
      <c r="D586" s="30" t="s">
        <v>721</v>
      </c>
      <c r="E586" s="30" t="s">
        <v>810</v>
      </c>
      <c r="F586" s="30" t="s">
        <v>722</v>
      </c>
      <c r="G586" s="30" t="s">
        <v>229</v>
      </c>
      <c r="H586" s="35" t="s">
        <v>230</v>
      </c>
      <c r="I586" s="30"/>
      <c r="J586" s="30"/>
      <c r="K586" s="30"/>
      <c r="L586" s="63"/>
      <c r="M586" s="63"/>
      <c r="N586" s="63"/>
      <c r="O586" s="63"/>
      <c r="P586" s="63"/>
      <c r="Q586" s="42">
        <v>0.27</v>
      </c>
      <c r="R586" s="47">
        <f t="shared" si="123"/>
        <v>11340</v>
      </c>
      <c r="S586" s="48"/>
      <c r="T586" s="48">
        <f t="shared" si="124"/>
        <v>42000</v>
      </c>
      <c r="U586" s="63"/>
      <c r="V586" s="63"/>
      <c r="W586" s="63"/>
      <c r="X586" s="63"/>
      <c r="Y586" s="39"/>
      <c r="Z586" s="39">
        <v>30000</v>
      </c>
      <c r="AA586" s="39">
        <v>12000</v>
      </c>
      <c r="AB586" s="39"/>
      <c r="AC586" s="39"/>
      <c r="AD586" s="39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30"/>
      <c r="AT586" s="63" t="s">
        <v>116</v>
      </c>
      <c r="AU586" s="30" t="s">
        <v>81</v>
      </c>
      <c r="AV586" s="63"/>
      <c r="AW586" s="63"/>
      <c r="AX586" s="63"/>
      <c r="AY586" s="63"/>
      <c r="AZ586" s="63"/>
      <c r="BA586" s="63"/>
      <c r="BB586" s="63"/>
      <c r="BC586" s="63"/>
      <c r="BD586" s="63"/>
      <c r="BE586" s="63"/>
      <c r="BF586" s="63"/>
      <c r="BG586" s="63"/>
      <c r="BH586" s="63"/>
      <c r="BI586" s="63"/>
      <c r="BJ586" s="63"/>
      <c r="BK586" s="63"/>
      <c r="BL586" s="63"/>
      <c r="BM586" s="63">
        <f t="shared" si="115"/>
        <v>8100</v>
      </c>
      <c r="BN586" s="63">
        <f t="shared" si="116"/>
        <v>3240</v>
      </c>
      <c r="BO586" s="63">
        <f t="shared" si="117"/>
        <v>0</v>
      </c>
      <c r="BP586" s="63">
        <f t="shared" si="118"/>
        <v>0</v>
      </c>
      <c r="BQ586" s="63">
        <f t="shared" si="119"/>
        <v>0</v>
      </c>
      <c r="BR586" s="63">
        <f t="shared" si="120"/>
        <v>0</v>
      </c>
      <c r="BS586" s="63">
        <f t="shared" si="121"/>
        <v>0</v>
      </c>
    </row>
    <row r="587" spans="1:71">
      <c r="A587" s="28">
        <f t="shared" si="122"/>
        <v>586</v>
      </c>
      <c r="B587" s="30" t="s">
        <v>860</v>
      </c>
      <c r="C587" s="30" t="s">
        <v>72</v>
      </c>
      <c r="D587" s="30" t="s">
        <v>855</v>
      </c>
      <c r="E587" s="30" t="s">
        <v>810</v>
      </c>
      <c r="F587" s="30" t="s">
        <v>856</v>
      </c>
      <c r="G587" s="30" t="s">
        <v>429</v>
      </c>
      <c r="H587" s="35" t="s">
        <v>430</v>
      </c>
      <c r="I587" s="30"/>
      <c r="J587" s="30"/>
      <c r="K587" s="30" t="s">
        <v>737</v>
      </c>
      <c r="L587" s="63"/>
      <c r="M587" s="63"/>
      <c r="N587" s="63"/>
      <c r="O587" s="63"/>
      <c r="P587" s="63"/>
      <c r="Q587" s="42">
        <v>1.6</v>
      </c>
      <c r="R587" s="47">
        <f t="shared" si="123"/>
        <v>16000</v>
      </c>
      <c r="S587" s="48"/>
      <c r="T587" s="48">
        <f t="shared" si="124"/>
        <v>10000</v>
      </c>
      <c r="U587" s="63"/>
      <c r="V587" s="63"/>
      <c r="W587" s="63"/>
      <c r="X587" s="63"/>
      <c r="Y587" s="39"/>
      <c r="Z587" s="39"/>
      <c r="AA587" s="39"/>
      <c r="AB587" s="39">
        <v>10000</v>
      </c>
      <c r="AC587" s="39"/>
      <c r="AD587" s="39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30"/>
      <c r="AT587" s="63" t="s">
        <v>116</v>
      </c>
      <c r="AU587" s="30" t="s">
        <v>688</v>
      </c>
      <c r="AV587" s="63"/>
      <c r="AW587" s="63"/>
      <c r="AX587" s="63"/>
      <c r="AY587" s="63"/>
      <c r="AZ587" s="63"/>
      <c r="BA587" s="63"/>
      <c r="BB587" s="63"/>
      <c r="BC587" s="63"/>
      <c r="BD587" s="63"/>
      <c r="BE587" s="63"/>
      <c r="BF587" s="63"/>
      <c r="BG587" s="63"/>
      <c r="BH587" s="63"/>
      <c r="BI587" s="63"/>
      <c r="BJ587" s="63"/>
      <c r="BK587" s="63"/>
      <c r="BL587" s="63"/>
      <c r="BM587" s="63">
        <f t="shared" si="115"/>
        <v>0</v>
      </c>
      <c r="BN587" s="63">
        <f t="shared" si="116"/>
        <v>0</v>
      </c>
      <c r="BO587" s="63">
        <f t="shared" si="117"/>
        <v>16000</v>
      </c>
      <c r="BP587" s="63">
        <f t="shared" si="118"/>
        <v>0</v>
      </c>
      <c r="BQ587" s="63">
        <f t="shared" si="119"/>
        <v>0</v>
      </c>
      <c r="BR587" s="63">
        <f t="shared" si="120"/>
        <v>0</v>
      </c>
      <c r="BS587" s="63">
        <f t="shared" si="121"/>
        <v>0</v>
      </c>
    </row>
    <row r="588" spans="1:71">
      <c r="A588" s="28">
        <f t="shared" si="122"/>
        <v>587</v>
      </c>
      <c r="B588" s="30" t="s">
        <v>865</v>
      </c>
      <c r="C588" s="30" t="s">
        <v>72</v>
      </c>
      <c r="D588" s="30" t="s">
        <v>721</v>
      </c>
      <c r="E588" s="30" t="s">
        <v>810</v>
      </c>
      <c r="F588" s="30" t="s">
        <v>722</v>
      </c>
      <c r="G588" s="30" t="s">
        <v>450</v>
      </c>
      <c r="H588" s="35" t="s">
        <v>451</v>
      </c>
      <c r="I588" s="30"/>
      <c r="J588" s="30"/>
      <c r="K588" s="30" t="s">
        <v>745</v>
      </c>
      <c r="L588" s="63"/>
      <c r="M588" s="63"/>
      <c r="N588" s="63"/>
      <c r="O588" s="63"/>
      <c r="P588" s="63"/>
      <c r="Q588" s="42">
        <v>1.88</v>
      </c>
      <c r="R588" s="47">
        <f t="shared" si="123"/>
        <v>263200</v>
      </c>
      <c r="S588" s="48"/>
      <c r="T588" s="48">
        <f t="shared" si="124"/>
        <v>140000</v>
      </c>
      <c r="U588" s="63"/>
      <c r="V588" s="63"/>
      <c r="W588" s="63"/>
      <c r="X588" s="63"/>
      <c r="Y588" s="39"/>
      <c r="Z588" s="39">
        <v>20000</v>
      </c>
      <c r="AA588" s="39">
        <v>20000</v>
      </c>
      <c r="AB588" s="39">
        <v>20000</v>
      </c>
      <c r="AC588" s="39">
        <v>20000</v>
      </c>
      <c r="AD588" s="39">
        <v>20000</v>
      </c>
      <c r="AE588" s="63">
        <v>20000</v>
      </c>
      <c r="AF588" s="63">
        <v>20000</v>
      </c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30"/>
      <c r="AT588" s="63" t="s">
        <v>116</v>
      </c>
      <c r="AU588" s="30" t="s">
        <v>688</v>
      </c>
      <c r="AV588" s="63"/>
      <c r="AW588" s="63"/>
      <c r="AX588" s="63"/>
      <c r="AY588" s="63"/>
      <c r="AZ588" s="63"/>
      <c r="BA588" s="63"/>
      <c r="BB588" s="63"/>
      <c r="BC588" s="63"/>
      <c r="BD588" s="63"/>
      <c r="BE588" s="63"/>
      <c r="BF588" s="63"/>
      <c r="BG588" s="63"/>
      <c r="BH588" s="63"/>
      <c r="BI588" s="63"/>
      <c r="BJ588" s="63"/>
      <c r="BK588" s="63"/>
      <c r="BL588" s="63"/>
      <c r="BM588" s="63">
        <f t="shared" si="115"/>
        <v>37600</v>
      </c>
      <c r="BN588" s="63">
        <f t="shared" si="116"/>
        <v>37600</v>
      </c>
      <c r="BO588" s="63">
        <f t="shared" si="117"/>
        <v>37600</v>
      </c>
      <c r="BP588" s="63">
        <f t="shared" si="118"/>
        <v>37600</v>
      </c>
      <c r="BQ588" s="63">
        <f t="shared" si="119"/>
        <v>37600</v>
      </c>
      <c r="BR588" s="63">
        <f t="shared" si="120"/>
        <v>37600</v>
      </c>
      <c r="BS588" s="63">
        <f t="shared" si="121"/>
        <v>37600</v>
      </c>
    </row>
    <row r="589" spans="1:71">
      <c r="A589" s="28">
        <f t="shared" si="122"/>
        <v>588</v>
      </c>
      <c r="B589" s="30" t="s">
        <v>867</v>
      </c>
      <c r="C589" s="30" t="s">
        <v>72</v>
      </c>
      <c r="D589" s="30" t="s">
        <v>721</v>
      </c>
      <c r="E589" s="30" t="s">
        <v>810</v>
      </c>
      <c r="F589" s="30" t="s">
        <v>722</v>
      </c>
      <c r="G589" s="30" t="s">
        <v>450</v>
      </c>
      <c r="H589" s="35" t="s">
        <v>451</v>
      </c>
      <c r="I589" s="30"/>
      <c r="J589" s="30"/>
      <c r="K589" s="30" t="s">
        <v>745</v>
      </c>
      <c r="L589" s="63"/>
      <c r="M589" s="63"/>
      <c r="N589" s="63"/>
      <c r="O589" s="63"/>
      <c r="P589" s="63"/>
      <c r="Q589" s="42">
        <v>1.88</v>
      </c>
      <c r="R589" s="47">
        <f t="shared" si="123"/>
        <v>263200</v>
      </c>
      <c r="S589" s="48"/>
      <c r="T589" s="48">
        <f t="shared" si="124"/>
        <v>140000</v>
      </c>
      <c r="U589" s="63"/>
      <c r="V589" s="63"/>
      <c r="W589" s="63"/>
      <c r="X589" s="63"/>
      <c r="Y589" s="39"/>
      <c r="Z589" s="39">
        <v>20000</v>
      </c>
      <c r="AA589" s="39">
        <v>20000</v>
      </c>
      <c r="AB589" s="39">
        <v>20000</v>
      </c>
      <c r="AC589" s="39">
        <v>20000</v>
      </c>
      <c r="AD589" s="39">
        <v>20000</v>
      </c>
      <c r="AE589" s="63">
        <v>20000</v>
      </c>
      <c r="AF589" s="63">
        <v>20000</v>
      </c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30"/>
      <c r="AT589" s="63" t="s">
        <v>116</v>
      </c>
      <c r="AU589" s="30" t="s">
        <v>688</v>
      </c>
      <c r="AV589" s="63"/>
      <c r="AW589" s="63"/>
      <c r="AX589" s="63"/>
      <c r="AY589" s="63"/>
      <c r="AZ589" s="63"/>
      <c r="BA589" s="63"/>
      <c r="BB589" s="63"/>
      <c r="BC589" s="63"/>
      <c r="BD589" s="63"/>
      <c r="BE589" s="63"/>
      <c r="BF589" s="63"/>
      <c r="BG589" s="63"/>
      <c r="BH589" s="63"/>
      <c r="BI589" s="63"/>
      <c r="BJ589" s="63"/>
      <c r="BK589" s="63"/>
      <c r="BL589" s="63"/>
      <c r="BM589" s="63">
        <f t="shared" si="115"/>
        <v>37600</v>
      </c>
      <c r="BN589" s="63">
        <f t="shared" si="116"/>
        <v>37600</v>
      </c>
      <c r="BO589" s="63">
        <f t="shared" si="117"/>
        <v>37600</v>
      </c>
      <c r="BP589" s="63">
        <f t="shared" si="118"/>
        <v>37600</v>
      </c>
      <c r="BQ589" s="63">
        <f t="shared" si="119"/>
        <v>37600</v>
      </c>
      <c r="BR589" s="63">
        <f t="shared" si="120"/>
        <v>37600</v>
      </c>
      <c r="BS589" s="63">
        <f t="shared" si="121"/>
        <v>37600</v>
      </c>
    </row>
    <row r="590" spans="1:71">
      <c r="A590" s="28">
        <f t="shared" si="122"/>
        <v>589</v>
      </c>
      <c r="B590" s="30" t="s">
        <v>865</v>
      </c>
      <c r="C590" s="30" t="s">
        <v>72</v>
      </c>
      <c r="D590" s="30" t="s">
        <v>721</v>
      </c>
      <c r="E590" s="30" t="s">
        <v>810</v>
      </c>
      <c r="F590" s="30" t="s">
        <v>722</v>
      </c>
      <c r="G590" s="30" t="s">
        <v>433</v>
      </c>
      <c r="H590" s="35" t="s">
        <v>434</v>
      </c>
      <c r="I590" s="30"/>
      <c r="J590" s="30"/>
      <c r="K590" s="30" t="s">
        <v>737</v>
      </c>
      <c r="L590" s="63"/>
      <c r="M590" s="63"/>
      <c r="N590" s="63"/>
      <c r="O590" s="63"/>
      <c r="P590" s="63"/>
      <c r="Q590" s="42">
        <v>1.61</v>
      </c>
      <c r="R590" s="47">
        <f t="shared" si="123"/>
        <v>48300</v>
      </c>
      <c r="S590" s="48"/>
      <c r="T590" s="48">
        <f t="shared" si="124"/>
        <v>30000</v>
      </c>
      <c r="U590" s="63"/>
      <c r="V590" s="63"/>
      <c r="W590" s="63"/>
      <c r="X590" s="63"/>
      <c r="Y590" s="39"/>
      <c r="Z590" s="39">
        <v>15000</v>
      </c>
      <c r="AA590" s="39">
        <v>15000</v>
      </c>
      <c r="AB590" s="39"/>
      <c r="AC590" s="39"/>
      <c r="AD590" s="39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30"/>
      <c r="AT590" s="63" t="s">
        <v>116</v>
      </c>
      <c r="AU590" s="30" t="s">
        <v>688</v>
      </c>
      <c r="AV590" s="63"/>
      <c r="AW590" s="63"/>
      <c r="AX590" s="63"/>
      <c r="AY590" s="63"/>
      <c r="AZ590" s="63"/>
      <c r="BA590" s="63"/>
      <c r="BB590" s="63"/>
      <c r="BC590" s="63"/>
      <c r="BD590" s="63"/>
      <c r="BE590" s="63"/>
      <c r="BF590" s="63"/>
      <c r="BG590" s="63"/>
      <c r="BH590" s="63"/>
      <c r="BI590" s="63"/>
      <c r="BJ590" s="63"/>
      <c r="BK590" s="63"/>
      <c r="BL590" s="63"/>
      <c r="BM590" s="63">
        <f t="shared" si="115"/>
        <v>24150</v>
      </c>
      <c r="BN590" s="63">
        <f t="shared" si="116"/>
        <v>24150</v>
      </c>
      <c r="BO590" s="63">
        <f t="shared" si="117"/>
        <v>0</v>
      </c>
      <c r="BP590" s="63">
        <f t="shared" si="118"/>
        <v>0</v>
      </c>
      <c r="BQ590" s="63">
        <f t="shared" si="119"/>
        <v>0</v>
      </c>
      <c r="BR590" s="63">
        <f t="shared" si="120"/>
        <v>0</v>
      </c>
      <c r="BS590" s="63">
        <f t="shared" si="121"/>
        <v>0</v>
      </c>
    </row>
    <row r="591" spans="1:71">
      <c r="A591" s="28">
        <f t="shared" si="122"/>
        <v>590</v>
      </c>
      <c r="B591" s="30" t="s">
        <v>867</v>
      </c>
      <c r="C591" s="30" t="s">
        <v>72</v>
      </c>
      <c r="D591" s="30" t="s">
        <v>721</v>
      </c>
      <c r="E591" s="30" t="s">
        <v>810</v>
      </c>
      <c r="F591" s="30" t="s">
        <v>722</v>
      </c>
      <c r="G591" s="30" t="s">
        <v>423</v>
      </c>
      <c r="H591" s="35" t="s">
        <v>426</v>
      </c>
      <c r="I591" s="30"/>
      <c r="J591" s="30"/>
      <c r="K591" s="30"/>
      <c r="L591" s="63"/>
      <c r="M591" s="63"/>
      <c r="N591" s="63"/>
      <c r="O591" s="63"/>
      <c r="P591" s="63"/>
      <c r="Q591" s="42">
        <v>0.98</v>
      </c>
      <c r="R591" s="47">
        <f t="shared" si="123"/>
        <v>205800</v>
      </c>
      <c r="S591" s="48"/>
      <c r="T591" s="48">
        <f t="shared" si="124"/>
        <v>210000</v>
      </c>
      <c r="U591" s="63"/>
      <c r="V591" s="63"/>
      <c r="W591" s="63"/>
      <c r="X591" s="63"/>
      <c r="Y591" s="39"/>
      <c r="Z591" s="39">
        <v>30000</v>
      </c>
      <c r="AA591" s="39">
        <v>30000</v>
      </c>
      <c r="AB591" s="39">
        <v>30000</v>
      </c>
      <c r="AC591" s="39">
        <v>30000</v>
      </c>
      <c r="AD591" s="39">
        <v>30000</v>
      </c>
      <c r="AE591" s="63">
        <v>30000</v>
      </c>
      <c r="AF591" s="63">
        <v>30000</v>
      </c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30"/>
      <c r="AT591" s="63" t="s">
        <v>116</v>
      </c>
      <c r="AU591" s="30" t="s">
        <v>688</v>
      </c>
      <c r="AV591" s="63"/>
      <c r="AW591" s="63"/>
      <c r="AX591" s="63"/>
      <c r="AY591" s="63"/>
      <c r="AZ591" s="63"/>
      <c r="BA591" s="63"/>
      <c r="BB591" s="63"/>
      <c r="BC591" s="63"/>
      <c r="BD591" s="63"/>
      <c r="BE591" s="63"/>
      <c r="BF591" s="63"/>
      <c r="BG591" s="63"/>
      <c r="BH591" s="63"/>
      <c r="BI591" s="63"/>
      <c r="BJ591" s="63"/>
      <c r="BK591" s="63"/>
      <c r="BL591" s="63"/>
      <c r="BM591" s="63">
        <f t="shared" si="115"/>
        <v>29400</v>
      </c>
      <c r="BN591" s="63">
        <f t="shared" si="116"/>
        <v>29400</v>
      </c>
      <c r="BO591" s="63">
        <f t="shared" si="117"/>
        <v>29400</v>
      </c>
      <c r="BP591" s="63">
        <f t="shared" si="118"/>
        <v>29400</v>
      </c>
      <c r="BQ591" s="63">
        <f t="shared" si="119"/>
        <v>29400</v>
      </c>
      <c r="BR591" s="63">
        <f t="shared" si="120"/>
        <v>29400</v>
      </c>
      <c r="BS591" s="63">
        <f t="shared" si="121"/>
        <v>29400</v>
      </c>
    </row>
    <row r="592" spans="1:71">
      <c r="A592" s="28">
        <f t="shared" si="122"/>
        <v>591</v>
      </c>
      <c r="B592" s="30" t="s">
        <v>679</v>
      </c>
      <c r="C592" s="30" t="s">
        <v>527</v>
      </c>
      <c r="D592" s="30" t="s">
        <v>679</v>
      </c>
      <c r="E592" s="30" t="s">
        <v>99</v>
      </c>
      <c r="F592" s="30"/>
      <c r="G592" s="30" t="s">
        <v>354</v>
      </c>
      <c r="H592" s="35" t="s">
        <v>355</v>
      </c>
      <c r="I592" s="30"/>
      <c r="J592" s="30"/>
      <c r="K592" s="30"/>
      <c r="L592" s="63"/>
      <c r="M592" s="63" t="s">
        <v>56</v>
      </c>
      <c r="N592" s="63"/>
      <c r="O592" s="63"/>
      <c r="P592" s="63"/>
      <c r="Q592" s="42">
        <v>1</v>
      </c>
      <c r="R592" s="47">
        <f t="shared" si="123"/>
        <v>900000</v>
      </c>
      <c r="S592" s="48"/>
      <c r="T592" s="48">
        <f t="shared" si="124"/>
        <v>900000</v>
      </c>
      <c r="U592" s="63"/>
      <c r="V592" s="63"/>
      <c r="W592" s="63"/>
      <c r="X592" s="63"/>
      <c r="Y592" s="39"/>
      <c r="Z592" s="39"/>
      <c r="AA592" s="39"/>
      <c r="AB592" s="39"/>
      <c r="AC592" s="39">
        <v>200000</v>
      </c>
      <c r="AD592" s="39">
        <v>200000</v>
      </c>
      <c r="AE592" s="63">
        <v>250000</v>
      </c>
      <c r="AF592" s="63">
        <v>250000</v>
      </c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30"/>
      <c r="AT592" s="63" t="s">
        <v>105</v>
      </c>
      <c r="AU592" s="30" t="s">
        <v>81</v>
      </c>
      <c r="AV592" s="63"/>
      <c r="AW592" s="63"/>
      <c r="AX592" s="63"/>
      <c r="AY592" s="63"/>
      <c r="AZ592" s="63"/>
      <c r="BA592" s="63"/>
      <c r="BB592" s="63"/>
      <c r="BC592" s="63"/>
      <c r="BD592" s="63"/>
      <c r="BE592" s="63"/>
      <c r="BF592" s="63"/>
      <c r="BG592" s="63"/>
      <c r="BH592" s="63"/>
      <c r="BI592" s="63"/>
      <c r="BJ592" s="63"/>
      <c r="BK592" s="63"/>
      <c r="BL592" s="63"/>
      <c r="BM592" s="63">
        <f t="shared" si="115"/>
        <v>0</v>
      </c>
      <c r="BN592" s="63">
        <f t="shared" si="116"/>
        <v>0</v>
      </c>
      <c r="BO592" s="63">
        <f t="shared" si="117"/>
        <v>0</v>
      </c>
      <c r="BP592" s="63">
        <f t="shared" si="118"/>
        <v>200000</v>
      </c>
      <c r="BQ592" s="63">
        <f t="shared" si="119"/>
        <v>200000</v>
      </c>
      <c r="BR592" s="63">
        <f t="shared" si="120"/>
        <v>250000</v>
      </c>
      <c r="BS592" s="63">
        <f t="shared" si="121"/>
        <v>250000</v>
      </c>
    </row>
    <row r="593" spans="1:71">
      <c r="A593" s="28">
        <f t="shared" si="122"/>
        <v>592</v>
      </c>
      <c r="B593" s="29" t="s">
        <v>123</v>
      </c>
      <c r="C593" s="30" t="s">
        <v>72</v>
      </c>
      <c r="D593" s="30" t="s">
        <v>124</v>
      </c>
      <c r="E593" s="30" t="s">
        <v>125</v>
      </c>
      <c r="F593" s="30"/>
      <c r="G593" s="30" t="s">
        <v>76</v>
      </c>
      <c r="H593" s="35" t="s">
        <v>126</v>
      </c>
      <c r="I593" s="30"/>
      <c r="J593" s="30"/>
      <c r="K593" s="30"/>
      <c r="L593" s="39"/>
      <c r="M593" s="30"/>
      <c r="N593" s="31"/>
      <c r="O593" s="29"/>
      <c r="P593" s="43"/>
      <c r="Q593" s="42">
        <v>0.2</v>
      </c>
      <c r="R593" s="47">
        <f t="shared" ref="R593:R596" si="125">Q593*T593</f>
        <v>240000</v>
      </c>
      <c r="S593" s="91"/>
      <c r="T593" s="48">
        <f t="shared" ref="T593:T596" si="126">SUM(Z593:AF593)</f>
        <v>1200000</v>
      </c>
      <c r="U593" s="39"/>
      <c r="V593" s="39"/>
      <c r="W593" s="39"/>
      <c r="X593" s="39"/>
      <c r="Y593" s="39"/>
      <c r="Z593" s="39"/>
      <c r="AA593" s="39">
        <v>200000</v>
      </c>
      <c r="AB593" s="39">
        <v>200000</v>
      </c>
      <c r="AC593" s="39">
        <v>200000</v>
      </c>
      <c r="AD593" s="39">
        <v>200000</v>
      </c>
      <c r="AE593" s="39">
        <v>200000</v>
      </c>
      <c r="AF593" s="39">
        <v>200000</v>
      </c>
      <c r="AG593" s="39"/>
      <c r="AH593" s="39"/>
      <c r="AI593" s="39"/>
      <c r="AJ593" s="39"/>
      <c r="AK593" s="39"/>
      <c r="AL593" s="39"/>
      <c r="AM593" s="39"/>
      <c r="AN593" s="39"/>
      <c r="AO593" s="39"/>
      <c r="AP593" s="39"/>
      <c r="AQ593" s="39"/>
      <c r="AR593" s="39"/>
      <c r="AS593" s="30"/>
      <c r="AT593" s="30" t="s">
        <v>127</v>
      </c>
      <c r="AU593" s="30" t="s">
        <v>81</v>
      </c>
      <c r="AV593" s="30"/>
      <c r="AW593" s="30"/>
      <c r="AX593" s="30"/>
      <c r="AY593" s="30"/>
      <c r="AZ593" s="30"/>
      <c r="BA593" s="30"/>
      <c r="BB593" s="30"/>
      <c r="BC593" s="58"/>
      <c r="BD593" s="30"/>
      <c r="BE593" s="30"/>
      <c r="BF593" s="30"/>
      <c r="BG593" s="30"/>
      <c r="BH593" s="30"/>
      <c r="BI593" s="30"/>
      <c r="BJ593" s="29"/>
      <c r="BK593" s="29"/>
      <c r="BL593" s="63"/>
      <c r="BM593" s="63">
        <f t="shared" si="115"/>
        <v>0</v>
      </c>
      <c r="BN593" s="63">
        <f t="shared" si="116"/>
        <v>40000</v>
      </c>
      <c r="BO593" s="63">
        <f t="shared" si="117"/>
        <v>40000</v>
      </c>
      <c r="BP593" s="63">
        <f t="shared" si="118"/>
        <v>40000</v>
      </c>
      <c r="BQ593" s="63">
        <f t="shared" si="119"/>
        <v>40000</v>
      </c>
      <c r="BR593" s="63">
        <f t="shared" si="120"/>
        <v>40000</v>
      </c>
      <c r="BS593" s="63">
        <f t="shared" si="121"/>
        <v>40000</v>
      </c>
    </row>
    <row r="594" spans="1:71">
      <c r="A594" s="28">
        <f t="shared" si="122"/>
        <v>593</v>
      </c>
      <c r="B594" s="29" t="s">
        <v>1616</v>
      </c>
      <c r="C594" s="30" t="s">
        <v>72</v>
      </c>
      <c r="D594" s="30" t="s">
        <v>124</v>
      </c>
      <c r="E594" s="30" t="s">
        <v>125</v>
      </c>
      <c r="F594" s="30"/>
      <c r="G594" s="30" t="s">
        <v>195</v>
      </c>
      <c r="H594" s="35" t="s">
        <v>196</v>
      </c>
      <c r="I594" s="30"/>
      <c r="J594" s="30"/>
      <c r="K594" s="30"/>
      <c r="L594" s="39"/>
      <c r="M594" s="30"/>
      <c r="N594" s="31"/>
      <c r="O594" s="29"/>
      <c r="P594" s="43"/>
      <c r="Q594" s="42">
        <v>0.121</v>
      </c>
      <c r="R594" s="47">
        <f t="shared" si="125"/>
        <v>28314</v>
      </c>
      <c r="S594" s="91"/>
      <c r="T594" s="48">
        <f t="shared" si="126"/>
        <v>234000</v>
      </c>
      <c r="U594" s="39"/>
      <c r="V594" s="39"/>
      <c r="W594" s="39"/>
      <c r="X594" s="39"/>
      <c r="Y594" s="39"/>
      <c r="Z594" s="39"/>
      <c r="AA594" s="39">
        <v>39000</v>
      </c>
      <c r="AB594" s="39">
        <v>39000</v>
      </c>
      <c r="AC594" s="39">
        <v>39000</v>
      </c>
      <c r="AD594" s="39">
        <v>39000</v>
      </c>
      <c r="AE594" s="39">
        <v>39000</v>
      </c>
      <c r="AF594" s="39">
        <v>39000</v>
      </c>
      <c r="AG594" s="39"/>
      <c r="AH594" s="39"/>
      <c r="AI594" s="39"/>
      <c r="AJ594" s="39"/>
      <c r="AK594" s="39"/>
      <c r="AL594" s="39"/>
      <c r="AM594" s="39"/>
      <c r="AN594" s="39"/>
      <c r="AO594" s="39"/>
      <c r="AP594" s="39"/>
      <c r="AQ594" s="39"/>
      <c r="AR594" s="39"/>
      <c r="AS594" s="30"/>
      <c r="AT594" s="30" t="s">
        <v>127</v>
      </c>
      <c r="AU594" s="30" t="s">
        <v>81</v>
      </c>
      <c r="AV594" s="30"/>
      <c r="AW594" s="30"/>
      <c r="AX594" s="30"/>
      <c r="AY594" s="30"/>
      <c r="AZ594" s="30"/>
      <c r="BA594" s="30"/>
      <c r="BB594" s="30"/>
      <c r="BC594" s="58"/>
      <c r="BD594" s="30"/>
      <c r="BE594" s="30"/>
      <c r="BF594" s="30"/>
      <c r="BG594" s="30"/>
      <c r="BH594" s="30"/>
      <c r="BI594" s="30"/>
      <c r="BJ594" s="29"/>
      <c r="BK594" s="29"/>
      <c r="BL594" s="63"/>
      <c r="BM594" s="63">
        <f t="shared" si="115"/>
        <v>0</v>
      </c>
      <c r="BN594" s="63">
        <f t="shared" si="116"/>
        <v>4719</v>
      </c>
      <c r="BO594" s="63">
        <f t="shared" si="117"/>
        <v>4719</v>
      </c>
      <c r="BP594" s="63">
        <f t="shared" si="118"/>
        <v>4719</v>
      </c>
      <c r="BQ594" s="63">
        <f t="shared" si="119"/>
        <v>4719</v>
      </c>
      <c r="BR594" s="63">
        <f t="shared" si="120"/>
        <v>4719</v>
      </c>
      <c r="BS594" s="63">
        <f t="shared" si="121"/>
        <v>4719</v>
      </c>
    </row>
    <row r="595" spans="1:71">
      <c r="A595" s="28">
        <f t="shared" si="122"/>
        <v>594</v>
      </c>
      <c r="B595" s="29" t="s">
        <v>1617</v>
      </c>
      <c r="C595" s="30" t="s">
        <v>72</v>
      </c>
      <c r="D595" s="30" t="s">
        <v>124</v>
      </c>
      <c r="E595" s="30" t="s">
        <v>125</v>
      </c>
      <c r="F595" s="30"/>
      <c r="G595" s="30" t="s">
        <v>199</v>
      </c>
      <c r="H595" s="35" t="s">
        <v>200</v>
      </c>
      <c r="I595" s="30"/>
      <c r="J595" s="30"/>
      <c r="K595" s="30"/>
      <c r="L595" s="39"/>
      <c r="M595" s="30"/>
      <c r="N595" s="31"/>
      <c r="O595" s="29"/>
      <c r="P595" s="43"/>
      <c r="Q595" s="42">
        <v>0.102</v>
      </c>
      <c r="R595" s="47">
        <f t="shared" si="125"/>
        <v>20196</v>
      </c>
      <c r="S595" s="91"/>
      <c r="T595" s="48">
        <f t="shared" si="126"/>
        <v>198000</v>
      </c>
      <c r="U595" s="39"/>
      <c r="V595" s="39"/>
      <c r="W595" s="39"/>
      <c r="X595" s="39"/>
      <c r="Y595" s="39"/>
      <c r="Z595" s="39"/>
      <c r="AA595" s="39">
        <v>33000</v>
      </c>
      <c r="AB595" s="39">
        <v>33000</v>
      </c>
      <c r="AC595" s="39">
        <v>33000</v>
      </c>
      <c r="AD595" s="39">
        <v>33000</v>
      </c>
      <c r="AE595" s="39">
        <v>33000</v>
      </c>
      <c r="AF595" s="39">
        <v>33000</v>
      </c>
      <c r="AG595" s="39"/>
      <c r="AH595" s="39"/>
      <c r="AI595" s="39"/>
      <c r="AJ595" s="39"/>
      <c r="AK595" s="39"/>
      <c r="AL595" s="39"/>
      <c r="AM595" s="39"/>
      <c r="AN595" s="39"/>
      <c r="AO595" s="39"/>
      <c r="AP595" s="39"/>
      <c r="AQ595" s="39"/>
      <c r="AR595" s="39"/>
      <c r="AS595" s="30"/>
      <c r="AT595" s="30" t="s">
        <v>127</v>
      </c>
      <c r="AU595" s="30" t="s">
        <v>81</v>
      </c>
      <c r="AV595" s="30"/>
      <c r="AW595" s="30"/>
      <c r="AX595" s="30"/>
      <c r="AY595" s="30"/>
      <c r="AZ595" s="30"/>
      <c r="BA595" s="30"/>
      <c r="BB595" s="30"/>
      <c r="BC595" s="58"/>
      <c r="BD595" s="30"/>
      <c r="BE595" s="30"/>
      <c r="BF595" s="30"/>
      <c r="BG595" s="30"/>
      <c r="BH595" s="30"/>
      <c r="BI595" s="30"/>
      <c r="BJ595" s="29"/>
      <c r="BK595" s="29"/>
      <c r="BL595" s="63"/>
      <c r="BM595" s="63">
        <f t="shared" si="115"/>
        <v>0</v>
      </c>
      <c r="BN595" s="63">
        <f t="shared" si="116"/>
        <v>3366</v>
      </c>
      <c r="BO595" s="63">
        <f t="shared" si="117"/>
        <v>3366</v>
      </c>
      <c r="BP595" s="63">
        <f t="shared" si="118"/>
        <v>3366</v>
      </c>
      <c r="BQ595" s="63">
        <f t="shared" si="119"/>
        <v>3366</v>
      </c>
      <c r="BR595" s="63">
        <f t="shared" si="120"/>
        <v>3366</v>
      </c>
      <c r="BS595" s="63">
        <f t="shared" si="121"/>
        <v>3366</v>
      </c>
    </row>
    <row r="596" spans="1:71">
      <c r="A596" s="28">
        <f t="shared" si="122"/>
        <v>595</v>
      </c>
      <c r="B596" s="30" t="s">
        <v>1618</v>
      </c>
      <c r="C596" s="30" t="s">
        <v>72</v>
      </c>
      <c r="D596" s="30" t="s">
        <v>1618</v>
      </c>
      <c r="E596" s="30" t="s">
        <v>125</v>
      </c>
      <c r="F596" s="30"/>
      <c r="G596" s="30" t="s">
        <v>437</v>
      </c>
      <c r="H596" s="35" t="s">
        <v>438</v>
      </c>
      <c r="I596" s="30"/>
      <c r="J596" s="30"/>
      <c r="K596" s="30"/>
      <c r="L596" s="39"/>
      <c r="M596" s="30"/>
      <c r="N596" s="31"/>
      <c r="O596" s="29"/>
      <c r="P596" s="43"/>
      <c r="Q596" s="42">
        <v>5.15</v>
      </c>
      <c r="R596" s="47">
        <f t="shared" si="125"/>
        <v>2884000</v>
      </c>
      <c r="S596" s="91"/>
      <c r="T596" s="48">
        <f t="shared" si="126"/>
        <v>560000</v>
      </c>
      <c r="U596" s="39"/>
      <c r="V596" s="39"/>
      <c r="W596" s="39"/>
      <c r="X596" s="39"/>
      <c r="Y596" s="39"/>
      <c r="Z596" s="39">
        <v>80000</v>
      </c>
      <c r="AA596" s="39">
        <v>80000</v>
      </c>
      <c r="AB596" s="39">
        <v>80000</v>
      </c>
      <c r="AC596" s="39">
        <v>80000</v>
      </c>
      <c r="AD596" s="39">
        <v>80000</v>
      </c>
      <c r="AE596" s="39">
        <v>80000</v>
      </c>
      <c r="AF596" s="39">
        <v>80000</v>
      </c>
      <c r="AG596" s="39"/>
      <c r="AH596" s="39"/>
      <c r="AI596" s="39"/>
      <c r="AJ596" s="39"/>
      <c r="AK596" s="39"/>
      <c r="AL596" s="39"/>
      <c r="AM596" s="39"/>
      <c r="AN596" s="39"/>
      <c r="AO596" s="39"/>
      <c r="AP596" s="39"/>
      <c r="AQ596" s="39"/>
      <c r="AR596" s="39"/>
      <c r="AS596" s="30"/>
      <c r="AT596" s="30" t="s">
        <v>127</v>
      </c>
      <c r="AU596" s="30" t="s">
        <v>688</v>
      </c>
      <c r="AV596" s="30"/>
      <c r="AW596" s="30"/>
      <c r="AX596" s="30"/>
      <c r="AY596" s="30"/>
      <c r="AZ596" s="30"/>
      <c r="BA596" s="30"/>
      <c r="BB596" s="30"/>
      <c r="BC596" s="58"/>
      <c r="BD596" s="30"/>
      <c r="BE596" s="30"/>
      <c r="BF596" s="30"/>
      <c r="BG596" s="30"/>
      <c r="BH596" s="30"/>
      <c r="BI596" s="30"/>
      <c r="BJ596" s="29"/>
      <c r="BK596" s="29"/>
      <c r="BL596" s="63"/>
      <c r="BM596" s="63">
        <f t="shared" si="115"/>
        <v>412000</v>
      </c>
      <c r="BN596" s="63">
        <f t="shared" si="116"/>
        <v>412000</v>
      </c>
      <c r="BO596" s="63">
        <f t="shared" si="117"/>
        <v>412000</v>
      </c>
      <c r="BP596" s="63">
        <f t="shared" si="118"/>
        <v>412000</v>
      </c>
      <c r="BQ596" s="63">
        <f t="shared" si="119"/>
        <v>412000</v>
      </c>
      <c r="BR596" s="63">
        <f t="shared" si="120"/>
        <v>412000</v>
      </c>
      <c r="BS596" s="63">
        <f t="shared" si="121"/>
        <v>412000</v>
      </c>
    </row>
    <row r="597" spans="1:71">
      <c r="A597" s="28">
        <f t="shared" si="122"/>
        <v>596</v>
      </c>
      <c r="B597" s="7"/>
      <c r="C597" s="30" t="s">
        <v>72</v>
      </c>
      <c r="D597" s="30" t="s">
        <v>1619</v>
      </c>
      <c r="E597" s="30" t="s">
        <v>125</v>
      </c>
      <c r="F597" s="7"/>
      <c r="G597" s="30" t="s">
        <v>512</v>
      </c>
      <c r="H597" s="35" t="s">
        <v>513</v>
      </c>
      <c r="I597" s="7"/>
      <c r="J597" s="7"/>
      <c r="K597" s="7"/>
      <c r="L597" s="7"/>
      <c r="M597" s="7"/>
      <c r="N597" s="7"/>
      <c r="O597" s="7"/>
      <c r="P597" s="7"/>
      <c r="Q597" s="106">
        <v>3</v>
      </c>
      <c r="R597" s="47">
        <f t="shared" ref="R597:R601" si="127">Q597*T597</f>
        <v>480000</v>
      </c>
      <c r="S597" s="7"/>
      <c r="T597" s="48">
        <f t="shared" ref="T597:T601" si="128">SUM(Z597:AF597)</f>
        <v>160000</v>
      </c>
      <c r="U597" s="7"/>
      <c r="V597" s="7"/>
      <c r="W597" s="7"/>
      <c r="X597" s="7"/>
      <c r="Y597" s="7"/>
      <c r="Z597" s="7"/>
      <c r="AA597" s="39">
        <v>10000</v>
      </c>
      <c r="AB597" s="39">
        <v>30000</v>
      </c>
      <c r="AC597" s="39">
        <v>30000</v>
      </c>
      <c r="AD597" s="39">
        <v>30000</v>
      </c>
      <c r="AE597" s="39">
        <v>30000</v>
      </c>
      <c r="AF597" s="39">
        <v>30000</v>
      </c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30" t="s">
        <v>127</v>
      </c>
      <c r="AU597" s="7" t="s">
        <v>1620</v>
      </c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63">
        <f t="shared" si="115"/>
        <v>0</v>
      </c>
      <c r="BN597" s="63">
        <f t="shared" si="116"/>
        <v>30000</v>
      </c>
      <c r="BO597" s="63">
        <f t="shared" si="117"/>
        <v>90000</v>
      </c>
      <c r="BP597" s="63">
        <f t="shared" si="118"/>
        <v>90000</v>
      </c>
      <c r="BQ597" s="63">
        <f t="shared" si="119"/>
        <v>90000</v>
      </c>
      <c r="BR597" s="63">
        <f t="shared" si="120"/>
        <v>90000</v>
      </c>
      <c r="BS597" s="63">
        <f t="shared" si="121"/>
        <v>90000</v>
      </c>
    </row>
    <row r="598" spans="1:71">
      <c r="A598" s="28">
        <f t="shared" si="122"/>
        <v>597</v>
      </c>
      <c r="B598" s="7"/>
      <c r="C598" s="30" t="s">
        <v>72</v>
      </c>
      <c r="D598" s="30" t="s">
        <v>1619</v>
      </c>
      <c r="E598" s="30" t="s">
        <v>125</v>
      </c>
      <c r="F598" s="7"/>
      <c r="G598" s="30" t="s">
        <v>514</v>
      </c>
      <c r="H598" s="35" t="s">
        <v>515</v>
      </c>
      <c r="I598" s="7"/>
      <c r="J598" s="7"/>
      <c r="K598" s="7"/>
      <c r="L598" s="7"/>
      <c r="M598" s="7"/>
      <c r="N598" s="7"/>
      <c r="O598" s="7"/>
      <c r="P598" s="7"/>
      <c r="Q598" s="106">
        <v>3</v>
      </c>
      <c r="R598" s="47">
        <f t="shared" si="127"/>
        <v>2640000</v>
      </c>
      <c r="S598" s="7"/>
      <c r="T598" s="48">
        <f t="shared" si="128"/>
        <v>880000</v>
      </c>
      <c r="U598" s="7"/>
      <c r="V598" s="7"/>
      <c r="W598" s="7"/>
      <c r="X598" s="7"/>
      <c r="Y598" s="7"/>
      <c r="Z598" s="7"/>
      <c r="AA598" s="39">
        <v>130000</v>
      </c>
      <c r="AB598" s="39">
        <v>150000</v>
      </c>
      <c r="AC598" s="39">
        <v>150000</v>
      </c>
      <c r="AD598" s="39">
        <v>150000</v>
      </c>
      <c r="AE598" s="39">
        <v>150000</v>
      </c>
      <c r="AF598" s="39">
        <v>150000</v>
      </c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30" t="s">
        <v>127</v>
      </c>
      <c r="AU598" s="7" t="s">
        <v>1620</v>
      </c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63">
        <f t="shared" si="115"/>
        <v>0</v>
      </c>
      <c r="BN598" s="63">
        <f t="shared" si="116"/>
        <v>390000</v>
      </c>
      <c r="BO598" s="63">
        <f t="shared" si="117"/>
        <v>450000</v>
      </c>
      <c r="BP598" s="63">
        <f t="shared" si="118"/>
        <v>450000</v>
      </c>
      <c r="BQ598" s="63">
        <f t="shared" si="119"/>
        <v>450000</v>
      </c>
      <c r="BR598" s="63">
        <f t="shared" si="120"/>
        <v>450000</v>
      </c>
      <c r="BS598" s="63">
        <f t="shared" si="121"/>
        <v>450000</v>
      </c>
    </row>
    <row r="599" spans="1:71">
      <c r="A599" s="28">
        <f t="shared" si="122"/>
        <v>598</v>
      </c>
      <c r="B599" s="7"/>
      <c r="C599" s="30" t="s">
        <v>72</v>
      </c>
      <c r="D599" s="30" t="s">
        <v>1619</v>
      </c>
      <c r="E599" s="30" t="s">
        <v>125</v>
      </c>
      <c r="F599" s="7"/>
      <c r="G599" s="30" t="s">
        <v>406</v>
      </c>
      <c r="H599" s="105" t="s">
        <v>407</v>
      </c>
      <c r="I599" s="7"/>
      <c r="J599" s="7"/>
      <c r="K599" s="7"/>
      <c r="L599" s="7"/>
      <c r="M599" s="7"/>
      <c r="N599" s="7"/>
      <c r="O599" s="7"/>
      <c r="P599" s="7"/>
      <c r="Q599" s="106">
        <v>2.85</v>
      </c>
      <c r="R599" s="47">
        <f t="shared" si="127"/>
        <v>399000</v>
      </c>
      <c r="S599" s="7"/>
      <c r="T599" s="48">
        <f t="shared" si="128"/>
        <v>140000</v>
      </c>
      <c r="U599" s="7"/>
      <c r="V599" s="7"/>
      <c r="W599" s="7"/>
      <c r="X599" s="7"/>
      <c r="Y599" s="7"/>
      <c r="Z599" s="7"/>
      <c r="AA599" s="7"/>
      <c r="AB599" s="39">
        <v>20000</v>
      </c>
      <c r="AC599" s="39">
        <v>30000</v>
      </c>
      <c r="AD599" s="39">
        <v>30000</v>
      </c>
      <c r="AE599" s="39">
        <v>30000</v>
      </c>
      <c r="AF599" s="39">
        <v>30000</v>
      </c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30" t="s">
        <v>127</v>
      </c>
      <c r="AU599" s="7" t="s">
        <v>1620</v>
      </c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63">
        <f t="shared" si="115"/>
        <v>0</v>
      </c>
      <c r="BN599" s="63">
        <f t="shared" si="116"/>
        <v>0</v>
      </c>
      <c r="BO599" s="63">
        <f t="shared" si="117"/>
        <v>57000</v>
      </c>
      <c r="BP599" s="63">
        <f t="shared" si="118"/>
        <v>85500</v>
      </c>
      <c r="BQ599" s="63">
        <f t="shared" si="119"/>
        <v>85500</v>
      </c>
      <c r="BR599" s="63">
        <f t="shared" si="120"/>
        <v>85500</v>
      </c>
      <c r="BS599" s="63">
        <f t="shared" si="121"/>
        <v>85500</v>
      </c>
    </row>
    <row r="600" spans="1:71">
      <c r="A600" s="28">
        <f t="shared" si="122"/>
        <v>599</v>
      </c>
      <c r="B600" s="7"/>
      <c r="C600" s="30" t="s">
        <v>72</v>
      </c>
      <c r="D600" s="30" t="s">
        <v>1619</v>
      </c>
      <c r="E600" s="30" t="s">
        <v>125</v>
      </c>
      <c r="F600" s="7"/>
      <c r="G600" s="30" t="s">
        <v>406</v>
      </c>
      <c r="H600" s="105" t="s">
        <v>408</v>
      </c>
      <c r="I600" s="7"/>
      <c r="J600" s="7"/>
      <c r="K600" s="7"/>
      <c r="L600" s="7"/>
      <c r="M600" s="7"/>
      <c r="N600" s="7"/>
      <c r="O600" s="7"/>
      <c r="P600" s="7"/>
      <c r="Q600" s="106">
        <v>2.85</v>
      </c>
      <c r="R600" s="47">
        <f t="shared" si="127"/>
        <v>399000</v>
      </c>
      <c r="S600" s="7"/>
      <c r="T600" s="48">
        <f t="shared" si="128"/>
        <v>140000</v>
      </c>
      <c r="U600" s="7"/>
      <c r="V600" s="7"/>
      <c r="W600" s="7"/>
      <c r="X600" s="7"/>
      <c r="Y600" s="7"/>
      <c r="Z600" s="7"/>
      <c r="AA600" s="7"/>
      <c r="AB600" s="39">
        <v>20000</v>
      </c>
      <c r="AC600" s="39">
        <v>30000</v>
      </c>
      <c r="AD600" s="39">
        <v>30000</v>
      </c>
      <c r="AE600" s="39">
        <v>30000</v>
      </c>
      <c r="AF600" s="39">
        <v>30000</v>
      </c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30" t="s">
        <v>127</v>
      </c>
      <c r="AU600" s="7" t="s">
        <v>1620</v>
      </c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63">
        <f t="shared" si="115"/>
        <v>0</v>
      </c>
      <c r="BN600" s="63">
        <f t="shared" si="116"/>
        <v>0</v>
      </c>
      <c r="BO600" s="63">
        <f t="shared" si="117"/>
        <v>57000</v>
      </c>
      <c r="BP600" s="63">
        <f t="shared" si="118"/>
        <v>85500</v>
      </c>
      <c r="BQ600" s="63">
        <f t="shared" si="119"/>
        <v>85500</v>
      </c>
      <c r="BR600" s="63">
        <f t="shared" si="120"/>
        <v>85500</v>
      </c>
      <c r="BS600" s="63">
        <f t="shared" si="121"/>
        <v>85500</v>
      </c>
    </row>
    <row r="601" spans="1:71">
      <c r="A601" s="28">
        <f t="shared" si="122"/>
        <v>600</v>
      </c>
      <c r="B601" s="7"/>
      <c r="C601" s="30" t="s">
        <v>72</v>
      </c>
      <c r="D601" s="30" t="s">
        <v>1619</v>
      </c>
      <c r="E601" s="30" t="s">
        <v>125</v>
      </c>
      <c r="F601" s="7"/>
      <c r="G601" s="30" t="s">
        <v>391</v>
      </c>
      <c r="H601" s="35" t="s">
        <v>392</v>
      </c>
      <c r="I601" s="7"/>
      <c r="J601" s="7"/>
      <c r="K601" s="7"/>
      <c r="L601" s="7"/>
      <c r="M601" s="7"/>
      <c r="N601" s="7"/>
      <c r="O601" s="7"/>
      <c r="P601" s="7"/>
      <c r="Q601" s="106">
        <v>2.4</v>
      </c>
      <c r="R601" s="47">
        <f t="shared" si="127"/>
        <v>864000</v>
      </c>
      <c r="S601" s="7"/>
      <c r="T601" s="48">
        <f t="shared" si="128"/>
        <v>360000</v>
      </c>
      <c r="U601" s="7"/>
      <c r="V601" s="7"/>
      <c r="W601" s="7"/>
      <c r="X601" s="7"/>
      <c r="Y601" s="7"/>
      <c r="Z601" s="7"/>
      <c r="AA601" s="39">
        <v>60000</v>
      </c>
      <c r="AB601" s="39">
        <v>60000</v>
      </c>
      <c r="AC601" s="39">
        <v>60000</v>
      </c>
      <c r="AD601" s="39">
        <v>60000</v>
      </c>
      <c r="AE601" s="39">
        <v>60000</v>
      </c>
      <c r="AF601" s="39">
        <v>60000</v>
      </c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30" t="s">
        <v>127</v>
      </c>
      <c r="AU601" s="7" t="s">
        <v>545</v>
      </c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63">
        <f t="shared" si="115"/>
        <v>0</v>
      </c>
      <c r="BN601" s="63">
        <f t="shared" si="116"/>
        <v>144000</v>
      </c>
      <c r="BO601" s="63">
        <f t="shared" si="117"/>
        <v>144000</v>
      </c>
      <c r="BP601" s="63">
        <f t="shared" si="118"/>
        <v>144000</v>
      </c>
      <c r="BQ601" s="63">
        <f t="shared" si="119"/>
        <v>144000</v>
      </c>
      <c r="BR601" s="63">
        <f t="shared" si="120"/>
        <v>144000</v>
      </c>
      <c r="BS601" s="63">
        <f t="shared" si="121"/>
        <v>144000</v>
      </c>
    </row>
    <row r="602" spans="1:71">
      <c r="A602" s="28">
        <f t="shared" si="122"/>
        <v>601</v>
      </c>
      <c r="B602" s="7"/>
      <c r="C602" s="30" t="s">
        <v>72</v>
      </c>
      <c r="D602" s="30" t="s">
        <v>1619</v>
      </c>
      <c r="E602" s="30" t="s">
        <v>125</v>
      </c>
      <c r="F602" s="7"/>
      <c r="G602" s="30" t="s">
        <v>393</v>
      </c>
      <c r="H602" s="35" t="s">
        <v>394</v>
      </c>
      <c r="I602" s="7"/>
      <c r="J602" s="7"/>
      <c r="K602" s="7"/>
      <c r="L602" s="7"/>
      <c r="M602" s="7"/>
      <c r="N602" s="7"/>
      <c r="O602" s="7"/>
      <c r="P602" s="7"/>
      <c r="Q602" s="106">
        <v>2.4</v>
      </c>
      <c r="R602" s="47">
        <f t="shared" ref="R602" si="129">Q602*T602</f>
        <v>144000</v>
      </c>
      <c r="S602" s="7"/>
      <c r="T602" s="48">
        <f t="shared" ref="T602" si="130">SUM(Z602:AF602)</f>
        <v>60000</v>
      </c>
      <c r="U602" s="7"/>
      <c r="V602" s="7"/>
      <c r="W602" s="7"/>
      <c r="X602" s="7"/>
      <c r="Y602" s="7"/>
      <c r="Z602" s="7"/>
      <c r="AA602" s="39">
        <v>10000</v>
      </c>
      <c r="AB602" s="39">
        <v>10000</v>
      </c>
      <c r="AC602" s="39">
        <v>10000</v>
      </c>
      <c r="AD602" s="39">
        <v>10000</v>
      </c>
      <c r="AE602" s="39">
        <v>10000</v>
      </c>
      <c r="AF602" s="39">
        <v>10000</v>
      </c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30" t="s">
        <v>127</v>
      </c>
      <c r="AU602" s="7" t="s">
        <v>545</v>
      </c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63">
        <f t="shared" si="115"/>
        <v>0</v>
      </c>
      <c r="BN602" s="63">
        <f t="shared" si="116"/>
        <v>24000</v>
      </c>
      <c r="BO602" s="63">
        <f t="shared" si="117"/>
        <v>24000</v>
      </c>
      <c r="BP602" s="63">
        <f t="shared" si="118"/>
        <v>24000</v>
      </c>
      <c r="BQ602" s="63">
        <f t="shared" si="119"/>
        <v>24000</v>
      </c>
      <c r="BR602" s="63">
        <f t="shared" si="120"/>
        <v>24000</v>
      </c>
      <c r="BS602" s="63">
        <f t="shared" si="121"/>
        <v>24000</v>
      </c>
    </row>
  </sheetData>
  <protectedRanges>
    <protectedRange sqref="AE12:AF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8:AS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1:AS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8:AS23" name="区域1_1_1_20_1_1"/>
    <protectedRange sqref="M10 M16:M17" name="区域1_25_1"/>
    <protectedRange sqref="F25:F30" name="区域1_17_1"/>
    <protectedRange sqref="E25:E30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25:AS30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:B30" name="区域1_5_1_2"/>
    <protectedRange sqref="G25:G30 I25:J30" name="区域1_5_1_1_1"/>
    <protectedRange sqref="L25:L30" name="区域1_5_2_1"/>
    <protectedRange sqref="K25:K30" name="区域1_15_2_1_1_2_1_1"/>
    <protectedRange sqref="M25:M30" name="区域1_11_6_1_1"/>
    <protectedRange sqref="N25" name="区域1_5_3_1"/>
    <protectedRange sqref="N26:N30" name="区域1_5_4_1"/>
    <protectedRange sqref="O25:O30" name="区域1_5_5_1"/>
    <protectedRange sqref="Q25 Q27 Q29:Q30" name="区域1_5_6_1"/>
    <protectedRange sqref="AX25:AX26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V25:AW25 AY25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6 AV26:AW26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X27:AX30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V27:AW30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7:AY29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5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6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7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2:E54 E32:E43 C32:C48 C51:C55 I31:M31 B31:G31" name="区域1_1_3_2"/>
    <protectedRange sqref="O31" name="区域1_4_2_1"/>
    <protectedRange sqref="AK32" name="区域1_6_1_2"/>
    <protectedRange sqref="P52 P36:P38" name="区域1_22_1_1_1"/>
    <protectedRange sqref="F36 L36 AZ36:BB36" name="区域1_3_2_1_2_1_4"/>
    <protectedRange sqref="F38 L38 AR38:AS38 AZ38:BB38 AG38:AO38" name="区域1_16_1_1_1_2_1_2"/>
    <protectedRange sqref="B37 B52" name="区域1_10_1_1_2_2_1_1_1"/>
    <protectedRange sqref="D36 D49:D50" name="区域1_3_2_1_2_1_1_1"/>
    <protectedRange sqref="G36 I36:J36" name="区域1_3_2_1_2_1_2_1"/>
    <protectedRange sqref="G38 G16 I38:J38 I16:J16" name="区域1_16_1_1_1_2_1_3_1"/>
    <protectedRange sqref="K36" name="区域1_3_2_1_2_1_3_1"/>
    <protectedRange sqref="K38" name="区域1_16_1_1_1_2_1_4_1"/>
    <protectedRange sqref="M36:M37 M52" name="区域1_10_1_4_2"/>
    <protectedRange sqref="N37 N52" name="区域1_10_1_1_2_2_1_5_1"/>
    <protectedRange sqref="O36" name="区域1_3_2_1_2_1_5_1"/>
    <protectedRange sqref="O38" name="区域1_16_1_1_1_2_1_6_1"/>
    <protectedRange sqref="Q36" name="区域1_3_2_1_2_1_6_1"/>
    <protectedRange sqref="Q38" name="区域1_16_1_1_1_2_1_7_1"/>
    <protectedRange sqref="Z36 AB36 AD36:AE36 AG36:AR36" name="区域1_3_2_1_2_1_7_1"/>
    <protectedRange sqref="AG38:AR38" name="区域1_16_1_1_1_2_1_8_2"/>
    <protectedRange sqref="AV53:AV54 AV39 AV41:AV42" name="区域1_9_4_1_12_1"/>
    <protectedRange sqref="AX41:AX42 AX39" name="区域1_16_1_1_1_1"/>
    <protectedRange sqref="AY41:AY42 AV41:AV42 AY39 AV39" name="区域1_16_1_1_1_2_1_11_1"/>
    <protectedRange sqref="AX37" name="区域1_16_1_2_1"/>
    <protectedRange sqref="BC37:BJ37 BK37:BK38 BC52:BK52" name="区域1_16_1_1_1_2_1_14_1"/>
    <protectedRange sqref="BC36:BK36" name="区域1_3_2_1_2_1_9_1"/>
    <protectedRange sqref="BC38:BK38" name="区域1_16_1_1_1_2_1_15_1"/>
    <protectedRange sqref="G44 I44:J44" name="区域1_3_2_1_1"/>
    <protectedRange sqref="AG32:AJ32 N31:N35 AG33:AI33 AK33:AK34 P44:Q46 D44:F45 D46:E46 P47 L32:L35 AL34:AS35 AH49:AS50 AW48:BK48 AE44:AS44 L48:P50 Z44:AA44 F46:F50 N44:N47 L44:L47 BI53:BK54 AM32:AS33 AG35:AK35 AG34:AJ34 P31:Q35 AG31:AS31 E47:E51 F32:F35 B32:B35 BI39:BK43 AV49:BK50 AV31:BK35 Z46:AS48 D32:D35 AC44 AG45:AS45 AV44:BK47" name="区域1_2_2"/>
    <protectedRange sqref="E52:E54 E32:E43 C32:C48 C51:C55 I31:M31 B31:G31" name="区域1_1_2_2"/>
    <protectedRange sqref="O31" name="区域1_4_3"/>
    <protectedRange sqref="M32:M33 O32:O35 K32:K33" name="区域1_5_7"/>
    <protectedRange sqref="AK32" name="区域1_6_3"/>
    <protectedRange sqref="G44 G47 G49:G50 I44:J44 I47:J47 I49:J50" name="区域1_3_2_2"/>
    <protectedRange sqref="B45" name="区域1_4_4_1"/>
    <protectedRange sqref="G45:G46 I45:J46" name="区域1_4_5_1"/>
    <protectedRange sqref="M51 AW51 AW43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0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5" name="区域1_1_3_1_1"/>
    <protectedRange sqref="E55" name="区域1_1_2_1_1"/>
    <protectedRange sqref="E56:F57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8" name="区域1_16_1_1_1_2_1_1_1"/>
    <protectedRange sqref="Y38" name="区域1_16_1_1_1_2_1_8_1_1"/>
    <protectedRange sqref="Y46 Y31:AF31" name="区域1_2_1_1"/>
    <protectedRange sqref="X36" name="区域1_3_2_1_2_1_7_2_1_1"/>
    <protectedRange sqref="X46 X31" name="区域1_2_3_1_1"/>
    <protectedRange sqref="U38:X38 Z38:AF38" name="区域1_16_1_1_1_2_1_5_1_1"/>
    <protectedRange sqref="U36:W36 Y36 AA36 AC36 AF36" name="区域1_3_2_1_2_1_7_3_1_1"/>
    <protectedRange sqref="U38:X38 Z38:AF38" name="区域1_16_1_1_1_2_1_8_3_1_1"/>
    <protectedRange sqref="U42:X44 U31:W31 X47:Y48 Y43:Y44 U46:W48 U32:AF35 U45:AF45 AB44 AD44" name="区域1_2_4_1_1"/>
    <protectedRange sqref="AG58:AG70 AG72:AG78" name="区域1_4_1_1"/>
    <protectedRange sqref="K80:Q82 B80:B82 U80:AS82 AV80:BK82" name="区域1_3_4_4"/>
    <protectedRange sqref="D82 G84 I84:J84 E82:E94 D80:E81" name="区域1_3_4_2_2"/>
    <protectedRange sqref="G92:G93 L83:L93 G89:G90 G85 G83 O83:P93 I92:J93 I89:J90 I85:J85 I83:J83" name="区域1_3_4_3_2"/>
    <protectedRange sqref="M83:N84 M87:N93" name="区域1_3_1_3_1_1"/>
    <protectedRange sqref="F83:F93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4:AF95" name="区域1_3_4_1_1_1"/>
    <protectedRange sqref="AY71:BA71" name="区域1_1_1_1"/>
    <protectedRange sqref="E95:E97" name="区域1_3_4_2_2_2"/>
    <protectedRange sqref="F95" name="区域1_4_5_1_16_2_1_2"/>
    <protectedRange sqref="U83:AF93" name="区域1_3_4_1_1_1_4"/>
    <protectedRange sqref="G100:G102 G104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8" name="区域1_1_1_4_3_1_1"/>
    <protectedRange sqref="G105:G106" name="区域1_3_4_3"/>
    <protectedRange sqref="G109" name="区域1_3_4_2_2_1_1"/>
    <protectedRange sqref="O98:O99" name="区域1_1_1_7_1_1"/>
    <protectedRange sqref="L98:L99" name="区域1_1_1_5_1_1_1"/>
    <protectedRange sqref="N105:P106 L105:L106" name="区域1_3_4_3_1"/>
    <protectedRange sqref="AS98:AS99" name="区域1_1_1_20_1_1_1"/>
    <protectedRange sqref="AS105:AS106 AV105:AX106" name="区域1_3_4_2"/>
    <protectedRange sqref="U105:AF106" name="区域1_3_4_3_2_1"/>
    <protectedRange sqref="G151 G173 G184 G192 G197 G202 G205" name="区域1_3_4_2_2_1"/>
    <protectedRange sqref="I155 I171 I180 I191 I193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H120" name="区域1_9_5_3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7:F153 G203:H203 I205:J205 G163:H163 I197:J197 I192:J192 I184:J184 G119:H119 B162:B163 E111:E113 E154:F163 E117:E153 E114:F116 E164:E211 C111:C121 C123:C133 C136:C140 C142 C144:C211 I129:K129 G121:H122 G120 I119:J122 I126:J128 G130:J135 G167:J167 H206 H159 G147:J147 G162 I162:K163 I173:J174 I202:J203 G128:G129 G144:J144 G209:J210 G182:J182 G170:J170 G165:J165 G153:J154 H178 I142:J142 G126:H127 G174:H174 H343 G137:J140 G136 I136:J136 C587 E587:F587 G590:H590 E591 C591 I148:J148 I151:J152 H124" name="区域1_3_4_1"/>
    <protectedRange sqref="B177:B188" name="区域1_3_4_2_1"/>
    <protectedRange sqref="B189:B190" name="区域1_1_1_2"/>
    <protectedRange sqref="Y117:AF129 Y114:AF115 Y162:AF163 Y131:AF145" name="区域1_3_4_5"/>
    <protectedRange sqref="Y150:AF151" name="区域1_3_4_5_2_1"/>
    <protectedRange sqref="Y146:AF146" name="区域1_3_4_2_16_1"/>
    <protectedRange sqref="C212:C225" name="区域1_3_4_1_1"/>
    <protectedRange sqref="AX234:AY234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2:B243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4:C244 C248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7" name="区域1_27_3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39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2:F243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4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5:F246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7" name="区域1_27_3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39:J239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2:J243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4:J244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5:J246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7:J247" name="区域1_27_3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39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2:K243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4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5:K246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7" name="区域1_27_3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39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2:L243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4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5:L246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7" name="区域1_27_3_2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6:M239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0:M241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3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4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5:M246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7" name="区域1_10_1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39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2:O243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4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5:O246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7" name="区域1_27_3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39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2:Q243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4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5:Q246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7" name="区域1_27_3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39:AF239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2:AF243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5:AF246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7:AF247" name="区域1_27_3_3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8:B259 D258:D259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5 D265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2:D262 C272 C283 C309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4 D264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6 D266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8:F259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5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2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4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6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8:K259 H290 H309 H396 H442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5:K265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2:K262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4:J264 G269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6:J266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6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8:L259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5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2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4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6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8:M259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7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3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8:Q259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5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2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4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6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8:AF259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4:AF265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6:AF266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9 D269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0 D270 D272:D278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9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0" name="区域1_4_1_3_1"/>
    <protectedRange sqref="H269:J269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70:J270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9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9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0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9:Q269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0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70:Q270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70:AF270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2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3:B274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5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6:B277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2:G272 F283 G310 I272:J272 I310:J310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3:J274 H286 H334 H470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5:J275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6:J277 H350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2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3:K274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5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6:K277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2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2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3:M274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5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5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6:L277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8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2:Q272 Q310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3:Q274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5:Q275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6:Q277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0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0 D280 F280:L280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9 D279 F279 I279:L279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4 F308:F309 F284:L284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2:H282 B281:B284 G283:H283 F284:H284 F308:F309 D308:D310 D281:D284 F281:G281 I281:L284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2:H282 B281:B283 G283:H283 D281:D283 F281:G281 I281:L283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6 D286 F286:G286 I286:L286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:B286 D285:D286 F285:L285 F286:G286 I286:L286 H485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7 F287:L287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7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9 D289 F289:L289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0 D290 F290:G290 I290:L290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92 F292:J292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2 K292:L292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9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4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1:M284 M309:M310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5:M286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7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0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79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4:P284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1:P284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1:P283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6:P286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6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7:P287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9:P289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0:P290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2:P292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4 Q308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1:Q284 Q308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1:Q283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6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:Q286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7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9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0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2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6:C395 H381 H376" name="区域1_3_4_1_2"/>
    <protectedRange sqref="B376 D376:G376 O376:Q376 K376:M376 U376:AS376 AT98:AT110 AV376:BJ376 AT376:AT395 AT455:AT498" name="区域1_3_4_1_3_1_1"/>
    <protectedRange sqref="N376" name="区域1_3_4_2_3_1_2"/>
    <protectedRange sqref="B377 D377:G377 O377:Q377 K377:M377 U377:AS377 AV377:BJ377" name="区域1_3_4_5_1_1"/>
    <protectedRange sqref="N377" name="区域1_3_4_2_3_1_3"/>
    <protectedRange sqref="K378:Q381 B378:B381 U378:AS381 AV378:BJ381" name="区域1_3_4_4_1_1"/>
    <protectedRange sqref="D381 G383 E381:E383 D378:E380" name="区域1_3_4_2_2_2_2"/>
    <protectedRange sqref="O382:P383 G382 L382:L383" name="区域1_3_4_3_2_1_1"/>
    <protectedRange sqref="M382:N383" name="区域1_3_1_3_1_1_1_1"/>
    <protectedRange sqref="F382:F383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82:AF383" name="区域1_3_4_1_1_1_1_1"/>
    <protectedRange sqref="AM385:AO386 AG384:AK386 AM384:AS384 AQ385:AS386 AV384:AW386" name="区域1_3_4_6"/>
    <protectedRange sqref="E385:E386 L384:L386 O384:P386 D384:F384 U384:AF384" name="区域1_3_4_1_4"/>
    <protectedRange sqref="AM387:AO387 AG387:AK389 AM388:AS389 AQ387:AS387 AV387:AW389" name="区域1_3_4_7"/>
    <protectedRange sqref="L387:L389 O387:P389 U388:AF389 E387:E389" name="区域1_3_4_1_5"/>
    <protectedRange sqref="AM390:AO391 AG390:AK391 AQ390:AS391 AV390:AW391" name="区域1_3_4_8"/>
    <protectedRange sqref="E390:E391 L390:L391" name="区域1_3_4_1_6"/>
    <protectedRange sqref="O391:P391" name="区域1_3_4_8_1_1"/>
    <protectedRange sqref="O390:P390" name="区域1_3_4_1_1_2_2_1_1"/>
    <protectedRange sqref="Q391" name="区域1_3_4_9_1_1"/>
    <protectedRange sqref="Q390" name="区域1_3_4_1_7_1_1"/>
    <protectedRange sqref="G466:J466 G468 I467:J468" name="区域1_1_1_22_1"/>
    <protectedRange sqref="Q541 O566:O570 Q565:Q569" name="区域1_1_5_3_1"/>
    <protectedRange sqref="D549:J549 P547:Q547 L549:N549 D558:N560 G571:J571 D566:F566 K566:N566 AZ560:BB560 BD560:BK560 BJ551:BK551 D561:F562 D546:N548 L543:N543 K542:L542 M541:N541 K533:K534 AX533:AY534 D550:N551 B535 B528:B529 D535:F535 O541:P542 D540:Q540 O565 BA540:BK542 K554:N557 O543:Q546 BD565:BE567 D528:E529 AV551:BC551 AV529:BC529 AV543:BK550 D544:F545 K535:Q535 U576:AC579 U535:AR535 AG529:AR531 AV528:BK528 AV535:BK535 AT558:AT559 AS558:AS560 E543:J543 B540:B550 E541:F542 K537 BD570:BE570 AX539:AY539 AV537:AY537 D554:F557 AV552:BK559 K561:N562 D563:N565 O548:Q564 P565:P570 U565:AP570 AV565:AW570 B552:B570 K544:N545 AV561:BK564 G528:Q528 U529:AC532 AV530:AY532 U580:V580 U558:AR563 AV540:AY542 AG532:AT532 U564:AT564 AS565:AT570 AT537 AT535 AS530:AT531 D571:D579 AT528:AT529 AS561:AT563 I541:K541 E568:N569 U528:AR528 U540:AT557 AV576:AY579 AG576:AT579 G529 I529:Q529 E567:G567 I567:N567 E570:G570 I570:N570 D553:N553 D552:G552 I552:N552" name="区域1_3_4_5_1"/>
    <protectedRange sqref="Q526:Q527 O547 O526:O527 Q542 Q530:Q532" name="区域1_1_5_1_3_1"/>
    <protectedRange sqref="BC526:BE527 U521:V522 K549 U527:AO527 P526:P527 G535 U526:AP526 BD529:BK529 BD551:BI551 BF533:BK534 M542:N542 L541 D543 B521 D521:N521 B524:B527 AS528 K524 K525:P525 D526:E527 O521:Q524 E524 G537 AV526:AW527 M524:N524 Q570 AV524:BI524 D522:L523 D525:F525 K571:Q577 G542:J542 E571:F579 G544:J544 E530:E531 U523:AR524 AV575:AY575 F526:F531 AV571:BI574 AC522:AR522 AV521:BK523 B530:B532 AD529:AF532 K530:P532 E532:F532 Q580 AT522:AT523 U571:AT575 AC521:AT521 AS524:AT524 AS527:AT527 AT526 G526:N527 I535:J535 I537:J537 B571:B579 AD576:AF579 K579:Q579 K578:P578" name="区域1_3_4_1_3_1"/>
    <protectedRange sqref="D508:E509 F509 G545:J545 Q525 D524 K543 G561:J562 G566:J566 S535 F524:J524 AV560:AY560 B506:C509 L524 AX527 S503:S532 AS522:AS523 AS526 AS529 AS535 B503:B505 M522:N523 AS537 D514:F514 G508:N509 B512:E513 AV503:BK517 S540:S580 G525:J525 AV518:AY520 B514:B520 O503:Q520 AT560 D503:N507 G512:N514 G530:J532 G533:G534 I533:J534 G554:J557 H482 B510:N511 D515:N520 U503:AT520 C524:C579 G572:J579 Q578" name="区域1_3_4_2_3_1"/>
    <protectedRange sqref="D533:D534" name="区域1_3_4_3_1_1"/>
    <protectedRange sqref="O533:Q534 L533:L534 AZ533:BE534 B533:B534 E533:F534 AV533:AW534 U533:AT534" name="区域1_3_4_1_1_2_1"/>
    <protectedRange sqref="M533:N534 S533:S534 M538:N538" name="区域1_3_4_2_1_2_1"/>
    <protectedRange sqref="D530:D532" name="区域1_3_4_1_2_1_1"/>
    <protectedRange sqref="AZ540:AZ542 D541:D542 L537:N537 K536:N536 AV536:BK536 AZ537:BK537 AV539:AW539 U537:AR537 AZ539:BK539 K539:N539 D536:F539 O536:Q539 B536:B539 K538:L538 D567:D570 AV538:BK538 U538:AT539 U536:AT536" name="区域1_3_4_4_1_1_1"/>
    <protectedRange sqref="G536:J536 G538:J539 G541:H541" name="区域1_3_4_1_1_1_1_1_1"/>
    <protectedRange sqref="S536:S539" name="区域1_3_4_2_1_1_1_1"/>
    <protectedRange sqref="C503:C505 C580 C514:C523" name="区域1_3_4_2_3_1_43"/>
    <protectedRange sqref="O580" name="区域1_1_1_7_1_1_1"/>
    <protectedRange sqref="AS580" name="区域1_1_1_20_1_1_2"/>
    <protectedRange sqref="G582:J582 U581:AC582 AW581:AW582" name="区域1_3_4_5_1_1_1"/>
    <protectedRange sqref="O582 Q581:Q582 AD581:AF582" name="区域1_3_4_1_3_1_1_1"/>
    <protectedRange sqref="C581:C582 G581:J581 S581:S582" name="区域1_3_4_2_3_1_1"/>
    <protectedRange sqref="D581:D582" name="区域1_3_4_1_2_1_1_1"/>
    <protectedRange sqref="O581" name="区域1_1_1_7_1_1_1_1"/>
    <protectedRange sqref="AS581:AS582" name="区域1_1_1_20_1_1_1_1"/>
    <protectedRange sqref="G103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83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84 C584" name="区域1_3_4"/>
    <protectedRange sqref="C585 E585 G585" name="区域1_3_4_9"/>
    <protectedRange sqref="E586 C586" name="区域1_3_4_10"/>
    <protectedRange sqref="E592:F592" name="区域1_2_5_1_1_1"/>
  </protectedRanges>
  <autoFilter ref="A1:BS602">
    <extLst/>
  </autoFilter>
  <dataValidations count="36">
    <dataValidation type="list" allowBlank="1" showInputMessage="1" showErrorMessage="1" sqref="E1:F1 O1:P1 E25:E30 E80:E97" errorStyle="information">
      <formula1>"Ant,Beryl,Harry,Henry,Ju,Ma,Nicole,Pedro,Shu,Tom,Torres,Yao,ZX"</formula1>
    </dataValidation>
    <dataValidation type="list" allowBlank="1" showInputMessage="1" showErrorMessage="1" sqref="AS1 AS25:AS30 AS107:AS110" errorStyle="information">
      <formula1>"Alex,Ant,Axel,Harry,Josh,Pedro,Rubin,Serge,Tom,Torres"</formula1>
    </dataValidation>
    <dataValidation type="whole" operator="between" allowBlank="1" showInputMessage="1" showErrorMessage="1" sqref="BC1:BI1 BC98:BI110">
      <formula1>0</formula1>
      <formula2>100000</formula2>
    </dataValidation>
    <dataValidation allowBlank="1" showInputMessage="1" showErrorMessage="1" promptTitle="提示" prompt="请填写&quot;工商注册全称&quot;" sqref="B3 B44 B52 B82 B136 B146 C227 C240 C244 AZ244:BD244 C248 C250 C257 C262 B268 B271 C272 C283 B298 B300 C309 B312 B381 B465 B586 B7:B12 B14:B16 B18:B22 B25:B31 B34:B38 B105:B107 B162:B169 B174:B196 B199:B202 B228:B230 B233:B236 B240:B247 B260:B265 B273:B274 B276:B277 B279:B286 B302:B303 B315:B321 B376:B377 B390:B391 B396:B400 B402:B405 B407:B426 B455:B456 B461:B462 B483:B485 B489:B498 B559:B583 C229:C230 C533:C534 C553:C582 D18:D22 L7:L10 AZ233:BI234 AZ490:BI494 B530:C532 B535:C552"/>
    <dataValidation type="whole" operator="between" allowBlank="1" showInputMessage="1" showErrorMessage="1" sqref="AL7:AR7 AL9:AR9 AM33:AO33 AR33 U399:Z399 AL399:AR399 U401:AF401 AL401:AR401 AE512 U514:AB514 AP514:AR514 Z516:Z520 AH515:AH520 Z512:AA513 W516:X520 AL507:AR513 AP515:AR520 AI514:AO524">
      <formula1>0</formula1>
      <formula2>9</formula2>
    </dataValidation>
    <dataValidation type="list" allowBlank="1" showInputMessage="1" showErrorMessage="1" sqref="M10 M16:M17 M31:M35 M44:M45 M223:M235 M268:M270 M293:M305 M315:M321 M396:M470 M472:M498 M382:N383 M388:N389 M83:N84 M87:N93">
      <formula1>"评估,送样,小批量,批量,终止"</formula1>
    </dataValidation>
    <dataValidation allowBlank="1" showInputMessage="1" showErrorMessage="1" sqref="AZ10:BK10 L30 N30:O30 Q30 AZ34:BK34 F95 K110 AZ232:BK232 AZ249:BB249 B299 B301 B401 K401 AZ402:BK402 B406 K406 B529 K529 B32:B33 B108:B110 B197:B198 B223:B225 B486:B488 B533:B534 F111:F113 F177:F211 F385:F391 K533:K534 BJ108:BJ110 AZ108:BB110 AZ486:BK488" errorStyle="information"/>
    <dataValidation type="list" allowBlank="1" showInputMessage="1" showErrorMessage="1" sqref="M15 BJ244 M18:M24 O7:O12 BJ233:BK234 BJ490:BK494">
      <formula1>"评估,送样,样品测试完成,DV,PV,量产,项目关闭,项目丢失"</formula1>
    </dataValidation>
    <dataValidation type="list" allowBlank="1" showInputMessage="1" showErrorMessage="1" sqref="G31 I31:J31 F25:F30 F396:F426" errorStyle="information">
      <formula1>"Shu,Ju,Yao,ZX"</formula1>
    </dataValidation>
    <dataValidation type="list" allowBlank="1" showInputMessage="1" showErrorMessage="1" sqref="AX36 AX52 AX98:AX104">
      <formula1>INDIRECT($AT36)</formula1>
    </dataValidation>
    <dataValidation type="list" allowBlank="1" showInputMessage="1" showErrorMessage="1" sqref="AX37">
      <formula1>INDIRECT($AT38)</formula1>
    </dataValidation>
    <dataValidation type="list" allowBlank="1" showInputMessage="1" showErrorMessage="1" sqref="AW52 AW108 AW36:AW37 AW98:AW104">
      <formula1>INDIRECT($AS36)</formula1>
    </dataValidation>
    <dataValidation type="list" allowBlank="1" showInputMessage="1" showErrorMessage="1" sqref="AY52 AV376:AV377 AY36:AY38">
      <formula1>INDIRECT(#REF!)</formula1>
    </dataValidation>
    <dataValidation type="list" allowBlank="1" showInputMessage="1" showErrorMessage="1" sqref="AJ71 AW71 AJ384:AJ391">
      <formula1>INDIRECT($AI71)</formula1>
    </dataValidation>
    <dataValidation type="list" allowBlank="1" showInputMessage="1" showErrorMessage="1" sqref="AK71 AX71 AK384:AK391">
      <formula1>INDIRECT($AJ71)</formula1>
    </dataValidation>
    <dataValidation type="list" allowBlank="1" showInputMessage="1" showErrorMessage="1" sqref="AL71">
      <formula1>INDIRECT($AK71)</formula1>
    </dataValidation>
    <dataValidation type="list" allowBlank="1" showInputMessage="1" showErrorMessage="1" sqref="AS82 AS265 AS381 AF98:AF99 AP521:AP524 AS31:AS54 AS376:AS377 AS396:AS454 AS503:AS564 AS571:AS579">
      <formula1>"Alex,Axel,Harry,Josh,Pedro,Rubin,Serge,Tom,Torres"</formula1>
    </dataValidation>
    <dataValidation type="list" allowBlank="1" showInputMessage="1" showErrorMessage="1" sqref="AW82 AW233 AW381 AW2:AW24 AW31:AW35 AW38:AW51 AW53:AW57 AW94:AW95 AW226:AW227 AW235:AW306 AW308:AW314 AW376:AW377 AW396:AW454 AW503:AW579 AW581:AW582 AY98:AY106">
      <formula1>INDIRECT($AV2)</formula1>
    </dataValidation>
    <dataValidation type="list" allowBlank="1" showInputMessage="1" showErrorMessage="1" sqref="AX82 AX233 AX381 AX2:AX24 AX31:AX35 AX39:AX51 AX53:AX57 AX94:AX95 AX226:AX227 AX235:AX306 AX308:AX314 AX376:AX377 AX396:AX454 AX503:AX582">
      <formula1>INDIRECT($AW2)</formula1>
    </dataValidation>
    <dataValidation type="list" allowBlank="1" showInputMessage="1" showErrorMessage="1" sqref="AY82 AY381 AY2:AY24 AY31:AY35 AY39:AY51 AY53:AY57 AY94:AY95 AY396:AY444 AY503:AY508 AY512:AY514 AY516:AY582">
      <formula1>INDIRECT($AX2)</formula1>
    </dataValidation>
    <dataValidation type="whole" operator="between" allowBlank="1" showInputMessage="1" showErrorMessage="1" promptTitle="提示" prompt="请输入整数" sqref="BE82:BI82 BD376:BH376 BB377:BH377 BE381:BI381 BC489:BD489 AI526 AL526:AQ526 AF527 AL527:AP527 BC529:BD529 BE535 AD540 AF540 AD544:AF544 BC559:BI559 BE561:BI561 BE570 AD536:AD538 AE535:AE538 AE540:AE542 AF536:AF538 AS98:AS106 AV98:AV106 AZ514:AZ524 BB528:BB529 BB540:BB544 BE536:BE543 BE544:BE550 BE565:BE567 BC455:BD456 BC461:BD462 BE533:BI534 BE551:BI552 BE571:BI574 BC7:BI9 BC52:BI54 BC35:BI50 BC32:BI33 BC226:BI227 AG530:AN532 BC495:BD498 BC245:BD253 BC235:BD243 BC228:BD231 BC398:BI401 BC403:BI422 BC459:BI460 BC463:BI464 BC483:BD485 AO384:AS391 BB514:BI524 AG576:AN579 AG526:AH529 AL528:AN529 AI527:AK529 AD533:AN534 AG565:AI570 BC540:BD552 BF535:BI550 BB533:BD539 AG535:AN544 AL565:AN570 BC503:BI513 BE525:BI529 BC11:BI19">
      <formula1>0</formula1>
      <formula2>100000</formula2>
    </dataValidation>
    <dataValidation type="whole" operator="between" allowBlank="1" showInputMessage="1" showErrorMessage="1" sqref="M108 L14:L16 L18:L20 L25:L29 M100:M104 L98:M99">
      <formula1>0</formula1>
      <formula2>10000000000</formula2>
    </dataValidation>
    <dataValidation type="list" allowBlank="1" showInputMessage="1" showErrorMessage="1" sqref="AT265 AG384:AG391 AS565:AS570 AT98:AT110 AT376:AT397 AV580:AV582 AQ576:AR579 AQ528:AR544 AQ521:AR524">
      <formula1>"1部,2部,3部"</formula1>
    </dataValidation>
    <dataValidation type="list" allowBlank="1" showInputMessage="1" showErrorMessage="1" sqref="AS292 AS226:AS264 AS266:AS274 AS277:AS290 AS303:AS314">
      <formula1>"Alex,Axel,Harry,Josh,Pedro,Rubin,Serge,Tom,Torres,Bill"</formula1>
    </dataValidation>
    <dataValidation type="list" allowBlank="1" showInputMessage="1" showErrorMessage="1" sqref="AT292 AT226:AT264 AT266:AT274 AT277:AT290 AT303:AT314">
      <formula1>"1部,2部,3部,深圳"</formula1>
    </dataValidation>
    <dataValidation type="whole" operator="between" allowBlank="1" showInputMessage="1" showErrorMessage="1" promptTitle="提示" prompt="请输入数字" sqref="BJ377 BK465 BK489 BK528 AW384:AW391 AX105:AX106 BK7:BK9 BK11:BK19 BK32:BK33 BK35:BK50 BK52:BK54 BK80:BK81 BK108:BK110 BK228:BK231 BK235:BK253 BK398:BK401 BK403:BK422 BK455:BK456 BK461:BK462 BK483:BK485 BK495:BK498 BK503:BK524 BK535:BK559 BK563:BK564">
      <formula1>0</formula1>
      <formula2>10000000</formula2>
    </dataValidation>
    <dataValidation type="date" operator="between" allowBlank="1" showInputMessage="1" showErrorMessage="1" errorTitle="提示" error="请输入正确日期格式&#10;如: 2024-3-1" promptTitle="提示" prompt="请输入正确日期格式&#10;如: 2024-3-1" sqref="BE465:BI465 BE489:BI489 BE455:BI456 BE461:BI462 BE495:BI498 BE228:BI231 BE235:BI253 BE483:BI485">
      <formula1>44927</formula1>
      <formula2>54789</formula2>
    </dataValidation>
    <dataValidation type="list" allowBlank="1" showInputMessage="1" showErrorMessage="1" sqref="F592 F596 E31:E55 E56:F57" errorStyle="information">
      <formula1>"Harry,Nicole,Pedro,Tom,Torres"</formula1>
    </dataValidation>
    <dataValidation type="list" allowBlank="1" showInputMessage="1" showErrorMessage="1" sqref="E98:E110 E396:E397 F322:F375 E315:F321" errorStyle="information">
      <formula1>"Harry,Nicole,Pedro,Tom,Torres,Ricky"</formula1>
    </dataValidation>
    <dataValidation type="list" allowBlank="1" showInputMessage="1" showErrorMessage="1" sqref="E111:E211" errorStyle="information">
      <formula1>"Harry,Nicole,Pedro,Tom,Torres,Will,Elon,Yinan,Freya,Alex,Stephen"</formula1>
    </dataValidation>
    <dataValidation type="list" allowBlank="1" showInputMessage="1" showErrorMessage="1" sqref="E226:E314" errorStyle="information">
      <formula1>"Harry,Nicole,Pedro,Tom,Torres,Ricky,Bill"</formula1>
    </dataValidation>
    <dataValidation type="list" allowBlank="1" showInputMessage="1" showErrorMessage="1" sqref="F236:F292 F308:F309" errorStyle="information">
      <formula1>"Shu,Ju,Yao,ZX,Chen,Ma"</formula1>
    </dataValidation>
    <dataValidation type="list" allowBlank="1" showInputMessage="1" showErrorMessage="1" sqref="M25:M30">
      <formula1>"量产,推进中,项目关闭,项目丢失"</formula1>
    </dataValidation>
    <dataValidation type="list" allowBlank="1" showInputMessage="1" showErrorMessage="1" sqref="M36:M43 M46:M50 M52:M57 M236:M267 M271:M292 M309:M310">
      <formula1>"评估,送样,小批量,批量"</formula1>
    </dataValidation>
    <dataValidation allowBlank="1" showInputMessage="1" showErrorMessage="1" promptTitle="提示" prompt="没有竞争对手填写&quot;无&quot;&#10;不知道竞争对手型号写&quot;N/A&quot;" sqref="O14:O16 O18:O21 O25:O27 O98:O99 O107:O110 O580:O581"/>
    <dataValidation type="list" allowBlank="1" showInputMessage="1" showErrorMessage="1" sqref="AI384:AI391">
      <formula1>INDIRECT($AH384)</formula1>
    </dataValidation>
  </dataValidations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H13"/>
  <sheetViews>
    <sheetView workbookViewId="0">
      <selection activeCell="D37" sqref="D37"/>
    </sheetView>
  </sheetViews>
  <sheetFormatPr defaultColWidth="9" defaultRowHeight="16.8" outlineLevelCol="7"/>
  <cols>
    <col min="1" max="1" width="16.1071428571429" customWidth="1"/>
    <col min="2" max="5" width="16.7767857142857" customWidth="1"/>
    <col min="6" max="8" width="18" customWidth="1"/>
  </cols>
  <sheetData>
    <row r="3" spans="1:8">
      <c r="A3" t="s">
        <v>519</v>
      </c>
      <c r="B3" t="s">
        <v>1621</v>
      </c>
      <c r="C3" t="s">
        <v>1622</v>
      </c>
      <c r="D3" t="s">
        <v>1623</v>
      </c>
      <c r="E3" t="s">
        <v>1624</v>
      </c>
      <c r="F3" t="s">
        <v>1625</v>
      </c>
      <c r="G3" t="s">
        <v>1626</v>
      </c>
      <c r="H3" t="s">
        <v>1627</v>
      </c>
    </row>
    <row r="4" spans="1:8">
      <c r="A4" s="23">
        <v>0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  <c r="H4" s="24">
        <v>0</v>
      </c>
    </row>
    <row r="5" spans="1:8">
      <c r="A5" s="23" t="s">
        <v>1620</v>
      </c>
      <c r="B5" s="24">
        <v>300000</v>
      </c>
      <c r="C5" s="24">
        <v>420000</v>
      </c>
      <c r="D5" s="24">
        <v>540000</v>
      </c>
      <c r="E5" s="24">
        <v>540000</v>
      </c>
      <c r="F5" s="24">
        <v>540000</v>
      </c>
      <c r="G5" s="24">
        <v>540000</v>
      </c>
      <c r="H5" s="24">
        <v>540000</v>
      </c>
    </row>
    <row r="6" spans="1:8">
      <c r="A6" s="23" t="s">
        <v>81</v>
      </c>
      <c r="B6" s="24">
        <v>13429137.4337821</v>
      </c>
      <c r="C6" s="24">
        <v>13550998.5134467</v>
      </c>
      <c r="D6" s="24">
        <v>13340496.3285446</v>
      </c>
      <c r="E6" s="24">
        <v>13939417.7603368</v>
      </c>
      <c r="F6" s="24">
        <v>22163761.6569237</v>
      </c>
      <c r="G6" s="24">
        <v>22442529.5250328</v>
      </c>
      <c r="H6" s="24">
        <v>23277845.130503</v>
      </c>
    </row>
    <row r="7" spans="1:8">
      <c r="A7" s="23" t="s">
        <v>956</v>
      </c>
      <c r="B7" s="24">
        <v>102000</v>
      </c>
      <c r="C7" s="24">
        <v>102000</v>
      </c>
      <c r="D7" s="24">
        <v>216000</v>
      </c>
      <c r="E7" s="24">
        <v>257640</v>
      </c>
      <c r="F7" s="24">
        <v>257640</v>
      </c>
      <c r="G7" s="24">
        <v>257640</v>
      </c>
      <c r="H7" s="24">
        <v>682640</v>
      </c>
    </row>
    <row r="8" spans="1:8">
      <c r="A8" s="23" t="s">
        <v>573</v>
      </c>
      <c r="B8" s="24">
        <v>971304.761904762</v>
      </c>
      <c r="C8" s="24">
        <v>683090.971746032</v>
      </c>
      <c r="D8" s="24">
        <v>758904.761904762</v>
      </c>
      <c r="E8" s="24">
        <v>1127857.14285714</v>
      </c>
      <c r="F8" s="24">
        <v>885966.666666667</v>
      </c>
      <c r="G8" s="24">
        <v>847704.761904762</v>
      </c>
      <c r="H8" s="24">
        <v>1162415.87301587</v>
      </c>
    </row>
    <row r="9" spans="1:8">
      <c r="A9" s="23" t="s">
        <v>532</v>
      </c>
      <c r="B9" s="24">
        <v>4478736.82523142</v>
      </c>
      <c r="C9" s="24">
        <v>3294344.91108766</v>
      </c>
      <c r="D9" s="24">
        <v>3567761.63492773</v>
      </c>
      <c r="E9" s="24">
        <v>3330130.29250064</v>
      </c>
      <c r="F9" s="24">
        <v>3988204.69314408</v>
      </c>
      <c r="G9" s="24">
        <v>3757243.81449873</v>
      </c>
      <c r="H9" s="24">
        <v>4096108.48053825</v>
      </c>
    </row>
    <row r="10" spans="1:8">
      <c r="A10" s="23" t="s">
        <v>788</v>
      </c>
      <c r="B10" s="24">
        <v>14136.3636363636</v>
      </c>
      <c r="C10" s="24">
        <v>78728.2976827094</v>
      </c>
      <c r="D10" s="24">
        <v>121624.131016043</v>
      </c>
      <c r="E10" s="24">
        <v>253481.1942959</v>
      </c>
      <c r="F10" s="24">
        <v>431826.671122995</v>
      </c>
      <c r="G10" s="24">
        <v>434726.671122995</v>
      </c>
      <c r="H10" s="24">
        <v>438976.671122995</v>
      </c>
    </row>
    <row r="11" spans="1:8">
      <c r="A11" s="23" t="s">
        <v>545</v>
      </c>
      <c r="B11" s="24">
        <v>2980587.18373777</v>
      </c>
      <c r="C11" s="24">
        <v>3089510.10424914</v>
      </c>
      <c r="D11" s="24">
        <v>3627150.98728951</v>
      </c>
      <c r="E11" s="24">
        <v>3469869.7467187</v>
      </c>
      <c r="F11" s="24">
        <v>3778595.05204698</v>
      </c>
      <c r="G11" s="24">
        <v>4036855.96221919</v>
      </c>
      <c r="H11" s="24">
        <v>4125650.56853258</v>
      </c>
    </row>
    <row r="12" spans="1:8">
      <c r="A12" s="23" t="s">
        <v>688</v>
      </c>
      <c r="B12" s="24">
        <v>9533072.44414016</v>
      </c>
      <c r="C12" s="24">
        <v>9350191.76377528</v>
      </c>
      <c r="D12" s="24">
        <v>9970766.22398056</v>
      </c>
      <c r="E12" s="24">
        <v>10556094.6244248</v>
      </c>
      <c r="F12" s="24">
        <v>10392664.7937162</v>
      </c>
      <c r="G12" s="24">
        <v>10441322.3741498</v>
      </c>
      <c r="H12" s="24">
        <v>10729519.4645563</v>
      </c>
    </row>
    <row r="13" spans="1:8">
      <c r="A13" s="23" t="s">
        <v>518</v>
      </c>
      <c r="B13" s="24">
        <v>31808975.0124326</v>
      </c>
      <c r="C13" s="24">
        <v>30568864.5619875</v>
      </c>
      <c r="D13" s="24">
        <v>32142704.0676632</v>
      </c>
      <c r="E13" s="24">
        <v>33474490.761134</v>
      </c>
      <c r="F13" s="24">
        <v>42438659.5336206</v>
      </c>
      <c r="G13" s="24">
        <v>42758023.1089283</v>
      </c>
      <c r="H13" s="24">
        <v>45053156.188269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Z204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E210" sqref="E210"/>
    </sheetView>
  </sheetViews>
  <sheetFormatPr defaultColWidth="9" defaultRowHeight="16.8"/>
  <cols>
    <col min="1" max="1" width="24.3303571428571" customWidth="1"/>
    <col min="2" max="2" width="40.4375" customWidth="1"/>
    <col min="3" max="3" width="11.1071428571429" style="3" customWidth="1"/>
    <col min="4" max="4" width="16.7767857142857" style="3" customWidth="1"/>
    <col min="5" max="5" width="12.8839285714286" style="3" customWidth="1"/>
    <col min="6" max="6" width="10.5535714285714" style="4" customWidth="1"/>
    <col min="7" max="10" width="11.8839285714286" style="3" customWidth="1"/>
    <col min="11" max="13" width="12.8839285714286" style="3" customWidth="1"/>
    <col min="14" max="14" width="10.2232142857143" style="3" customWidth="1"/>
    <col min="15" max="15" width="10.5535714285714" style="3" customWidth="1"/>
    <col min="16" max="16" width="11.6607142857143" style="3" customWidth="1"/>
    <col min="17" max="18" width="10.5535714285714" style="3" customWidth="1"/>
    <col min="19" max="20" width="13.3303571428571" style="3" customWidth="1"/>
    <col min="21" max="21" width="11.6607142857143" style="3" customWidth="1"/>
  </cols>
  <sheetData>
    <row r="1" s="1" customFormat="1" ht="24" customHeight="1" spans="1:26">
      <c r="A1" s="5" t="s">
        <v>6</v>
      </c>
      <c r="B1" s="5" t="s">
        <v>7</v>
      </c>
      <c r="C1" s="6" t="s">
        <v>9</v>
      </c>
      <c r="D1" s="6" t="s">
        <v>17</v>
      </c>
      <c r="E1" s="6" t="s">
        <v>1628</v>
      </c>
      <c r="F1" s="11" t="s">
        <v>16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  <c r="M1" s="6" t="s">
        <v>31</v>
      </c>
      <c r="N1" s="15" t="s">
        <v>1629</v>
      </c>
      <c r="O1" s="15" t="s">
        <v>1630</v>
      </c>
      <c r="P1" s="15" t="s">
        <v>1631</v>
      </c>
      <c r="Q1" s="15" t="s">
        <v>1632</v>
      </c>
      <c r="R1" s="15" t="s">
        <v>1633</v>
      </c>
      <c r="S1" s="18" t="s">
        <v>46</v>
      </c>
      <c r="T1" s="6" t="s">
        <v>25</v>
      </c>
      <c r="U1" s="6" t="s">
        <v>26</v>
      </c>
      <c r="V1" s="6" t="s">
        <v>27</v>
      </c>
      <c r="W1" s="6" t="s">
        <v>28</v>
      </c>
      <c r="X1" s="6" t="s">
        <v>29</v>
      </c>
      <c r="Y1" s="6" t="s">
        <v>30</v>
      </c>
      <c r="Z1" s="6" t="s">
        <v>31</v>
      </c>
    </row>
    <row r="2" hidden="1" spans="1:26">
      <c r="A2" s="7">
        <v>3100</v>
      </c>
      <c r="B2" s="7" t="s">
        <v>154</v>
      </c>
      <c r="C2" s="8"/>
      <c r="D2" s="8">
        <f>SUM(G2:M2)*F2</f>
        <v>350000</v>
      </c>
      <c r="E2" s="8">
        <f>SUM(G2:M2)</f>
        <v>125000</v>
      </c>
      <c r="F2" s="12">
        <v>2.8</v>
      </c>
      <c r="G2" s="8">
        <v>5000</v>
      </c>
      <c r="H2" s="8">
        <v>10000</v>
      </c>
      <c r="I2" s="8">
        <v>10000</v>
      </c>
      <c r="J2" s="8">
        <v>20000</v>
      </c>
      <c r="K2" s="8">
        <v>20000</v>
      </c>
      <c r="L2" s="8">
        <v>30000</v>
      </c>
      <c r="M2" s="8">
        <v>30000</v>
      </c>
      <c r="N2" s="16"/>
      <c r="O2" s="16"/>
      <c r="P2" s="16"/>
      <c r="Q2" s="16">
        <v>20000</v>
      </c>
      <c r="R2" s="16">
        <v>3000</v>
      </c>
      <c r="S2" s="3" t="str">
        <f>VLOOKUP(A2,预测!G:AU,41,0)</f>
        <v>电流传感器</v>
      </c>
      <c r="T2" s="3">
        <f>G2*$F2</f>
        <v>14000</v>
      </c>
      <c r="U2" s="3">
        <f t="shared" ref="U2:Z2" si="0">H2*$F2</f>
        <v>28000</v>
      </c>
      <c r="V2" s="3">
        <f t="shared" si="0"/>
        <v>28000</v>
      </c>
      <c r="W2" s="3">
        <f t="shared" si="0"/>
        <v>56000</v>
      </c>
      <c r="X2" s="3">
        <f t="shared" si="0"/>
        <v>56000</v>
      </c>
      <c r="Y2" s="3">
        <f t="shared" si="0"/>
        <v>84000</v>
      </c>
      <c r="Z2" s="3">
        <f t="shared" si="0"/>
        <v>84000</v>
      </c>
    </row>
    <row r="3" hidden="1" spans="1:26">
      <c r="A3" s="7" t="s">
        <v>156</v>
      </c>
      <c r="B3" s="7" t="s">
        <v>156</v>
      </c>
      <c r="C3" s="8"/>
      <c r="D3" s="8">
        <f t="shared" ref="D3:D67" si="1">SUM(G3:M3)*F3</f>
        <v>561600</v>
      </c>
      <c r="E3" s="8">
        <f t="shared" ref="E3:E67" si="2">SUM(G3:M3)</f>
        <v>9360000</v>
      </c>
      <c r="F3" s="12">
        <v>0.06</v>
      </c>
      <c r="G3" s="8">
        <v>1680000</v>
      </c>
      <c r="H3" s="8">
        <v>840000</v>
      </c>
      <c r="I3" s="8">
        <v>840000</v>
      </c>
      <c r="J3" s="8">
        <v>2400000</v>
      </c>
      <c r="K3" s="8">
        <v>1680000</v>
      </c>
      <c r="L3" s="8">
        <v>1680000</v>
      </c>
      <c r="M3" s="8">
        <v>240000</v>
      </c>
      <c r="N3" s="16"/>
      <c r="O3" s="16">
        <f>24*16000</f>
        <v>384000</v>
      </c>
      <c r="P3" s="16">
        <f>24*16000</f>
        <v>384000</v>
      </c>
      <c r="Q3" s="16">
        <f>48*16000</f>
        <v>768000</v>
      </c>
      <c r="R3" s="16"/>
      <c r="S3" s="3" t="str">
        <f>VLOOKUP(A3,预测!G:AU,41,0)</f>
        <v>电机驱动</v>
      </c>
      <c r="T3" s="3">
        <f t="shared" ref="T3:T66" si="3">G3*$F3</f>
        <v>100800</v>
      </c>
      <c r="U3" s="3">
        <f t="shared" ref="U3:U66" si="4">H3*$F3</f>
        <v>50400</v>
      </c>
      <c r="V3" s="3">
        <f t="shared" ref="V3:V66" si="5">I3*$F3</f>
        <v>50400</v>
      </c>
      <c r="W3" s="3">
        <f t="shared" ref="W3:W66" si="6">J3*$F3</f>
        <v>144000</v>
      </c>
      <c r="X3" s="3">
        <f t="shared" ref="X3:X66" si="7">K3*$F3</f>
        <v>100800</v>
      </c>
      <c r="Y3" s="3">
        <f t="shared" ref="Y3:Y66" si="8">L3*$F3</f>
        <v>100800</v>
      </c>
      <c r="Z3" s="3">
        <f t="shared" ref="Z3:Z66" si="9">M3*$F3</f>
        <v>14400</v>
      </c>
    </row>
    <row r="4" hidden="1" spans="1:26">
      <c r="A4" s="7" t="s">
        <v>157</v>
      </c>
      <c r="B4" s="7" t="s">
        <v>157</v>
      </c>
      <c r="C4" s="8"/>
      <c r="D4" s="8">
        <f t="shared" si="1"/>
        <v>360000</v>
      </c>
      <c r="E4" s="8">
        <f t="shared" si="2"/>
        <v>6000000</v>
      </c>
      <c r="F4" s="12">
        <v>0.06</v>
      </c>
      <c r="G4" s="8">
        <v>2000000</v>
      </c>
      <c r="H4" s="8">
        <v>0</v>
      </c>
      <c r="I4" s="8">
        <v>0</v>
      </c>
      <c r="J4" s="8">
        <v>2000000</v>
      </c>
      <c r="K4" s="8">
        <v>0</v>
      </c>
      <c r="L4" s="8">
        <v>0</v>
      </c>
      <c r="M4" s="8">
        <v>2000000</v>
      </c>
      <c r="N4" s="16"/>
      <c r="O4" s="16"/>
      <c r="P4" s="16"/>
      <c r="Q4" s="16"/>
      <c r="R4" s="16"/>
      <c r="S4" s="3" t="str">
        <f>VLOOKUP(A4,预测!G:AU,41,0)</f>
        <v>磁性位置传感器</v>
      </c>
      <c r="T4" s="3">
        <f t="shared" si="3"/>
        <v>120000</v>
      </c>
      <c r="U4" s="3">
        <f t="shared" si="4"/>
        <v>0</v>
      </c>
      <c r="V4" s="3">
        <f t="shared" si="5"/>
        <v>0</v>
      </c>
      <c r="W4" s="3">
        <f t="shared" si="6"/>
        <v>120000</v>
      </c>
      <c r="X4" s="3">
        <f t="shared" si="7"/>
        <v>0</v>
      </c>
      <c r="Y4" s="3">
        <f t="shared" si="8"/>
        <v>0</v>
      </c>
      <c r="Z4" s="3">
        <f t="shared" si="9"/>
        <v>120000</v>
      </c>
    </row>
    <row r="5" hidden="1" spans="1:26">
      <c r="A5" s="7" t="s">
        <v>158</v>
      </c>
      <c r="B5" s="7" t="s">
        <v>159</v>
      </c>
      <c r="C5" s="8"/>
      <c r="D5" s="8">
        <f t="shared" si="1"/>
        <v>80000</v>
      </c>
      <c r="E5" s="8">
        <f t="shared" si="2"/>
        <v>500000</v>
      </c>
      <c r="F5" s="12">
        <v>0.16</v>
      </c>
      <c r="G5" s="8">
        <v>500000</v>
      </c>
      <c r="H5" s="8"/>
      <c r="I5" s="8"/>
      <c r="J5" s="8"/>
      <c r="K5" s="8"/>
      <c r="L5" s="8"/>
      <c r="M5" s="8"/>
      <c r="N5" s="16"/>
      <c r="O5" s="16"/>
      <c r="P5" s="16"/>
      <c r="Q5" s="16"/>
      <c r="R5" s="16"/>
      <c r="S5" s="3" t="str">
        <f>VLOOKUP(A5,预测!G:AU,41,0)</f>
        <v>磁性位置传感器</v>
      </c>
      <c r="T5" s="3">
        <f t="shared" si="3"/>
        <v>80000</v>
      </c>
      <c r="U5" s="3">
        <f t="shared" si="4"/>
        <v>0</v>
      </c>
      <c r="V5" s="3">
        <f t="shared" si="5"/>
        <v>0</v>
      </c>
      <c r="W5" s="3">
        <f t="shared" si="6"/>
        <v>0</v>
      </c>
      <c r="X5" s="3">
        <f t="shared" si="7"/>
        <v>0</v>
      </c>
      <c r="Y5" s="3">
        <f t="shared" si="8"/>
        <v>0</v>
      </c>
      <c r="Z5" s="3">
        <f t="shared" si="9"/>
        <v>0</v>
      </c>
    </row>
    <row r="6" hidden="1" spans="1:26">
      <c r="A6" s="7" t="s">
        <v>161</v>
      </c>
      <c r="B6" s="7" t="s">
        <v>162</v>
      </c>
      <c r="C6" s="8"/>
      <c r="D6" s="8">
        <f t="shared" si="1"/>
        <v>0</v>
      </c>
      <c r="E6" s="8">
        <f t="shared" si="2"/>
        <v>0</v>
      </c>
      <c r="F6" s="12">
        <v>0.28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16">
        <v>0</v>
      </c>
      <c r="O6" s="16">
        <v>0</v>
      </c>
      <c r="P6" s="16">
        <v>0</v>
      </c>
      <c r="Q6" s="16">
        <v>0</v>
      </c>
      <c r="R6" s="16">
        <v>340000</v>
      </c>
      <c r="S6" s="3" t="str">
        <f>VLOOKUP(A6,预测!G:AU,41,0)</f>
        <v>磁性位置传感器</v>
      </c>
      <c r="T6" s="3">
        <f t="shared" si="3"/>
        <v>0</v>
      </c>
      <c r="U6" s="3">
        <f t="shared" si="4"/>
        <v>0</v>
      </c>
      <c r="V6" s="3">
        <f t="shared" si="5"/>
        <v>0</v>
      </c>
      <c r="W6" s="3">
        <f t="shared" si="6"/>
        <v>0</v>
      </c>
      <c r="X6" s="3">
        <f t="shared" si="7"/>
        <v>0</v>
      </c>
      <c r="Y6" s="3">
        <f t="shared" si="8"/>
        <v>0</v>
      </c>
      <c r="Z6" s="3">
        <f t="shared" si="9"/>
        <v>0</v>
      </c>
    </row>
    <row r="7" hidden="1" spans="1:26">
      <c r="A7" s="7" t="s">
        <v>516</v>
      </c>
      <c r="B7" s="7" t="s">
        <v>517</v>
      </c>
      <c r="C7" s="8"/>
      <c r="D7" s="8">
        <f t="shared" si="1"/>
        <v>148000</v>
      </c>
      <c r="E7" s="8">
        <f t="shared" si="2"/>
        <v>740000</v>
      </c>
      <c r="F7" s="12">
        <v>0.2</v>
      </c>
      <c r="G7" s="8">
        <v>0</v>
      </c>
      <c r="H7" s="8">
        <v>0</v>
      </c>
      <c r="I7" s="8">
        <v>0</v>
      </c>
      <c r="J7" s="8">
        <v>370000</v>
      </c>
      <c r="K7" s="8">
        <v>0</v>
      </c>
      <c r="L7" s="8">
        <v>0</v>
      </c>
      <c r="M7" s="8">
        <v>370000</v>
      </c>
      <c r="N7" s="16"/>
      <c r="O7" s="16"/>
      <c r="P7" s="16"/>
      <c r="Q7" s="16"/>
      <c r="R7" s="16"/>
      <c r="S7" s="3" t="str">
        <f>VLOOKUP(A7,预测!G:AU,41,0)</f>
        <v>磁性位置传感器</v>
      </c>
      <c r="T7" s="3">
        <f t="shared" si="3"/>
        <v>0</v>
      </c>
      <c r="U7" s="3">
        <f t="shared" si="4"/>
        <v>0</v>
      </c>
      <c r="V7" s="3">
        <f t="shared" si="5"/>
        <v>0</v>
      </c>
      <c r="W7" s="3">
        <f t="shared" si="6"/>
        <v>74000</v>
      </c>
      <c r="X7" s="3">
        <f t="shared" si="7"/>
        <v>0</v>
      </c>
      <c r="Y7" s="3">
        <f t="shared" si="8"/>
        <v>0</v>
      </c>
      <c r="Z7" s="3">
        <f t="shared" si="9"/>
        <v>74000</v>
      </c>
    </row>
    <row r="8" hidden="1" spans="1:26">
      <c r="A8" s="7" t="s">
        <v>1634</v>
      </c>
      <c r="B8" s="7" t="s">
        <v>1635</v>
      </c>
      <c r="C8" s="8"/>
      <c r="D8" s="8">
        <f t="shared" si="1"/>
        <v>120000</v>
      </c>
      <c r="E8" s="8">
        <f t="shared" si="2"/>
        <v>500000</v>
      </c>
      <c r="F8" s="12">
        <v>0.24</v>
      </c>
      <c r="G8" s="8">
        <v>500000</v>
      </c>
      <c r="H8" s="8"/>
      <c r="I8" s="8"/>
      <c r="J8" s="8"/>
      <c r="K8" s="8"/>
      <c r="L8" s="8"/>
      <c r="M8" s="8"/>
      <c r="N8" s="16"/>
      <c r="O8" s="16"/>
      <c r="P8" s="16"/>
      <c r="Q8" s="16"/>
      <c r="R8" s="16"/>
      <c r="S8" s="3" t="s">
        <v>81</v>
      </c>
      <c r="T8" s="3">
        <f t="shared" si="3"/>
        <v>120000</v>
      </c>
      <c r="U8" s="3">
        <f t="shared" si="4"/>
        <v>0</v>
      </c>
      <c r="V8" s="3">
        <f t="shared" si="5"/>
        <v>0</v>
      </c>
      <c r="W8" s="3">
        <f t="shared" si="6"/>
        <v>0</v>
      </c>
      <c r="X8" s="3">
        <f t="shared" si="7"/>
        <v>0</v>
      </c>
      <c r="Y8" s="3">
        <f t="shared" si="8"/>
        <v>0</v>
      </c>
      <c r="Z8" s="3">
        <f t="shared" si="9"/>
        <v>0</v>
      </c>
    </row>
    <row r="9" hidden="1" spans="1:26">
      <c r="A9" s="7" t="s">
        <v>163</v>
      </c>
      <c r="B9" s="7" t="s">
        <v>164</v>
      </c>
      <c r="C9" s="8"/>
      <c r="D9" s="8">
        <f t="shared" si="1"/>
        <v>214600</v>
      </c>
      <c r="E9" s="8">
        <f t="shared" si="2"/>
        <v>580000</v>
      </c>
      <c r="F9" s="12">
        <v>0.37</v>
      </c>
      <c r="G9" s="8">
        <v>100000</v>
      </c>
      <c r="H9" s="8">
        <v>110000</v>
      </c>
      <c r="I9" s="8">
        <v>110000</v>
      </c>
      <c r="J9" s="8">
        <v>110000</v>
      </c>
      <c r="K9" s="8">
        <v>50000</v>
      </c>
      <c r="L9" s="8">
        <v>50000</v>
      </c>
      <c r="M9" s="8">
        <v>50000</v>
      </c>
      <c r="N9" s="16"/>
      <c r="O9" s="16"/>
      <c r="P9" s="16"/>
      <c r="Q9" s="16"/>
      <c r="R9" s="16">
        <v>121000</v>
      </c>
      <c r="S9" s="3" t="str">
        <f>VLOOKUP(A9,预测!G:AU,41,0)</f>
        <v>磁性位置传感器</v>
      </c>
      <c r="T9" s="3">
        <f t="shared" si="3"/>
        <v>37000</v>
      </c>
      <c r="U9" s="3">
        <f t="shared" si="4"/>
        <v>40700</v>
      </c>
      <c r="V9" s="3">
        <f t="shared" si="5"/>
        <v>40700</v>
      </c>
      <c r="W9" s="3">
        <f t="shared" si="6"/>
        <v>40700</v>
      </c>
      <c r="X9" s="3">
        <f t="shared" si="7"/>
        <v>18500</v>
      </c>
      <c r="Y9" s="3">
        <f t="shared" si="8"/>
        <v>18500</v>
      </c>
      <c r="Z9" s="3">
        <f t="shared" si="9"/>
        <v>18500</v>
      </c>
    </row>
    <row r="10" s="2" customFormat="1" hidden="1" spans="1:26">
      <c r="A10" s="9" t="s">
        <v>165</v>
      </c>
      <c r="B10" s="9" t="s">
        <v>166</v>
      </c>
      <c r="C10" s="10"/>
      <c r="D10" s="10">
        <f t="shared" si="1"/>
        <v>521805.002389677</v>
      </c>
      <c r="E10" s="10">
        <f t="shared" si="2"/>
        <v>2100000</v>
      </c>
      <c r="F10" s="13">
        <v>0.248478572566513</v>
      </c>
      <c r="G10" s="10">
        <v>300000</v>
      </c>
      <c r="H10" s="10">
        <v>300000</v>
      </c>
      <c r="I10" s="10">
        <v>300000</v>
      </c>
      <c r="J10" s="10">
        <v>300000</v>
      </c>
      <c r="K10" s="10">
        <v>300000</v>
      </c>
      <c r="L10" s="10">
        <v>300000</v>
      </c>
      <c r="M10" s="10">
        <v>300000</v>
      </c>
      <c r="N10" s="17">
        <v>243000</v>
      </c>
      <c r="O10" s="17">
        <v>291000</v>
      </c>
      <c r="P10" s="17">
        <v>189000</v>
      </c>
      <c r="Q10" s="17">
        <v>180000</v>
      </c>
      <c r="R10" s="17">
        <v>270040</v>
      </c>
      <c r="S10" s="3" t="str">
        <f>VLOOKUP(A10,预测!G:AU,41,0)</f>
        <v>磁性位置传感器</v>
      </c>
      <c r="T10" s="3">
        <f t="shared" si="3"/>
        <v>74543.5717699538</v>
      </c>
      <c r="U10" s="3">
        <f t="shared" si="4"/>
        <v>74543.5717699538</v>
      </c>
      <c r="V10" s="3">
        <f t="shared" si="5"/>
        <v>74543.5717699538</v>
      </c>
      <c r="W10" s="3">
        <f t="shared" si="6"/>
        <v>74543.5717699538</v>
      </c>
      <c r="X10" s="3">
        <f t="shared" si="7"/>
        <v>74543.5717699538</v>
      </c>
      <c r="Y10" s="3">
        <f t="shared" si="8"/>
        <v>74543.5717699538</v>
      </c>
      <c r="Z10" s="3">
        <f t="shared" si="9"/>
        <v>74543.5717699538</v>
      </c>
    </row>
    <row r="11" hidden="1" spans="1:26">
      <c r="A11" s="7" t="s">
        <v>167</v>
      </c>
      <c r="B11" s="7" t="s">
        <v>168</v>
      </c>
      <c r="C11" s="8" t="s">
        <v>169</v>
      </c>
      <c r="D11" s="8">
        <f t="shared" si="1"/>
        <v>808500</v>
      </c>
      <c r="E11" s="8">
        <f t="shared" si="2"/>
        <v>1470000</v>
      </c>
      <c r="F11" s="12">
        <v>0.55</v>
      </c>
      <c r="G11" s="8">
        <v>210000</v>
      </c>
      <c r="H11" s="8">
        <v>210000</v>
      </c>
      <c r="I11" s="8">
        <v>210000</v>
      </c>
      <c r="J11" s="8">
        <v>210000</v>
      </c>
      <c r="K11" s="8">
        <v>210000</v>
      </c>
      <c r="L11" s="8">
        <v>210000</v>
      </c>
      <c r="M11" s="8">
        <v>210000</v>
      </c>
      <c r="N11" s="16">
        <v>297581</v>
      </c>
      <c r="O11" s="16">
        <v>318144</v>
      </c>
      <c r="P11" s="16">
        <v>324860</v>
      </c>
      <c r="Q11" s="16">
        <v>222150</v>
      </c>
      <c r="R11" s="16">
        <v>217846</v>
      </c>
      <c r="S11" s="3" t="str">
        <f>VLOOKUP(A11,预测!G:AU,41,0)</f>
        <v>磁性位置传感器</v>
      </c>
      <c r="T11" s="3">
        <f t="shared" si="3"/>
        <v>115500</v>
      </c>
      <c r="U11" s="3">
        <f t="shared" si="4"/>
        <v>115500</v>
      </c>
      <c r="V11" s="3">
        <f t="shared" si="5"/>
        <v>115500</v>
      </c>
      <c r="W11" s="3">
        <f t="shared" si="6"/>
        <v>115500</v>
      </c>
      <c r="X11" s="3">
        <f t="shared" si="7"/>
        <v>115500</v>
      </c>
      <c r="Y11" s="3">
        <f t="shared" si="8"/>
        <v>115500</v>
      </c>
      <c r="Z11" s="3">
        <f t="shared" si="9"/>
        <v>115500</v>
      </c>
    </row>
    <row r="12" hidden="1" spans="1:26">
      <c r="A12" s="7" t="s">
        <v>167</v>
      </c>
      <c r="B12" s="7" t="s">
        <v>168</v>
      </c>
      <c r="C12" s="8" t="s">
        <v>96</v>
      </c>
      <c r="D12" s="8">
        <f t="shared" si="1"/>
        <v>147000</v>
      </c>
      <c r="E12" s="8">
        <f t="shared" si="2"/>
        <v>350000</v>
      </c>
      <c r="F12" s="12">
        <v>0.42</v>
      </c>
      <c r="G12" s="8">
        <v>50000</v>
      </c>
      <c r="H12" s="8">
        <v>50000</v>
      </c>
      <c r="I12" s="8">
        <v>50000</v>
      </c>
      <c r="J12" s="8">
        <v>50000</v>
      </c>
      <c r="K12" s="8">
        <v>50000</v>
      </c>
      <c r="L12" s="8">
        <v>50000</v>
      </c>
      <c r="M12" s="8">
        <v>50000</v>
      </c>
      <c r="N12" s="16">
        <v>5234</v>
      </c>
      <c r="O12" s="16">
        <v>216</v>
      </c>
      <c r="P12" s="16">
        <v>93000</v>
      </c>
      <c r="Q12" s="16">
        <v>63000</v>
      </c>
      <c r="R12" s="16">
        <v>78000</v>
      </c>
      <c r="S12" s="3" t="str">
        <f>VLOOKUP(A12,预测!G:AU,41,0)</f>
        <v>磁性位置传感器</v>
      </c>
      <c r="T12" s="3">
        <f t="shared" si="3"/>
        <v>21000</v>
      </c>
      <c r="U12" s="3">
        <f t="shared" si="4"/>
        <v>21000</v>
      </c>
      <c r="V12" s="3">
        <f t="shared" si="5"/>
        <v>21000</v>
      </c>
      <c r="W12" s="3">
        <f t="shared" si="6"/>
        <v>21000</v>
      </c>
      <c r="X12" s="3">
        <f t="shared" si="7"/>
        <v>21000</v>
      </c>
      <c r="Y12" s="3">
        <f t="shared" si="8"/>
        <v>21000</v>
      </c>
      <c r="Z12" s="3">
        <f t="shared" si="9"/>
        <v>21000</v>
      </c>
    </row>
    <row r="13" hidden="1" spans="1:26">
      <c r="A13" s="7" t="s">
        <v>167</v>
      </c>
      <c r="B13" s="7" t="s">
        <v>168</v>
      </c>
      <c r="C13" s="8"/>
      <c r="D13" s="8">
        <f t="shared" si="1"/>
        <v>285200</v>
      </c>
      <c r="E13" s="8">
        <f t="shared" si="2"/>
        <v>713000</v>
      </c>
      <c r="F13" s="12">
        <v>0.4</v>
      </c>
      <c r="G13" s="8">
        <v>90000</v>
      </c>
      <c r="H13" s="8">
        <v>155000</v>
      </c>
      <c r="I13" s="8">
        <v>65000</v>
      </c>
      <c r="J13" s="8">
        <v>65000</v>
      </c>
      <c r="K13" s="8">
        <v>135000</v>
      </c>
      <c r="L13" s="8">
        <v>85000</v>
      </c>
      <c r="M13" s="8">
        <v>118000</v>
      </c>
      <c r="N13" s="16"/>
      <c r="O13" s="16"/>
      <c r="P13" s="16"/>
      <c r="Q13" s="16"/>
      <c r="R13" s="16"/>
      <c r="S13" s="3" t="str">
        <f>VLOOKUP(A13,预测!G:AU,41,0)</f>
        <v>磁性位置传感器</v>
      </c>
      <c r="T13" s="3">
        <f t="shared" si="3"/>
        <v>36000</v>
      </c>
      <c r="U13" s="3">
        <f t="shared" si="4"/>
        <v>62000</v>
      </c>
      <c r="V13" s="3">
        <f t="shared" si="5"/>
        <v>26000</v>
      </c>
      <c r="W13" s="3">
        <f t="shared" si="6"/>
        <v>26000</v>
      </c>
      <c r="X13" s="3">
        <f t="shared" si="7"/>
        <v>54000</v>
      </c>
      <c r="Y13" s="3">
        <f t="shared" si="8"/>
        <v>34000</v>
      </c>
      <c r="Z13" s="3">
        <f t="shared" si="9"/>
        <v>47200</v>
      </c>
    </row>
    <row r="14" hidden="1" spans="1:26">
      <c r="A14" s="7" t="s">
        <v>76</v>
      </c>
      <c r="B14" s="7" t="s">
        <v>77</v>
      </c>
      <c r="C14" s="8"/>
      <c r="D14" s="8">
        <f t="shared" si="1"/>
        <v>526330</v>
      </c>
      <c r="E14" s="8">
        <f t="shared" si="2"/>
        <v>2660000</v>
      </c>
      <c r="F14" s="12">
        <v>0.197868421052632</v>
      </c>
      <c r="G14" s="8">
        <v>380000</v>
      </c>
      <c r="H14" s="8">
        <v>380000</v>
      </c>
      <c r="I14" s="8">
        <v>380000</v>
      </c>
      <c r="J14" s="8">
        <v>380000</v>
      </c>
      <c r="K14" s="8">
        <v>380000</v>
      </c>
      <c r="L14" s="8">
        <v>380000</v>
      </c>
      <c r="M14" s="8">
        <v>380000</v>
      </c>
      <c r="N14" s="16"/>
      <c r="O14" s="16"/>
      <c r="P14" s="16">
        <v>10000</v>
      </c>
      <c r="Q14" s="16"/>
      <c r="R14" s="16"/>
      <c r="S14" s="3" t="str">
        <f>VLOOKUP(A14,预测!G:AU,41,0)</f>
        <v>磁性位置传感器</v>
      </c>
      <c r="T14" s="3">
        <f t="shared" si="3"/>
        <v>75190</v>
      </c>
      <c r="U14" s="3">
        <f t="shared" si="4"/>
        <v>75190</v>
      </c>
      <c r="V14" s="3">
        <f t="shared" si="5"/>
        <v>75190</v>
      </c>
      <c r="W14" s="3">
        <f t="shared" si="6"/>
        <v>75190</v>
      </c>
      <c r="X14" s="3">
        <f t="shared" si="7"/>
        <v>75190</v>
      </c>
      <c r="Y14" s="3">
        <f t="shared" si="8"/>
        <v>75190</v>
      </c>
      <c r="Z14" s="3">
        <f t="shared" si="9"/>
        <v>75190</v>
      </c>
    </row>
    <row r="15" hidden="1" spans="1:26">
      <c r="A15" s="7" t="s">
        <v>76</v>
      </c>
      <c r="B15" s="7" t="s">
        <v>170</v>
      </c>
      <c r="C15" s="8"/>
      <c r="D15" s="8">
        <f t="shared" si="1"/>
        <v>255315.789473684</v>
      </c>
      <c r="E15" s="8">
        <f t="shared" si="2"/>
        <v>1050000</v>
      </c>
      <c r="F15" s="12">
        <v>0.243157894736842</v>
      </c>
      <c r="G15" s="8">
        <v>150000</v>
      </c>
      <c r="H15" s="8">
        <v>150000</v>
      </c>
      <c r="I15" s="8">
        <v>150000</v>
      </c>
      <c r="J15" s="8">
        <v>150000</v>
      </c>
      <c r="K15" s="8">
        <v>150000</v>
      </c>
      <c r="L15" s="8">
        <v>150000</v>
      </c>
      <c r="M15" s="8">
        <v>150000</v>
      </c>
      <c r="N15" s="16">
        <v>133005</v>
      </c>
      <c r="O15" s="16">
        <v>80000</v>
      </c>
      <c r="P15" s="16">
        <v>219895</v>
      </c>
      <c r="Q15" s="16">
        <v>249200</v>
      </c>
      <c r="R15" s="16">
        <v>153435</v>
      </c>
      <c r="S15" s="3" t="str">
        <f>VLOOKUP(A15,预测!G:AU,41,0)</f>
        <v>磁性位置传感器</v>
      </c>
      <c r="T15" s="3">
        <f t="shared" si="3"/>
        <v>36473.6842105263</v>
      </c>
      <c r="U15" s="3">
        <f t="shared" si="4"/>
        <v>36473.6842105263</v>
      </c>
      <c r="V15" s="3">
        <f t="shared" si="5"/>
        <v>36473.6842105263</v>
      </c>
      <c r="W15" s="3">
        <f t="shared" si="6"/>
        <v>36473.6842105263</v>
      </c>
      <c r="X15" s="3">
        <f t="shared" si="7"/>
        <v>36473.6842105263</v>
      </c>
      <c r="Y15" s="3">
        <f t="shared" si="8"/>
        <v>36473.6842105263</v>
      </c>
      <c r="Z15" s="3">
        <f t="shared" si="9"/>
        <v>36473.6842105263</v>
      </c>
    </row>
    <row r="16" hidden="1" spans="1:26">
      <c r="A16" s="7" t="s">
        <v>76</v>
      </c>
      <c r="B16" s="7" t="s">
        <v>94</v>
      </c>
      <c r="C16" s="8" t="s">
        <v>96</v>
      </c>
      <c r="D16" s="8">
        <f t="shared" si="1"/>
        <v>704900</v>
      </c>
      <c r="E16" s="8">
        <f t="shared" si="2"/>
        <v>2660000</v>
      </c>
      <c r="F16" s="12">
        <v>0.265</v>
      </c>
      <c r="G16" s="8">
        <v>380000</v>
      </c>
      <c r="H16" s="8">
        <v>380000</v>
      </c>
      <c r="I16" s="8">
        <v>380000</v>
      </c>
      <c r="J16" s="8">
        <v>380000</v>
      </c>
      <c r="K16" s="8">
        <v>380000</v>
      </c>
      <c r="L16" s="8">
        <v>380000</v>
      </c>
      <c r="M16" s="8">
        <v>380000</v>
      </c>
      <c r="N16" s="16">
        <v>0</v>
      </c>
      <c r="O16" s="16">
        <v>0</v>
      </c>
      <c r="P16" s="16">
        <v>0</v>
      </c>
      <c r="Q16" s="16">
        <v>49992</v>
      </c>
      <c r="R16" s="16">
        <v>307299</v>
      </c>
      <c r="S16" s="3" t="str">
        <f>VLOOKUP(A16,预测!G:AU,41,0)</f>
        <v>磁性位置传感器</v>
      </c>
      <c r="T16" s="3">
        <f t="shared" si="3"/>
        <v>100700</v>
      </c>
      <c r="U16" s="3">
        <f t="shared" si="4"/>
        <v>100700</v>
      </c>
      <c r="V16" s="3">
        <f t="shared" si="5"/>
        <v>100700</v>
      </c>
      <c r="W16" s="3">
        <f t="shared" si="6"/>
        <v>100700</v>
      </c>
      <c r="X16" s="3">
        <f t="shared" si="7"/>
        <v>100700</v>
      </c>
      <c r="Y16" s="3">
        <f t="shared" si="8"/>
        <v>100700</v>
      </c>
      <c r="Z16" s="3">
        <f t="shared" si="9"/>
        <v>100700</v>
      </c>
    </row>
    <row r="17" hidden="1" spans="1:26">
      <c r="A17" s="7" t="s">
        <v>76</v>
      </c>
      <c r="B17" s="7" t="s">
        <v>126</v>
      </c>
      <c r="C17" s="8"/>
      <c r="D17" s="8">
        <f t="shared" si="1"/>
        <v>350000</v>
      </c>
      <c r="E17" s="8">
        <f t="shared" si="2"/>
        <v>1750000</v>
      </c>
      <c r="F17" s="12">
        <v>0.2</v>
      </c>
      <c r="G17" s="8">
        <v>250000</v>
      </c>
      <c r="H17" s="8">
        <v>250000</v>
      </c>
      <c r="I17" s="8">
        <v>250000</v>
      </c>
      <c r="J17" s="8">
        <v>250000</v>
      </c>
      <c r="K17" s="8">
        <v>250000</v>
      </c>
      <c r="L17" s="8">
        <v>250000</v>
      </c>
      <c r="M17" s="8">
        <v>250000</v>
      </c>
      <c r="N17" s="16">
        <v>0</v>
      </c>
      <c r="O17" s="16">
        <v>588357</v>
      </c>
      <c r="P17" s="16">
        <v>100000</v>
      </c>
      <c r="Q17" s="16">
        <v>598878</v>
      </c>
      <c r="R17" s="16">
        <v>249820</v>
      </c>
      <c r="S17" s="3" t="str">
        <f>VLOOKUP(A17,预测!G:AU,41,0)</f>
        <v>磁性位置传感器</v>
      </c>
      <c r="T17" s="3">
        <f t="shared" si="3"/>
        <v>50000</v>
      </c>
      <c r="U17" s="3">
        <f t="shared" si="4"/>
        <v>50000</v>
      </c>
      <c r="V17" s="3">
        <f t="shared" si="5"/>
        <v>50000</v>
      </c>
      <c r="W17" s="3">
        <f t="shared" si="6"/>
        <v>50000</v>
      </c>
      <c r="X17" s="3">
        <f t="shared" si="7"/>
        <v>50000</v>
      </c>
      <c r="Y17" s="3">
        <f t="shared" si="8"/>
        <v>50000</v>
      </c>
      <c r="Z17" s="3">
        <f t="shared" si="9"/>
        <v>50000</v>
      </c>
    </row>
    <row r="18" hidden="1" spans="1:26">
      <c r="A18" s="7" t="s">
        <v>76</v>
      </c>
      <c r="B18" s="7" t="s">
        <v>1636</v>
      </c>
      <c r="C18" s="8"/>
      <c r="D18" s="8">
        <f t="shared" si="1"/>
        <v>280000</v>
      </c>
      <c r="E18" s="8"/>
      <c r="F18" s="12">
        <v>0.2</v>
      </c>
      <c r="G18" s="8">
        <v>200000</v>
      </c>
      <c r="H18" s="8">
        <v>200000</v>
      </c>
      <c r="I18" s="8">
        <v>200000</v>
      </c>
      <c r="J18" s="8">
        <v>200000</v>
      </c>
      <c r="K18" s="8">
        <v>200000</v>
      </c>
      <c r="L18" s="8">
        <v>200000</v>
      </c>
      <c r="M18" s="8">
        <v>200000</v>
      </c>
      <c r="N18" s="16">
        <v>0</v>
      </c>
      <c r="O18" s="16">
        <v>99989</v>
      </c>
      <c r="P18" s="16">
        <v>0</v>
      </c>
      <c r="Q18" s="16">
        <v>139313</v>
      </c>
      <c r="R18" s="16">
        <v>220576</v>
      </c>
      <c r="S18" s="3" t="str">
        <f>VLOOKUP(A18,预测!G:AU,41,0)</f>
        <v>磁性位置传感器</v>
      </c>
      <c r="T18" s="3">
        <f t="shared" si="3"/>
        <v>40000</v>
      </c>
      <c r="U18" s="3">
        <f t="shared" si="4"/>
        <v>40000</v>
      </c>
      <c r="V18" s="3">
        <f t="shared" si="5"/>
        <v>40000</v>
      </c>
      <c r="W18" s="3">
        <f t="shared" si="6"/>
        <v>40000</v>
      </c>
      <c r="X18" s="3">
        <f t="shared" si="7"/>
        <v>40000</v>
      </c>
      <c r="Y18" s="3">
        <f t="shared" si="8"/>
        <v>40000</v>
      </c>
      <c r="Z18" s="3">
        <f t="shared" si="9"/>
        <v>40000</v>
      </c>
    </row>
    <row r="19" hidden="1" spans="1:26">
      <c r="A19" s="7" t="s">
        <v>100</v>
      </c>
      <c r="B19" s="7" t="s">
        <v>101</v>
      </c>
      <c r="C19" s="8" t="s">
        <v>169</v>
      </c>
      <c r="D19" s="8">
        <f t="shared" si="1"/>
        <v>168000</v>
      </c>
      <c r="E19" s="8">
        <f t="shared" si="2"/>
        <v>420000</v>
      </c>
      <c r="F19" s="12">
        <v>0.4</v>
      </c>
      <c r="G19" s="8">
        <v>60000</v>
      </c>
      <c r="H19" s="8">
        <v>60000</v>
      </c>
      <c r="I19" s="8">
        <v>60000</v>
      </c>
      <c r="J19" s="8">
        <v>60000</v>
      </c>
      <c r="K19" s="8">
        <v>60000</v>
      </c>
      <c r="L19" s="8">
        <v>60000</v>
      </c>
      <c r="M19" s="8">
        <v>60000</v>
      </c>
      <c r="N19" s="16">
        <v>60000</v>
      </c>
      <c r="O19" s="16">
        <v>108000</v>
      </c>
      <c r="P19" s="16">
        <v>60000</v>
      </c>
      <c r="Q19" s="16">
        <v>153000</v>
      </c>
      <c r="R19" s="16">
        <v>90220</v>
      </c>
      <c r="S19" s="3" t="str">
        <f>VLOOKUP(A19,预测!G:AU,41,0)</f>
        <v>磁性位置传感器</v>
      </c>
      <c r="T19" s="3">
        <f t="shared" si="3"/>
        <v>24000</v>
      </c>
      <c r="U19" s="3">
        <f t="shared" si="4"/>
        <v>24000</v>
      </c>
      <c r="V19" s="3">
        <f t="shared" si="5"/>
        <v>24000</v>
      </c>
      <c r="W19" s="3">
        <f t="shared" si="6"/>
        <v>24000</v>
      </c>
      <c r="X19" s="3">
        <f t="shared" si="7"/>
        <v>24000</v>
      </c>
      <c r="Y19" s="3">
        <f t="shared" si="8"/>
        <v>24000</v>
      </c>
      <c r="Z19" s="3">
        <f t="shared" si="9"/>
        <v>24000</v>
      </c>
    </row>
    <row r="20" hidden="1" spans="1:26">
      <c r="A20" s="7" t="s">
        <v>100</v>
      </c>
      <c r="B20" s="7" t="s">
        <v>101</v>
      </c>
      <c r="C20" s="8" t="s">
        <v>96</v>
      </c>
      <c r="D20" s="8">
        <f t="shared" si="1"/>
        <v>417006.854764107</v>
      </c>
      <c r="E20" s="8">
        <f t="shared" si="2"/>
        <v>1051000</v>
      </c>
      <c r="F20" s="12">
        <v>0.39677150786309</v>
      </c>
      <c r="G20" s="8">
        <v>0</v>
      </c>
      <c r="H20" s="8">
        <v>0</v>
      </c>
      <c r="I20" s="8">
        <v>212000</v>
      </c>
      <c r="J20" s="8">
        <v>200000</v>
      </c>
      <c r="K20" s="8">
        <v>218000</v>
      </c>
      <c r="L20" s="8">
        <v>200000</v>
      </c>
      <c r="M20" s="8">
        <v>221000</v>
      </c>
      <c r="N20" s="16">
        <v>258000</v>
      </c>
      <c r="O20" s="16">
        <v>120000</v>
      </c>
      <c r="P20" s="16">
        <v>228000</v>
      </c>
      <c r="Q20" s="16">
        <v>330000</v>
      </c>
      <c r="R20" s="16">
        <v>168019</v>
      </c>
      <c r="S20" s="3" t="str">
        <f>VLOOKUP(A20,预测!G:AU,41,0)</f>
        <v>磁性位置传感器</v>
      </c>
      <c r="T20" s="3">
        <f t="shared" si="3"/>
        <v>0</v>
      </c>
      <c r="U20" s="3">
        <f t="shared" si="4"/>
        <v>0</v>
      </c>
      <c r="V20" s="3">
        <f t="shared" si="5"/>
        <v>84115.559666975</v>
      </c>
      <c r="W20" s="3">
        <f t="shared" si="6"/>
        <v>79354.3015726179</v>
      </c>
      <c r="X20" s="3">
        <f t="shared" si="7"/>
        <v>86496.1887141536</v>
      </c>
      <c r="Y20" s="3">
        <f t="shared" si="8"/>
        <v>79354.3015726179</v>
      </c>
      <c r="Z20" s="3">
        <f t="shared" si="9"/>
        <v>87686.5032377428</v>
      </c>
    </row>
    <row r="21" hidden="1" spans="1:26">
      <c r="A21" s="7" t="s">
        <v>100</v>
      </c>
      <c r="B21" s="7" t="s">
        <v>101</v>
      </c>
      <c r="C21" s="8"/>
      <c r="D21" s="8">
        <f t="shared" si="1"/>
        <v>51540</v>
      </c>
      <c r="E21" s="8">
        <f t="shared" si="2"/>
        <v>177000</v>
      </c>
      <c r="F21" s="12">
        <v>0.291186440677966</v>
      </c>
      <c r="G21" s="8">
        <v>3000</v>
      </c>
      <c r="H21" s="8">
        <v>3000</v>
      </c>
      <c r="I21" s="8">
        <v>33000</v>
      </c>
      <c r="J21" s="8">
        <v>33000</v>
      </c>
      <c r="K21" s="8">
        <v>35000</v>
      </c>
      <c r="L21" s="8">
        <v>35000</v>
      </c>
      <c r="M21" s="8">
        <v>35000</v>
      </c>
      <c r="N21" s="16"/>
      <c r="O21" s="16"/>
      <c r="P21" s="16"/>
      <c r="Q21" s="16"/>
      <c r="R21" s="16"/>
      <c r="S21" s="3" t="str">
        <f>VLOOKUP(A21,预测!G:AU,41,0)</f>
        <v>磁性位置传感器</v>
      </c>
      <c r="T21" s="3">
        <f t="shared" si="3"/>
        <v>873.559322033898</v>
      </c>
      <c r="U21" s="3">
        <f t="shared" si="4"/>
        <v>873.559322033898</v>
      </c>
      <c r="V21" s="3">
        <f t="shared" si="5"/>
        <v>9609.15254237288</v>
      </c>
      <c r="W21" s="3">
        <f t="shared" si="6"/>
        <v>9609.15254237288</v>
      </c>
      <c r="X21" s="3">
        <f t="shared" si="7"/>
        <v>10191.5254237288</v>
      </c>
      <c r="Y21" s="3">
        <f t="shared" si="8"/>
        <v>10191.5254237288</v>
      </c>
      <c r="Z21" s="3">
        <f t="shared" si="9"/>
        <v>10191.5254237288</v>
      </c>
    </row>
    <row r="22" hidden="1" spans="1:26">
      <c r="A22" s="7" t="s">
        <v>171</v>
      </c>
      <c r="B22" s="7" t="s">
        <v>172</v>
      </c>
      <c r="C22" s="8"/>
      <c r="D22" s="8">
        <f t="shared" si="1"/>
        <v>665000</v>
      </c>
      <c r="E22" s="8">
        <f t="shared" si="2"/>
        <v>2660000</v>
      </c>
      <c r="F22" s="12">
        <v>0.25</v>
      </c>
      <c r="G22" s="8">
        <v>380000</v>
      </c>
      <c r="H22" s="8">
        <v>380000</v>
      </c>
      <c r="I22" s="8">
        <v>380000</v>
      </c>
      <c r="J22" s="8">
        <v>380000</v>
      </c>
      <c r="K22" s="8">
        <v>380000</v>
      </c>
      <c r="L22" s="8">
        <v>380000</v>
      </c>
      <c r="M22" s="8">
        <v>380000</v>
      </c>
      <c r="N22" s="16">
        <v>326000</v>
      </c>
      <c r="O22" s="16">
        <v>386970</v>
      </c>
      <c r="P22" s="16">
        <v>829168</v>
      </c>
      <c r="Q22" s="16">
        <v>300000</v>
      </c>
      <c r="R22" s="16">
        <v>60000</v>
      </c>
      <c r="S22" s="3" t="str">
        <f>VLOOKUP(A22,预测!G:AU,41,0)</f>
        <v>磁性位置传感器</v>
      </c>
      <c r="T22" s="3">
        <f t="shared" si="3"/>
        <v>95000</v>
      </c>
      <c r="U22" s="3">
        <f t="shared" si="4"/>
        <v>95000</v>
      </c>
      <c r="V22" s="3">
        <f t="shared" si="5"/>
        <v>95000</v>
      </c>
      <c r="W22" s="3">
        <f t="shared" si="6"/>
        <v>95000</v>
      </c>
      <c r="X22" s="3">
        <f t="shared" si="7"/>
        <v>95000</v>
      </c>
      <c r="Y22" s="3">
        <f t="shared" si="8"/>
        <v>95000</v>
      </c>
      <c r="Z22" s="3">
        <f t="shared" si="9"/>
        <v>95000</v>
      </c>
    </row>
    <row r="23" hidden="1" spans="1:26">
      <c r="A23" s="7" t="s">
        <v>173</v>
      </c>
      <c r="B23" s="7" t="s">
        <v>174</v>
      </c>
      <c r="C23" s="8"/>
      <c r="D23" s="8">
        <f t="shared" si="1"/>
        <v>589500</v>
      </c>
      <c r="E23" s="8">
        <f t="shared" si="2"/>
        <v>2260000</v>
      </c>
      <c r="F23" s="12">
        <v>0.260840707964602</v>
      </c>
      <c r="G23" s="8">
        <v>300000</v>
      </c>
      <c r="H23" s="8">
        <v>300000</v>
      </c>
      <c r="I23" s="8">
        <v>460000</v>
      </c>
      <c r="J23" s="8">
        <v>300000</v>
      </c>
      <c r="K23" s="8">
        <v>300000</v>
      </c>
      <c r="L23" s="8">
        <v>300000</v>
      </c>
      <c r="M23" s="8">
        <v>300000</v>
      </c>
      <c r="N23" s="16">
        <v>0</v>
      </c>
      <c r="O23" s="16">
        <v>0</v>
      </c>
      <c r="P23" s="16">
        <v>0</v>
      </c>
      <c r="Q23" s="16">
        <v>429000</v>
      </c>
      <c r="R23" s="16">
        <v>27000</v>
      </c>
      <c r="S23" s="3" t="str">
        <f>VLOOKUP(A23,预测!G:AU,41,0)</f>
        <v>磁性位置传感器</v>
      </c>
      <c r="T23" s="3">
        <f t="shared" si="3"/>
        <v>78252.2123893805</v>
      </c>
      <c r="U23" s="3">
        <f t="shared" si="4"/>
        <v>78252.2123893805</v>
      </c>
      <c r="V23" s="3">
        <f t="shared" si="5"/>
        <v>119986.725663717</v>
      </c>
      <c r="W23" s="3">
        <f t="shared" si="6"/>
        <v>78252.2123893805</v>
      </c>
      <c r="X23" s="3">
        <f t="shared" si="7"/>
        <v>78252.2123893805</v>
      </c>
      <c r="Y23" s="3">
        <f t="shared" si="8"/>
        <v>78252.2123893805</v>
      </c>
      <c r="Z23" s="3">
        <f t="shared" si="9"/>
        <v>78252.2123893805</v>
      </c>
    </row>
    <row r="24" hidden="1" spans="1:26">
      <c r="A24" s="7" t="s">
        <v>131</v>
      </c>
      <c r="B24" s="7" t="s">
        <v>132</v>
      </c>
      <c r="C24" s="8" t="s">
        <v>169</v>
      </c>
      <c r="D24" s="8">
        <f t="shared" si="1"/>
        <v>379312.5</v>
      </c>
      <c r="E24" s="8">
        <f t="shared" si="2"/>
        <v>1050000</v>
      </c>
      <c r="F24" s="12">
        <v>0.36125</v>
      </c>
      <c r="G24" s="8">
        <v>150000</v>
      </c>
      <c r="H24" s="8">
        <v>150000</v>
      </c>
      <c r="I24" s="8">
        <v>150000</v>
      </c>
      <c r="J24" s="8">
        <v>150000</v>
      </c>
      <c r="K24" s="8">
        <v>150000</v>
      </c>
      <c r="L24" s="8">
        <v>150000</v>
      </c>
      <c r="M24" s="8">
        <v>150000</v>
      </c>
      <c r="N24" s="16">
        <v>67000</v>
      </c>
      <c r="O24" s="16">
        <v>247000</v>
      </c>
      <c r="P24" s="16">
        <v>25000</v>
      </c>
      <c r="Q24" s="16">
        <v>336000</v>
      </c>
      <c r="R24" s="16">
        <v>93000</v>
      </c>
      <c r="S24" s="3" t="str">
        <f>VLOOKUP(A24,预测!G:AU,41,0)</f>
        <v>磁性位置传感器</v>
      </c>
      <c r="T24" s="3">
        <f t="shared" si="3"/>
        <v>54187.5</v>
      </c>
      <c r="U24" s="3">
        <f t="shared" si="4"/>
        <v>54187.5</v>
      </c>
      <c r="V24" s="3">
        <f t="shared" si="5"/>
        <v>54187.5</v>
      </c>
      <c r="W24" s="3">
        <f t="shared" si="6"/>
        <v>54187.5</v>
      </c>
      <c r="X24" s="3">
        <f t="shared" si="7"/>
        <v>54187.5</v>
      </c>
      <c r="Y24" s="3">
        <f t="shared" si="8"/>
        <v>54187.5</v>
      </c>
      <c r="Z24" s="3">
        <f t="shared" si="9"/>
        <v>54187.5</v>
      </c>
    </row>
    <row r="25" hidden="1" spans="1:26">
      <c r="A25" s="7" t="s">
        <v>175</v>
      </c>
      <c r="B25" s="7" t="s">
        <v>176</v>
      </c>
      <c r="C25" s="8"/>
      <c r="D25" s="8">
        <f t="shared" si="1"/>
        <v>315000</v>
      </c>
      <c r="E25" s="8">
        <f t="shared" si="2"/>
        <v>1500000</v>
      </c>
      <c r="F25" s="12">
        <v>0.21</v>
      </c>
      <c r="G25" s="8"/>
      <c r="H25" s="8">
        <v>500000</v>
      </c>
      <c r="I25" s="8"/>
      <c r="J25" s="8">
        <v>500000</v>
      </c>
      <c r="K25" s="8"/>
      <c r="L25" s="8">
        <v>500000</v>
      </c>
      <c r="M25" s="8"/>
      <c r="N25" s="16">
        <v>0</v>
      </c>
      <c r="O25" s="16">
        <v>0</v>
      </c>
      <c r="P25" s="16">
        <v>485835</v>
      </c>
      <c r="Q25" s="16">
        <v>0</v>
      </c>
      <c r="R25" s="16">
        <v>486955</v>
      </c>
      <c r="S25" s="3" t="str">
        <f>VLOOKUP(A25,预测!G:AU,41,0)</f>
        <v>磁性位置传感器</v>
      </c>
      <c r="T25" s="3">
        <f t="shared" si="3"/>
        <v>0</v>
      </c>
      <c r="U25" s="3">
        <f t="shared" si="4"/>
        <v>105000</v>
      </c>
      <c r="V25" s="3">
        <f t="shared" si="5"/>
        <v>0</v>
      </c>
      <c r="W25" s="3">
        <f t="shared" si="6"/>
        <v>105000</v>
      </c>
      <c r="X25" s="3">
        <f t="shared" si="7"/>
        <v>0</v>
      </c>
      <c r="Y25" s="3">
        <f t="shared" si="8"/>
        <v>105000</v>
      </c>
      <c r="Z25" s="3">
        <f t="shared" si="9"/>
        <v>0</v>
      </c>
    </row>
    <row r="26" hidden="1" spans="1:26">
      <c r="A26" s="7" t="s">
        <v>175</v>
      </c>
      <c r="B26" s="7" t="s">
        <v>177</v>
      </c>
      <c r="C26" s="8"/>
      <c r="D26" s="8">
        <f t="shared" si="1"/>
        <v>6247500</v>
      </c>
      <c r="E26" s="8">
        <f t="shared" si="2"/>
        <v>24500000</v>
      </c>
      <c r="F26" s="12">
        <v>0.255</v>
      </c>
      <c r="G26" s="8">
        <v>3500000</v>
      </c>
      <c r="H26" s="8">
        <v>3500000</v>
      </c>
      <c r="I26" s="8">
        <v>3500000</v>
      </c>
      <c r="J26" s="8">
        <v>3500000</v>
      </c>
      <c r="K26" s="8">
        <v>3500000</v>
      </c>
      <c r="L26" s="8">
        <v>3500000</v>
      </c>
      <c r="M26" s="8">
        <v>3500000</v>
      </c>
      <c r="N26" s="16">
        <v>1219348</v>
      </c>
      <c r="O26" s="16">
        <v>3870532</v>
      </c>
      <c r="P26" s="16">
        <v>0</v>
      </c>
      <c r="Q26" s="16">
        <v>2011695</v>
      </c>
      <c r="R26" s="16">
        <v>4243823</v>
      </c>
      <c r="S26" s="3" t="str">
        <f>VLOOKUP(A26,预测!G:AU,41,0)</f>
        <v>磁性位置传感器</v>
      </c>
      <c r="T26" s="3">
        <f t="shared" si="3"/>
        <v>892500</v>
      </c>
      <c r="U26" s="3">
        <f t="shared" si="4"/>
        <v>892500</v>
      </c>
      <c r="V26" s="3">
        <f t="shared" si="5"/>
        <v>892500</v>
      </c>
      <c r="W26" s="3">
        <f t="shared" si="6"/>
        <v>892500</v>
      </c>
      <c r="X26" s="3">
        <f t="shared" si="7"/>
        <v>892500</v>
      </c>
      <c r="Y26" s="3">
        <f t="shared" si="8"/>
        <v>892500</v>
      </c>
      <c r="Z26" s="3">
        <f t="shared" si="9"/>
        <v>892500</v>
      </c>
    </row>
    <row r="27" hidden="1" spans="1:26">
      <c r="A27" s="7" t="s">
        <v>175</v>
      </c>
      <c r="B27" s="7" t="s">
        <v>178</v>
      </c>
      <c r="C27" s="8"/>
      <c r="D27" s="8">
        <f t="shared" si="1"/>
        <v>1470000</v>
      </c>
      <c r="E27" s="8">
        <f t="shared" si="2"/>
        <v>7000000</v>
      </c>
      <c r="F27" s="12">
        <v>0.21</v>
      </c>
      <c r="G27" s="8">
        <v>1000000</v>
      </c>
      <c r="H27" s="8">
        <v>1000000</v>
      </c>
      <c r="I27" s="8">
        <v>1000000</v>
      </c>
      <c r="J27" s="8">
        <v>1000000</v>
      </c>
      <c r="K27" s="8">
        <v>1000000</v>
      </c>
      <c r="L27" s="8">
        <v>1000000</v>
      </c>
      <c r="M27" s="8">
        <v>1000000</v>
      </c>
      <c r="N27" s="16">
        <v>216520</v>
      </c>
      <c r="O27" s="16">
        <v>1684377</v>
      </c>
      <c r="P27" s="16">
        <v>232936</v>
      </c>
      <c r="Q27" s="16">
        <v>1626882</v>
      </c>
      <c r="R27" s="16">
        <v>1807261</v>
      </c>
      <c r="S27" s="3" t="str">
        <f>VLOOKUP(A27,预测!G:AU,41,0)</f>
        <v>磁性位置传感器</v>
      </c>
      <c r="T27" s="3">
        <f t="shared" si="3"/>
        <v>210000</v>
      </c>
      <c r="U27" s="3">
        <f t="shared" si="4"/>
        <v>210000</v>
      </c>
      <c r="V27" s="3">
        <f t="shared" si="5"/>
        <v>210000</v>
      </c>
      <c r="W27" s="3">
        <f t="shared" si="6"/>
        <v>210000</v>
      </c>
      <c r="X27" s="3">
        <f t="shared" si="7"/>
        <v>210000</v>
      </c>
      <c r="Y27" s="3">
        <f t="shared" si="8"/>
        <v>210000</v>
      </c>
      <c r="Z27" s="3">
        <f t="shared" si="9"/>
        <v>210000</v>
      </c>
    </row>
    <row r="28" hidden="1" spans="1:26">
      <c r="A28" s="7" t="s">
        <v>179</v>
      </c>
      <c r="B28" s="7" t="s">
        <v>180</v>
      </c>
      <c r="C28" s="8"/>
      <c r="D28" s="8">
        <f t="shared" si="1"/>
        <v>367500</v>
      </c>
      <c r="E28" s="8">
        <f t="shared" si="2"/>
        <v>1750000</v>
      </c>
      <c r="F28" s="12">
        <v>0.21</v>
      </c>
      <c r="G28" s="8">
        <v>250000</v>
      </c>
      <c r="H28" s="8">
        <v>250000</v>
      </c>
      <c r="I28" s="8">
        <v>250000</v>
      </c>
      <c r="J28" s="8">
        <v>250000</v>
      </c>
      <c r="K28" s="8">
        <v>250000</v>
      </c>
      <c r="L28" s="8">
        <v>250000</v>
      </c>
      <c r="M28" s="8">
        <v>250000</v>
      </c>
      <c r="N28" s="16">
        <v>0</v>
      </c>
      <c r="O28" s="16">
        <v>971231</v>
      </c>
      <c r="P28" s="16">
        <v>242573</v>
      </c>
      <c r="Q28" s="16">
        <v>0</v>
      </c>
      <c r="R28" s="16">
        <v>485234</v>
      </c>
      <c r="S28" s="3" t="str">
        <f>VLOOKUP(A28,预测!G:AU,41,0)</f>
        <v>磁性位置传感器</v>
      </c>
      <c r="T28" s="3">
        <f t="shared" si="3"/>
        <v>52500</v>
      </c>
      <c r="U28" s="3">
        <f t="shared" si="4"/>
        <v>52500</v>
      </c>
      <c r="V28" s="3">
        <f t="shared" si="5"/>
        <v>52500</v>
      </c>
      <c r="W28" s="3">
        <f t="shared" si="6"/>
        <v>52500</v>
      </c>
      <c r="X28" s="3">
        <f t="shared" si="7"/>
        <v>52500</v>
      </c>
      <c r="Y28" s="3">
        <f t="shared" si="8"/>
        <v>52500</v>
      </c>
      <c r="Z28" s="3">
        <f t="shared" si="9"/>
        <v>52500</v>
      </c>
    </row>
    <row r="29" hidden="1" spans="1:26">
      <c r="A29" s="7" t="s">
        <v>179</v>
      </c>
      <c r="B29" s="7" t="s">
        <v>181</v>
      </c>
      <c r="C29" s="8"/>
      <c r="D29" s="8">
        <f t="shared" si="1"/>
        <v>5355000</v>
      </c>
      <c r="E29" s="8">
        <f t="shared" si="2"/>
        <v>21000000</v>
      </c>
      <c r="F29" s="12">
        <v>0.255</v>
      </c>
      <c r="G29" s="8">
        <v>3000000</v>
      </c>
      <c r="H29" s="8">
        <v>3000000</v>
      </c>
      <c r="I29" s="8">
        <v>3000000</v>
      </c>
      <c r="J29" s="8">
        <v>3000000</v>
      </c>
      <c r="K29" s="8">
        <v>3000000</v>
      </c>
      <c r="L29" s="8">
        <v>3000000</v>
      </c>
      <c r="M29" s="8">
        <v>3000000</v>
      </c>
      <c r="N29" s="16">
        <v>0</v>
      </c>
      <c r="O29" s="16">
        <v>1203349</v>
      </c>
      <c r="P29" s="16">
        <v>4338862</v>
      </c>
      <c r="Q29" s="16">
        <v>1455731</v>
      </c>
      <c r="R29" s="16">
        <v>0</v>
      </c>
      <c r="S29" s="3" t="str">
        <f>VLOOKUP(A29,预测!G:AU,41,0)</f>
        <v>磁性位置传感器</v>
      </c>
      <c r="T29" s="3">
        <f t="shared" si="3"/>
        <v>765000</v>
      </c>
      <c r="U29" s="3">
        <f t="shared" si="4"/>
        <v>765000</v>
      </c>
      <c r="V29" s="3">
        <f t="shared" si="5"/>
        <v>765000</v>
      </c>
      <c r="W29" s="3">
        <f t="shared" si="6"/>
        <v>765000</v>
      </c>
      <c r="X29" s="3">
        <f t="shared" si="7"/>
        <v>765000</v>
      </c>
      <c r="Y29" s="3">
        <f t="shared" si="8"/>
        <v>765000</v>
      </c>
      <c r="Z29" s="3">
        <f t="shared" si="9"/>
        <v>765000</v>
      </c>
    </row>
    <row r="30" hidden="1" spans="1:26">
      <c r="A30" s="7" t="s">
        <v>184</v>
      </c>
      <c r="B30" s="7" t="s">
        <v>185</v>
      </c>
      <c r="C30" s="8"/>
      <c r="D30" s="8">
        <f t="shared" si="1"/>
        <v>0</v>
      </c>
      <c r="E30" s="8">
        <f t="shared" si="2"/>
        <v>0</v>
      </c>
      <c r="F30" s="12">
        <v>0.255</v>
      </c>
      <c r="G30" s="8"/>
      <c r="H30" s="8"/>
      <c r="I30" s="8"/>
      <c r="J30" s="8"/>
      <c r="K30" s="8"/>
      <c r="L30" s="8"/>
      <c r="M30" s="8"/>
      <c r="N30" s="16"/>
      <c r="O30" s="16"/>
      <c r="P30" s="16"/>
      <c r="Q30" s="16"/>
      <c r="R30" s="16"/>
      <c r="S30" s="3" t="str">
        <f>VLOOKUP(A30,预测!G:AU,41,0)</f>
        <v>磁性位置传感器</v>
      </c>
      <c r="T30" s="3">
        <f t="shared" si="3"/>
        <v>0</v>
      </c>
      <c r="U30" s="3">
        <f t="shared" si="4"/>
        <v>0</v>
      </c>
      <c r="V30" s="3">
        <f t="shared" si="5"/>
        <v>0</v>
      </c>
      <c r="W30" s="3">
        <f t="shared" si="6"/>
        <v>0</v>
      </c>
      <c r="X30" s="3">
        <f t="shared" si="7"/>
        <v>0</v>
      </c>
      <c r="Y30" s="3">
        <f t="shared" si="8"/>
        <v>0</v>
      </c>
      <c r="Z30" s="3">
        <f t="shared" si="9"/>
        <v>0</v>
      </c>
    </row>
    <row r="31" hidden="1" spans="1:26">
      <c r="A31" s="7" t="s">
        <v>184</v>
      </c>
      <c r="B31" s="7" t="s">
        <v>186</v>
      </c>
      <c r="C31" s="8"/>
      <c r="D31" s="8">
        <f t="shared" si="1"/>
        <v>0</v>
      </c>
      <c r="E31" s="8">
        <f t="shared" si="2"/>
        <v>0</v>
      </c>
      <c r="F31" s="12">
        <v>0.255</v>
      </c>
      <c r="G31" s="8"/>
      <c r="H31" s="8"/>
      <c r="I31" s="8"/>
      <c r="J31" s="8"/>
      <c r="K31" s="8"/>
      <c r="L31" s="8"/>
      <c r="M31" s="8"/>
      <c r="N31" s="16"/>
      <c r="O31" s="16"/>
      <c r="P31" s="16"/>
      <c r="Q31" s="16"/>
      <c r="R31" s="16"/>
      <c r="S31" s="3" t="str">
        <f>VLOOKUP(A31,预测!G:AU,41,0)</f>
        <v>磁性位置传感器</v>
      </c>
      <c r="T31" s="3">
        <f t="shared" si="3"/>
        <v>0</v>
      </c>
      <c r="U31" s="3">
        <f t="shared" si="4"/>
        <v>0</v>
      </c>
      <c r="V31" s="3">
        <f t="shared" si="5"/>
        <v>0</v>
      </c>
      <c r="W31" s="3">
        <f t="shared" si="6"/>
        <v>0</v>
      </c>
      <c r="X31" s="3">
        <f t="shared" si="7"/>
        <v>0</v>
      </c>
      <c r="Y31" s="3">
        <f t="shared" si="8"/>
        <v>0</v>
      </c>
      <c r="Z31" s="3">
        <f t="shared" si="9"/>
        <v>0</v>
      </c>
    </row>
    <row r="32" hidden="1" spans="1:26">
      <c r="A32" s="7" t="s">
        <v>187</v>
      </c>
      <c r="B32" s="7" t="s">
        <v>188</v>
      </c>
      <c r="C32" s="8"/>
      <c r="D32" s="8">
        <f t="shared" si="1"/>
        <v>0</v>
      </c>
      <c r="E32" s="8">
        <f t="shared" si="2"/>
        <v>0</v>
      </c>
      <c r="F32" s="12">
        <v>0.255</v>
      </c>
      <c r="G32" s="8"/>
      <c r="H32" s="8"/>
      <c r="I32" s="8"/>
      <c r="J32" s="8"/>
      <c r="K32" s="8"/>
      <c r="L32" s="8"/>
      <c r="M32" s="8"/>
      <c r="N32" s="16"/>
      <c r="O32" s="16"/>
      <c r="P32" s="16"/>
      <c r="Q32" s="16"/>
      <c r="R32" s="16"/>
      <c r="S32" s="3" t="str">
        <f>VLOOKUP(A32,预测!G:AU,41,0)</f>
        <v>磁性位置传感器</v>
      </c>
      <c r="T32" s="3">
        <f t="shared" si="3"/>
        <v>0</v>
      </c>
      <c r="U32" s="3">
        <f t="shared" si="4"/>
        <v>0</v>
      </c>
      <c r="V32" s="3">
        <f t="shared" si="5"/>
        <v>0</v>
      </c>
      <c r="W32" s="3">
        <f t="shared" si="6"/>
        <v>0</v>
      </c>
      <c r="X32" s="3">
        <f t="shared" si="7"/>
        <v>0</v>
      </c>
      <c r="Y32" s="3">
        <f t="shared" si="8"/>
        <v>0</v>
      </c>
      <c r="Z32" s="3">
        <f t="shared" si="9"/>
        <v>0</v>
      </c>
    </row>
    <row r="33" hidden="1" spans="1:26">
      <c r="A33" s="7" t="s">
        <v>187</v>
      </c>
      <c r="B33" s="7" t="s">
        <v>189</v>
      </c>
      <c r="C33" s="8"/>
      <c r="D33" s="8">
        <f t="shared" si="1"/>
        <v>4462500</v>
      </c>
      <c r="E33" s="8">
        <f t="shared" si="2"/>
        <v>17500000</v>
      </c>
      <c r="F33" s="12">
        <v>0.255</v>
      </c>
      <c r="G33" s="8">
        <v>2500000</v>
      </c>
      <c r="H33" s="8">
        <v>2500000</v>
      </c>
      <c r="I33" s="8">
        <v>2500000</v>
      </c>
      <c r="J33" s="8">
        <v>2500000</v>
      </c>
      <c r="K33" s="8">
        <v>2500000</v>
      </c>
      <c r="L33" s="8">
        <v>2500000</v>
      </c>
      <c r="M33" s="8">
        <v>2500000</v>
      </c>
      <c r="N33" s="16">
        <v>0</v>
      </c>
      <c r="O33" s="16">
        <v>0</v>
      </c>
      <c r="P33" s="16">
        <v>0</v>
      </c>
      <c r="Q33" s="16">
        <v>487309</v>
      </c>
      <c r="R33" s="16">
        <v>1450161</v>
      </c>
      <c r="S33" s="3" t="str">
        <f>VLOOKUP(A33,预测!G:AU,41,0)</f>
        <v>磁性位置传感器</v>
      </c>
      <c r="T33" s="3">
        <f t="shared" si="3"/>
        <v>637500</v>
      </c>
      <c r="U33" s="3">
        <f t="shared" si="4"/>
        <v>637500</v>
      </c>
      <c r="V33" s="3">
        <f t="shared" si="5"/>
        <v>637500</v>
      </c>
      <c r="W33" s="3">
        <f t="shared" si="6"/>
        <v>637500</v>
      </c>
      <c r="X33" s="3">
        <f t="shared" si="7"/>
        <v>637500</v>
      </c>
      <c r="Y33" s="3">
        <f t="shared" si="8"/>
        <v>637500</v>
      </c>
      <c r="Z33" s="3">
        <f t="shared" si="9"/>
        <v>637500</v>
      </c>
    </row>
    <row r="34" hidden="1" spans="1:26">
      <c r="A34" s="7" t="s">
        <v>191</v>
      </c>
      <c r="B34" s="7" t="s">
        <v>192</v>
      </c>
      <c r="C34" s="8"/>
      <c r="D34" s="8">
        <f t="shared" si="1"/>
        <v>472500</v>
      </c>
      <c r="E34" s="8">
        <f t="shared" si="2"/>
        <v>2250000</v>
      </c>
      <c r="F34" s="12">
        <v>0.21</v>
      </c>
      <c r="G34" s="8">
        <v>250000</v>
      </c>
      <c r="H34" s="8">
        <v>500000</v>
      </c>
      <c r="I34" s="8">
        <v>250000</v>
      </c>
      <c r="J34" s="8">
        <v>500000</v>
      </c>
      <c r="K34" s="8">
        <v>250000</v>
      </c>
      <c r="L34" s="8">
        <v>250000</v>
      </c>
      <c r="M34" s="8">
        <v>250000</v>
      </c>
      <c r="N34" s="16"/>
      <c r="O34" s="16"/>
      <c r="P34" s="16"/>
      <c r="Q34" s="16"/>
      <c r="R34" s="16"/>
      <c r="S34" s="3" t="str">
        <f>VLOOKUP(A34,预测!G:AU,41,0)</f>
        <v>磁性位置传感器</v>
      </c>
      <c r="T34" s="3">
        <f t="shared" si="3"/>
        <v>52500</v>
      </c>
      <c r="U34" s="3">
        <f t="shared" si="4"/>
        <v>105000</v>
      </c>
      <c r="V34" s="3">
        <f t="shared" si="5"/>
        <v>52500</v>
      </c>
      <c r="W34" s="3">
        <f t="shared" si="6"/>
        <v>105000</v>
      </c>
      <c r="X34" s="3">
        <f t="shared" si="7"/>
        <v>52500</v>
      </c>
      <c r="Y34" s="3">
        <f t="shared" si="8"/>
        <v>52500</v>
      </c>
      <c r="Z34" s="3">
        <f t="shared" si="9"/>
        <v>52500</v>
      </c>
    </row>
    <row r="35" hidden="1" spans="1:26">
      <c r="A35" s="7" t="s">
        <v>193</v>
      </c>
      <c r="B35" s="7" t="s">
        <v>194</v>
      </c>
      <c r="C35" s="8"/>
      <c r="D35" s="8">
        <f t="shared" si="1"/>
        <v>2677500</v>
      </c>
      <c r="E35" s="8">
        <f t="shared" si="2"/>
        <v>10500000</v>
      </c>
      <c r="F35" s="12">
        <v>0.255</v>
      </c>
      <c r="G35" s="8">
        <v>1500000</v>
      </c>
      <c r="H35" s="8">
        <v>1500000</v>
      </c>
      <c r="I35" s="8">
        <v>1500000</v>
      </c>
      <c r="J35" s="8">
        <v>1500000</v>
      </c>
      <c r="K35" s="8">
        <v>1500000</v>
      </c>
      <c r="L35" s="8">
        <v>1500000</v>
      </c>
      <c r="M35" s="8">
        <v>1500000</v>
      </c>
      <c r="N35" s="16">
        <v>0</v>
      </c>
      <c r="O35" s="16">
        <v>724623</v>
      </c>
      <c r="P35" s="16">
        <v>688270</v>
      </c>
      <c r="Q35" s="16">
        <v>950074</v>
      </c>
      <c r="R35" s="16">
        <v>937561</v>
      </c>
      <c r="S35" s="3" t="str">
        <f>VLOOKUP(A35,预测!G:AU,41,0)</f>
        <v>磁性位置传感器</v>
      </c>
      <c r="T35" s="3">
        <f t="shared" si="3"/>
        <v>382500</v>
      </c>
      <c r="U35" s="3">
        <f t="shared" si="4"/>
        <v>382500</v>
      </c>
      <c r="V35" s="3">
        <f t="shared" si="5"/>
        <v>382500</v>
      </c>
      <c r="W35" s="3">
        <f t="shared" si="6"/>
        <v>382500</v>
      </c>
      <c r="X35" s="3">
        <f t="shared" si="7"/>
        <v>382500</v>
      </c>
      <c r="Y35" s="3">
        <f t="shared" si="8"/>
        <v>382500</v>
      </c>
      <c r="Z35" s="3">
        <f t="shared" si="9"/>
        <v>382500</v>
      </c>
    </row>
    <row r="36" hidden="1" spans="1:26">
      <c r="A36" s="7" t="s">
        <v>195</v>
      </c>
      <c r="B36" s="7" t="s">
        <v>196</v>
      </c>
      <c r="C36" s="8"/>
      <c r="D36" s="8">
        <f t="shared" si="1"/>
        <v>561571.45236415</v>
      </c>
      <c r="E36" s="8">
        <f t="shared" si="2"/>
        <v>4289000</v>
      </c>
      <c r="F36" s="12">
        <v>0.130932956951306</v>
      </c>
      <c r="G36" s="8">
        <v>500000</v>
      </c>
      <c r="H36" s="8">
        <v>500000</v>
      </c>
      <c r="I36" s="8">
        <v>500000</v>
      </c>
      <c r="J36" s="8">
        <v>1289000</v>
      </c>
      <c r="K36" s="8">
        <v>500000</v>
      </c>
      <c r="L36" s="8">
        <v>500000</v>
      </c>
      <c r="M36" s="8">
        <v>500000</v>
      </c>
      <c r="N36" s="16">
        <v>48160</v>
      </c>
      <c r="O36" s="16">
        <v>528200</v>
      </c>
      <c r="P36" s="16">
        <v>423385</v>
      </c>
      <c r="Q36" s="16">
        <v>455890</v>
      </c>
      <c r="R36" s="16">
        <v>783260</v>
      </c>
      <c r="S36" s="3" t="str">
        <f>VLOOKUP(A36,预测!G:AU,41,0)</f>
        <v>磁性位置传感器</v>
      </c>
      <c r="T36" s="3">
        <f t="shared" si="3"/>
        <v>65466.4784756528</v>
      </c>
      <c r="U36" s="3">
        <f t="shared" si="4"/>
        <v>65466.4784756528</v>
      </c>
      <c r="V36" s="3">
        <f t="shared" si="5"/>
        <v>65466.4784756528</v>
      </c>
      <c r="W36" s="3">
        <f t="shared" si="6"/>
        <v>168772.581510233</v>
      </c>
      <c r="X36" s="3">
        <f t="shared" si="7"/>
        <v>65466.4784756528</v>
      </c>
      <c r="Y36" s="3">
        <f t="shared" si="8"/>
        <v>65466.4784756528</v>
      </c>
      <c r="Z36" s="3">
        <f t="shared" si="9"/>
        <v>65466.4784756528</v>
      </c>
    </row>
    <row r="37" hidden="1" spans="1:26">
      <c r="A37" s="7" t="s">
        <v>197</v>
      </c>
      <c r="B37" s="7" t="s">
        <v>198</v>
      </c>
      <c r="C37" s="8"/>
      <c r="D37" s="8">
        <f t="shared" si="1"/>
        <v>15600</v>
      </c>
      <c r="E37" s="8">
        <f t="shared" si="2"/>
        <v>120000</v>
      </c>
      <c r="F37" s="12">
        <v>0.13</v>
      </c>
      <c r="G37" s="8">
        <v>0</v>
      </c>
      <c r="H37" s="8">
        <v>30000</v>
      </c>
      <c r="I37" s="8">
        <v>0</v>
      </c>
      <c r="J37" s="8">
        <v>30000</v>
      </c>
      <c r="K37" s="8">
        <v>0</v>
      </c>
      <c r="L37" s="8">
        <v>30000</v>
      </c>
      <c r="M37" s="8">
        <v>30000</v>
      </c>
      <c r="N37" s="16">
        <v>36000</v>
      </c>
      <c r="O37" s="16">
        <v>10000</v>
      </c>
      <c r="P37" s="16">
        <v>40000</v>
      </c>
      <c r="Q37" s="16">
        <v>10040</v>
      </c>
      <c r="R37" s="16">
        <v>10005</v>
      </c>
      <c r="S37" s="3" t="str">
        <f>VLOOKUP(A37,预测!G:AU,41,0)</f>
        <v>磁性位置传感器</v>
      </c>
      <c r="T37" s="3">
        <f t="shared" si="3"/>
        <v>0</v>
      </c>
      <c r="U37" s="3">
        <f t="shared" si="4"/>
        <v>3900</v>
      </c>
      <c r="V37" s="3">
        <f t="shared" si="5"/>
        <v>0</v>
      </c>
      <c r="W37" s="3">
        <f t="shared" si="6"/>
        <v>3900</v>
      </c>
      <c r="X37" s="3">
        <f t="shared" si="7"/>
        <v>0</v>
      </c>
      <c r="Y37" s="3">
        <f t="shared" si="8"/>
        <v>3900</v>
      </c>
      <c r="Z37" s="3">
        <f t="shared" si="9"/>
        <v>3900</v>
      </c>
    </row>
    <row r="38" hidden="1" spans="1:26">
      <c r="A38" s="7" t="s">
        <v>199</v>
      </c>
      <c r="B38" s="7" t="s">
        <v>200</v>
      </c>
      <c r="C38" s="8"/>
      <c r="D38" s="8">
        <f t="shared" si="1"/>
        <v>259008.6</v>
      </c>
      <c r="E38" s="8">
        <f t="shared" si="2"/>
        <v>2274000</v>
      </c>
      <c r="F38" s="12">
        <v>0.1139</v>
      </c>
      <c r="G38" s="8">
        <v>474000</v>
      </c>
      <c r="H38" s="8">
        <v>300000</v>
      </c>
      <c r="I38" s="8">
        <v>300000</v>
      </c>
      <c r="J38" s="8">
        <v>300000</v>
      </c>
      <c r="K38" s="8">
        <v>300000</v>
      </c>
      <c r="L38" s="8">
        <v>300000</v>
      </c>
      <c r="M38" s="8">
        <v>300000</v>
      </c>
      <c r="N38" s="16">
        <v>210020</v>
      </c>
      <c r="O38" s="16">
        <v>132025</v>
      </c>
      <c r="P38" s="16">
        <v>102000</v>
      </c>
      <c r="Q38" s="16">
        <v>354200</v>
      </c>
      <c r="R38" s="16">
        <v>324000</v>
      </c>
      <c r="S38" s="3" t="str">
        <f>VLOOKUP(A38,预测!G:AU,41,0)</f>
        <v>磁性位置传感器</v>
      </c>
      <c r="T38" s="3">
        <f t="shared" si="3"/>
        <v>53988.6</v>
      </c>
      <c r="U38" s="3">
        <f t="shared" si="4"/>
        <v>34170</v>
      </c>
      <c r="V38" s="3">
        <f t="shared" si="5"/>
        <v>34170</v>
      </c>
      <c r="W38" s="3">
        <f t="shared" si="6"/>
        <v>34170</v>
      </c>
      <c r="X38" s="3">
        <f t="shared" si="7"/>
        <v>34170</v>
      </c>
      <c r="Y38" s="3">
        <f t="shared" si="8"/>
        <v>34170</v>
      </c>
      <c r="Z38" s="3">
        <f t="shared" si="9"/>
        <v>34170</v>
      </c>
    </row>
    <row r="39" hidden="1" spans="1:26">
      <c r="A39" s="7" t="s">
        <v>201</v>
      </c>
      <c r="B39" s="7" t="s">
        <v>202</v>
      </c>
      <c r="C39" s="8"/>
      <c r="D39" s="8">
        <f t="shared" si="1"/>
        <v>112000</v>
      </c>
      <c r="E39" s="8">
        <f t="shared" si="2"/>
        <v>560000</v>
      </c>
      <c r="F39" s="12">
        <v>0.2</v>
      </c>
      <c r="G39" s="8">
        <v>80000</v>
      </c>
      <c r="H39" s="8">
        <v>80000</v>
      </c>
      <c r="I39" s="8">
        <v>80000</v>
      </c>
      <c r="J39" s="8">
        <v>80000</v>
      </c>
      <c r="K39" s="8">
        <v>80000</v>
      </c>
      <c r="L39" s="8">
        <v>80000</v>
      </c>
      <c r="M39" s="8">
        <v>80000</v>
      </c>
      <c r="N39" s="16">
        <v>117470</v>
      </c>
      <c r="O39" s="16">
        <v>96305</v>
      </c>
      <c r="P39" s="16">
        <v>63020</v>
      </c>
      <c r="Q39" s="16">
        <v>790</v>
      </c>
      <c r="R39" s="16">
        <v>697705</v>
      </c>
      <c r="S39" s="3" t="str">
        <f>VLOOKUP(A39,预测!G:AU,41,0)</f>
        <v>磁性位置传感器</v>
      </c>
      <c r="T39" s="3">
        <f t="shared" si="3"/>
        <v>16000</v>
      </c>
      <c r="U39" s="3">
        <f t="shared" si="4"/>
        <v>16000</v>
      </c>
      <c r="V39" s="3">
        <f t="shared" si="5"/>
        <v>16000</v>
      </c>
      <c r="W39" s="3">
        <f t="shared" si="6"/>
        <v>16000</v>
      </c>
      <c r="X39" s="3">
        <f t="shared" si="7"/>
        <v>16000</v>
      </c>
      <c r="Y39" s="3">
        <f t="shared" si="8"/>
        <v>16000</v>
      </c>
      <c r="Z39" s="3">
        <f t="shared" si="9"/>
        <v>16000</v>
      </c>
    </row>
    <row r="40" hidden="1" spans="1:26">
      <c r="A40" s="7" t="s">
        <v>203</v>
      </c>
      <c r="B40" s="7" t="s">
        <v>204</v>
      </c>
      <c r="C40" s="8"/>
      <c r="D40" s="8">
        <f t="shared" si="1"/>
        <v>1180123.04347826</v>
      </c>
      <c r="E40" s="8">
        <f t="shared" si="2"/>
        <v>3861000</v>
      </c>
      <c r="F40" s="12">
        <v>0.305652173913044</v>
      </c>
      <c r="G40" s="8">
        <v>921000</v>
      </c>
      <c r="H40" s="8">
        <v>390000</v>
      </c>
      <c r="I40" s="8">
        <v>510000</v>
      </c>
      <c r="J40" s="8">
        <v>510000</v>
      </c>
      <c r="K40" s="8">
        <v>510000</v>
      </c>
      <c r="L40" s="8">
        <v>510000</v>
      </c>
      <c r="M40" s="8">
        <v>510000</v>
      </c>
      <c r="N40" s="16">
        <v>240215</v>
      </c>
      <c r="O40" s="16">
        <v>570000</v>
      </c>
      <c r="P40" s="16">
        <v>84000</v>
      </c>
      <c r="Q40" s="16">
        <v>333486</v>
      </c>
      <c r="R40" s="16">
        <v>987130</v>
      </c>
      <c r="S40" s="3" t="str">
        <f>VLOOKUP(A40,预测!G:AU,41,0)</f>
        <v>磁性位置传感器</v>
      </c>
      <c r="T40" s="3">
        <f t="shared" si="3"/>
        <v>281505.652173913</v>
      </c>
      <c r="U40" s="3">
        <f t="shared" si="4"/>
        <v>119204.347826087</v>
      </c>
      <c r="V40" s="3">
        <f t="shared" si="5"/>
        <v>155882.608695652</v>
      </c>
      <c r="W40" s="3">
        <f t="shared" si="6"/>
        <v>155882.608695652</v>
      </c>
      <c r="X40" s="3">
        <f t="shared" si="7"/>
        <v>155882.608695652</v>
      </c>
      <c r="Y40" s="3">
        <f t="shared" si="8"/>
        <v>155882.608695652</v>
      </c>
      <c r="Z40" s="3">
        <f t="shared" si="9"/>
        <v>155882.608695652</v>
      </c>
    </row>
    <row r="41" hidden="1" spans="1:26">
      <c r="A41" s="7" t="s">
        <v>203</v>
      </c>
      <c r="B41" s="7" t="s">
        <v>205</v>
      </c>
      <c r="C41" s="8"/>
      <c r="D41" s="8">
        <f t="shared" si="1"/>
        <v>121920</v>
      </c>
      <c r="E41" s="8">
        <f t="shared" si="2"/>
        <v>381000</v>
      </c>
      <c r="F41" s="12">
        <v>0.32</v>
      </c>
      <c r="G41" s="8"/>
      <c r="H41" s="8"/>
      <c r="I41" s="8">
        <v>381000</v>
      </c>
      <c r="J41" s="8"/>
      <c r="K41" s="8"/>
      <c r="L41" s="8"/>
      <c r="M41" s="8"/>
      <c r="N41" s="16">
        <v>0</v>
      </c>
      <c r="O41" s="16">
        <v>0</v>
      </c>
      <c r="P41" s="16">
        <v>375000</v>
      </c>
      <c r="Q41" s="16">
        <v>1621</v>
      </c>
      <c r="R41" s="16">
        <v>0</v>
      </c>
      <c r="S41" s="3" t="str">
        <f>VLOOKUP(A41,预测!G:AU,41,0)</f>
        <v>磁性位置传感器</v>
      </c>
      <c r="T41" s="3">
        <f t="shared" si="3"/>
        <v>0</v>
      </c>
      <c r="U41" s="3">
        <f t="shared" si="4"/>
        <v>0</v>
      </c>
      <c r="V41" s="3">
        <f t="shared" si="5"/>
        <v>121920</v>
      </c>
      <c r="W41" s="3">
        <f t="shared" si="6"/>
        <v>0</v>
      </c>
      <c r="X41" s="3">
        <f t="shared" si="7"/>
        <v>0</v>
      </c>
      <c r="Y41" s="3">
        <f t="shared" si="8"/>
        <v>0</v>
      </c>
      <c r="Z41" s="3">
        <f t="shared" si="9"/>
        <v>0</v>
      </c>
    </row>
    <row r="42" hidden="1" spans="1:26">
      <c r="A42" s="7" t="s">
        <v>206</v>
      </c>
      <c r="B42" s="7" t="s">
        <v>207</v>
      </c>
      <c r="C42" s="8"/>
      <c r="D42" s="8">
        <f t="shared" si="1"/>
        <v>57000</v>
      </c>
      <c r="E42" s="8">
        <f t="shared" si="2"/>
        <v>150000</v>
      </c>
      <c r="F42" s="12">
        <v>0.38</v>
      </c>
      <c r="G42" s="8"/>
      <c r="H42" s="8"/>
      <c r="I42" s="8">
        <v>30000</v>
      </c>
      <c r="J42" s="8"/>
      <c r="K42" s="8"/>
      <c r="L42" s="8">
        <v>60000</v>
      </c>
      <c r="M42" s="8">
        <v>60000</v>
      </c>
      <c r="N42" s="16">
        <v>113090</v>
      </c>
      <c r="O42" s="16">
        <v>9030</v>
      </c>
      <c r="P42" s="16">
        <v>5</v>
      </c>
      <c r="Q42" s="16">
        <v>51435</v>
      </c>
      <c r="R42" s="16">
        <v>2760</v>
      </c>
      <c r="S42" s="3" t="str">
        <f>VLOOKUP(A42,预测!G:AU,41,0)</f>
        <v>磁性位置传感器</v>
      </c>
      <c r="T42" s="3">
        <f t="shared" si="3"/>
        <v>0</v>
      </c>
      <c r="U42" s="3">
        <f t="shared" si="4"/>
        <v>0</v>
      </c>
      <c r="V42" s="3">
        <f t="shared" si="5"/>
        <v>11400</v>
      </c>
      <c r="W42" s="3">
        <f t="shared" si="6"/>
        <v>0</v>
      </c>
      <c r="X42" s="3">
        <f t="shared" si="7"/>
        <v>0</v>
      </c>
      <c r="Y42" s="3">
        <f t="shared" si="8"/>
        <v>22800</v>
      </c>
      <c r="Z42" s="3">
        <f t="shared" si="9"/>
        <v>22800</v>
      </c>
    </row>
    <row r="43" hidden="1" spans="1:26">
      <c r="A43" s="7" t="s">
        <v>208</v>
      </c>
      <c r="B43" s="7" t="s">
        <v>209</v>
      </c>
      <c r="C43" s="8"/>
      <c r="D43" s="8">
        <f t="shared" si="1"/>
        <v>364000</v>
      </c>
      <c r="E43" s="8">
        <f t="shared" si="2"/>
        <v>700000</v>
      </c>
      <c r="F43" s="12">
        <v>0.52</v>
      </c>
      <c r="G43" s="8">
        <v>100000</v>
      </c>
      <c r="H43" s="8">
        <v>100000</v>
      </c>
      <c r="I43" s="8">
        <v>100000</v>
      </c>
      <c r="J43" s="8">
        <v>100000</v>
      </c>
      <c r="K43" s="8">
        <v>100000</v>
      </c>
      <c r="L43" s="8">
        <v>100000</v>
      </c>
      <c r="M43" s="8">
        <v>100000</v>
      </c>
      <c r="N43" s="16"/>
      <c r="O43" s="16"/>
      <c r="P43" s="16"/>
      <c r="Q43" s="16"/>
      <c r="R43" s="16">
        <v>205000</v>
      </c>
      <c r="S43" s="3" t="str">
        <f>VLOOKUP(A43,预测!G:AU,41,0)</f>
        <v>磁性位置传感器</v>
      </c>
      <c r="T43" s="3">
        <f t="shared" si="3"/>
        <v>52000</v>
      </c>
      <c r="U43" s="3">
        <f t="shared" si="4"/>
        <v>52000</v>
      </c>
      <c r="V43" s="3">
        <f t="shared" si="5"/>
        <v>52000</v>
      </c>
      <c r="W43" s="3">
        <f t="shared" si="6"/>
        <v>52000</v>
      </c>
      <c r="X43" s="3">
        <f t="shared" si="7"/>
        <v>52000</v>
      </c>
      <c r="Y43" s="3">
        <f t="shared" si="8"/>
        <v>52000</v>
      </c>
      <c r="Z43" s="3">
        <f t="shared" si="9"/>
        <v>52000</v>
      </c>
    </row>
    <row r="44" hidden="1" spans="1:26">
      <c r="A44" s="7" t="s">
        <v>210</v>
      </c>
      <c r="B44" s="7" t="s">
        <v>211</v>
      </c>
      <c r="C44" s="8"/>
      <c r="D44" s="8">
        <f t="shared" si="1"/>
        <v>4003830</v>
      </c>
      <c r="E44" s="8">
        <f t="shared" si="2"/>
        <v>27925000</v>
      </c>
      <c r="F44" s="12">
        <v>0.143377976723366</v>
      </c>
      <c r="G44" s="8">
        <v>3680000</v>
      </c>
      <c r="H44" s="8">
        <v>3855000</v>
      </c>
      <c r="I44" s="8">
        <v>4010000</v>
      </c>
      <c r="J44" s="8">
        <v>4335000</v>
      </c>
      <c r="K44" s="8">
        <v>3615000</v>
      </c>
      <c r="L44" s="8">
        <v>4095000</v>
      </c>
      <c r="M44" s="8">
        <v>4335000</v>
      </c>
      <c r="N44" s="16">
        <v>2919577</v>
      </c>
      <c r="O44" s="16">
        <v>3163265</v>
      </c>
      <c r="P44" s="16">
        <v>3475974</v>
      </c>
      <c r="Q44" s="16">
        <v>6225301</v>
      </c>
      <c r="R44" s="16">
        <v>3822000</v>
      </c>
      <c r="S44" s="3" t="str">
        <f>VLOOKUP(A44,预测!G:AU,41,0)</f>
        <v>磁性位置传感器</v>
      </c>
      <c r="T44" s="3">
        <f t="shared" si="3"/>
        <v>527630.954341987</v>
      </c>
      <c r="U44" s="3">
        <f t="shared" si="4"/>
        <v>552722.100268577</v>
      </c>
      <c r="V44" s="3">
        <f t="shared" si="5"/>
        <v>574945.686660698</v>
      </c>
      <c r="W44" s="3">
        <f t="shared" si="6"/>
        <v>621543.529095792</v>
      </c>
      <c r="X44" s="3">
        <f t="shared" si="7"/>
        <v>518311.385854969</v>
      </c>
      <c r="Y44" s="3">
        <f t="shared" si="8"/>
        <v>587132.814682184</v>
      </c>
      <c r="Z44" s="3">
        <f t="shared" si="9"/>
        <v>621543.529095792</v>
      </c>
    </row>
    <row r="45" hidden="1" spans="1:26">
      <c r="A45" s="7" t="s">
        <v>210</v>
      </c>
      <c r="B45" s="7" t="s">
        <v>213</v>
      </c>
      <c r="C45" s="8" t="s">
        <v>214</v>
      </c>
      <c r="D45" s="8">
        <f t="shared" si="1"/>
        <v>315000</v>
      </c>
      <c r="E45" s="8">
        <f t="shared" si="2"/>
        <v>1800000</v>
      </c>
      <c r="F45" s="12">
        <v>0.175</v>
      </c>
      <c r="G45" s="8">
        <v>900000</v>
      </c>
      <c r="H45" s="8">
        <v>900000</v>
      </c>
      <c r="I45" s="8"/>
      <c r="J45" s="8"/>
      <c r="K45" s="8"/>
      <c r="L45" s="8"/>
      <c r="M45" s="8"/>
      <c r="N45" s="16">
        <v>0</v>
      </c>
      <c r="O45" s="16">
        <v>0</v>
      </c>
      <c r="P45" s="16">
        <v>0</v>
      </c>
      <c r="Q45" s="16">
        <v>573318</v>
      </c>
      <c r="R45" s="16">
        <v>0</v>
      </c>
      <c r="S45" s="3" t="str">
        <f>VLOOKUP(A45,预测!G:AU,41,0)</f>
        <v>磁性位置传感器</v>
      </c>
      <c r="T45" s="3">
        <f t="shared" si="3"/>
        <v>157500</v>
      </c>
      <c r="U45" s="3">
        <f t="shared" si="4"/>
        <v>157500</v>
      </c>
      <c r="V45" s="3">
        <f t="shared" si="5"/>
        <v>0</v>
      </c>
      <c r="W45" s="3">
        <f t="shared" si="6"/>
        <v>0</v>
      </c>
      <c r="X45" s="3">
        <f t="shared" si="7"/>
        <v>0</v>
      </c>
      <c r="Y45" s="3">
        <f t="shared" si="8"/>
        <v>0</v>
      </c>
      <c r="Z45" s="3">
        <f t="shared" si="9"/>
        <v>0</v>
      </c>
    </row>
    <row r="46" hidden="1" spans="1:26">
      <c r="A46" s="7" t="s">
        <v>210</v>
      </c>
      <c r="B46" s="7" t="s">
        <v>215</v>
      </c>
      <c r="C46" s="8"/>
      <c r="D46" s="8">
        <f t="shared" si="1"/>
        <v>1997600</v>
      </c>
      <c r="E46" s="8">
        <f t="shared" si="2"/>
        <v>15301000</v>
      </c>
      <c r="F46" s="12">
        <v>0.130553558590942</v>
      </c>
      <c r="G46" s="8">
        <v>2284000</v>
      </c>
      <c r="H46" s="8">
        <v>2167000</v>
      </c>
      <c r="I46" s="8">
        <v>2167000</v>
      </c>
      <c r="J46" s="8">
        <v>2167000</v>
      </c>
      <c r="K46" s="8">
        <v>2172000</v>
      </c>
      <c r="L46" s="8">
        <v>2172000</v>
      </c>
      <c r="M46" s="8">
        <v>2172000</v>
      </c>
      <c r="N46" s="16">
        <v>843000</v>
      </c>
      <c r="O46" s="16">
        <v>1149000</v>
      </c>
      <c r="P46" s="16">
        <v>1403601</v>
      </c>
      <c r="Q46" s="16">
        <v>2028000</v>
      </c>
      <c r="R46" s="16">
        <v>3083619</v>
      </c>
      <c r="S46" s="3" t="str">
        <f>VLOOKUP(A46,预测!G:AU,41,0)</f>
        <v>磁性位置传感器</v>
      </c>
      <c r="T46" s="3">
        <f t="shared" si="3"/>
        <v>298184.327821711</v>
      </c>
      <c r="U46" s="3">
        <f t="shared" si="4"/>
        <v>282909.561466571</v>
      </c>
      <c r="V46" s="3">
        <f t="shared" si="5"/>
        <v>282909.561466571</v>
      </c>
      <c r="W46" s="3">
        <f t="shared" si="6"/>
        <v>282909.561466571</v>
      </c>
      <c r="X46" s="3">
        <f t="shared" si="7"/>
        <v>283562.329259526</v>
      </c>
      <c r="Y46" s="3">
        <f t="shared" si="8"/>
        <v>283562.329259526</v>
      </c>
      <c r="Z46" s="3">
        <f t="shared" si="9"/>
        <v>283562.329259526</v>
      </c>
    </row>
    <row r="47" hidden="1" spans="1:26">
      <c r="A47" s="7" t="s">
        <v>218</v>
      </c>
      <c r="B47" s="7" t="s">
        <v>219</v>
      </c>
      <c r="C47" s="8"/>
      <c r="D47" s="8">
        <f t="shared" si="1"/>
        <v>672000</v>
      </c>
      <c r="E47" s="8">
        <f t="shared" si="2"/>
        <v>4200000</v>
      </c>
      <c r="F47" s="12">
        <v>0.16</v>
      </c>
      <c r="G47" s="8">
        <v>600000</v>
      </c>
      <c r="H47" s="8">
        <v>600000</v>
      </c>
      <c r="I47" s="8">
        <v>600000</v>
      </c>
      <c r="J47" s="8">
        <v>600000</v>
      </c>
      <c r="K47" s="8">
        <v>600000</v>
      </c>
      <c r="L47" s="8">
        <v>600000</v>
      </c>
      <c r="M47" s="8">
        <v>600000</v>
      </c>
      <c r="N47" s="16">
        <v>1934849</v>
      </c>
      <c r="O47" s="16">
        <v>220020</v>
      </c>
      <c r="P47" s="16">
        <v>530010</v>
      </c>
      <c r="Q47" s="16">
        <v>110020</v>
      </c>
      <c r="R47" s="16">
        <v>642200</v>
      </c>
      <c r="S47" s="3" t="str">
        <f>VLOOKUP(A47,预测!G:AU,41,0)</f>
        <v>磁性位置传感器</v>
      </c>
      <c r="T47" s="3">
        <f t="shared" si="3"/>
        <v>96000</v>
      </c>
      <c r="U47" s="3">
        <f t="shared" si="4"/>
        <v>96000</v>
      </c>
      <c r="V47" s="3">
        <f t="shared" si="5"/>
        <v>96000</v>
      </c>
      <c r="W47" s="3">
        <f t="shared" si="6"/>
        <v>96000</v>
      </c>
      <c r="X47" s="3">
        <f t="shared" si="7"/>
        <v>96000</v>
      </c>
      <c r="Y47" s="3">
        <f t="shared" si="8"/>
        <v>96000</v>
      </c>
      <c r="Z47" s="3">
        <f t="shared" si="9"/>
        <v>96000</v>
      </c>
    </row>
    <row r="48" hidden="1" spans="1:26">
      <c r="A48" s="7" t="s">
        <v>218</v>
      </c>
      <c r="B48" s="7" t="s">
        <v>220</v>
      </c>
      <c r="C48" s="8"/>
      <c r="D48" s="8">
        <f t="shared" si="1"/>
        <v>234000</v>
      </c>
      <c r="E48" s="8">
        <f t="shared" si="2"/>
        <v>1800000</v>
      </c>
      <c r="F48" s="12">
        <v>0.13</v>
      </c>
      <c r="G48" s="8">
        <v>400000</v>
      </c>
      <c r="H48" s="8">
        <v>0</v>
      </c>
      <c r="I48" s="8">
        <v>400000</v>
      </c>
      <c r="J48" s="8">
        <v>0</v>
      </c>
      <c r="K48" s="8">
        <v>600000</v>
      </c>
      <c r="L48" s="8">
        <v>0</v>
      </c>
      <c r="M48" s="8">
        <v>400000</v>
      </c>
      <c r="N48" s="16">
        <v>838723</v>
      </c>
      <c r="O48" s="16">
        <v>0</v>
      </c>
      <c r="P48" s="16">
        <v>309077</v>
      </c>
      <c r="Q48" s="16">
        <v>0</v>
      </c>
      <c r="R48" s="16">
        <v>0</v>
      </c>
      <c r="S48" s="3" t="str">
        <f>VLOOKUP(A48,预测!G:AU,41,0)</f>
        <v>磁性位置传感器</v>
      </c>
      <c r="T48" s="3">
        <f t="shared" si="3"/>
        <v>52000</v>
      </c>
      <c r="U48" s="3">
        <f t="shared" si="4"/>
        <v>0</v>
      </c>
      <c r="V48" s="3">
        <f t="shared" si="5"/>
        <v>52000</v>
      </c>
      <c r="W48" s="3">
        <f t="shared" si="6"/>
        <v>0</v>
      </c>
      <c r="X48" s="3">
        <f t="shared" si="7"/>
        <v>78000</v>
      </c>
      <c r="Y48" s="3">
        <f t="shared" si="8"/>
        <v>0</v>
      </c>
      <c r="Z48" s="3">
        <f t="shared" si="9"/>
        <v>52000</v>
      </c>
    </row>
    <row r="49" hidden="1" spans="1:26">
      <c r="A49" s="7" t="s">
        <v>1637</v>
      </c>
      <c r="B49" s="7" t="s">
        <v>1638</v>
      </c>
      <c r="C49" s="8"/>
      <c r="D49" s="8">
        <f t="shared" si="1"/>
        <v>105000</v>
      </c>
      <c r="E49" s="8"/>
      <c r="F49" s="12">
        <v>0.175</v>
      </c>
      <c r="G49" s="8"/>
      <c r="H49" s="8">
        <v>600000</v>
      </c>
      <c r="I49" s="8"/>
      <c r="J49" s="8"/>
      <c r="K49" s="8"/>
      <c r="L49" s="8"/>
      <c r="M49" s="8"/>
      <c r="N49" s="16"/>
      <c r="O49" s="16"/>
      <c r="P49" s="16"/>
      <c r="Q49" s="16"/>
      <c r="R49" s="16"/>
      <c r="S49" s="3" t="s">
        <v>81</v>
      </c>
      <c r="T49" s="3">
        <f t="shared" si="3"/>
        <v>0</v>
      </c>
      <c r="U49" s="3">
        <f t="shared" si="4"/>
        <v>105000</v>
      </c>
      <c r="V49" s="3">
        <f t="shared" si="5"/>
        <v>0</v>
      </c>
      <c r="W49" s="3">
        <f t="shared" si="6"/>
        <v>0</v>
      </c>
      <c r="X49" s="3">
        <f t="shared" si="7"/>
        <v>0</v>
      </c>
      <c r="Y49" s="3">
        <f t="shared" si="8"/>
        <v>0</v>
      </c>
      <c r="Z49" s="3">
        <f t="shared" si="9"/>
        <v>0</v>
      </c>
    </row>
    <row r="50" hidden="1" spans="1:26">
      <c r="A50" s="7" t="s">
        <v>218</v>
      </c>
      <c r="B50" s="7" t="s">
        <v>221</v>
      </c>
      <c r="C50" s="8"/>
      <c r="D50" s="8">
        <f t="shared" si="1"/>
        <v>216000</v>
      </c>
      <c r="E50" s="8">
        <f t="shared" si="2"/>
        <v>1200000</v>
      </c>
      <c r="F50" s="12">
        <v>0.18</v>
      </c>
      <c r="G50" s="8">
        <v>0</v>
      </c>
      <c r="H50" s="8">
        <v>200000</v>
      </c>
      <c r="I50" s="8">
        <v>200000</v>
      </c>
      <c r="J50" s="8">
        <v>200000</v>
      </c>
      <c r="K50" s="8">
        <v>200000</v>
      </c>
      <c r="L50" s="8">
        <v>200000</v>
      </c>
      <c r="M50" s="8">
        <v>200000</v>
      </c>
      <c r="N50" s="16">
        <v>113000</v>
      </c>
      <c r="O50" s="16">
        <v>167000</v>
      </c>
      <c r="P50" s="16">
        <v>0</v>
      </c>
      <c r="Q50" s="16">
        <v>241000</v>
      </c>
      <c r="R50" s="16">
        <v>356230</v>
      </c>
      <c r="S50" s="3" t="str">
        <f>VLOOKUP(A50,预测!G:AU,41,0)</f>
        <v>磁性位置传感器</v>
      </c>
      <c r="T50" s="3">
        <f t="shared" si="3"/>
        <v>0</v>
      </c>
      <c r="U50" s="3">
        <f t="shared" si="4"/>
        <v>36000</v>
      </c>
      <c r="V50" s="3">
        <f t="shared" si="5"/>
        <v>36000</v>
      </c>
      <c r="W50" s="3">
        <f t="shared" si="6"/>
        <v>36000</v>
      </c>
      <c r="X50" s="3">
        <f t="shared" si="7"/>
        <v>36000</v>
      </c>
      <c r="Y50" s="3">
        <f t="shared" si="8"/>
        <v>36000</v>
      </c>
      <c r="Z50" s="3">
        <f t="shared" si="9"/>
        <v>36000</v>
      </c>
    </row>
    <row r="51" hidden="1" spans="1:26">
      <c r="A51" s="7" t="s">
        <v>218</v>
      </c>
      <c r="B51" s="7" t="s">
        <v>222</v>
      </c>
      <c r="C51" s="8"/>
      <c r="D51" s="8">
        <f t="shared" si="1"/>
        <v>390000</v>
      </c>
      <c r="E51" s="8">
        <f t="shared" si="2"/>
        <v>3000000</v>
      </c>
      <c r="F51" s="12">
        <v>0.13</v>
      </c>
      <c r="G51" s="8"/>
      <c r="H51" s="8">
        <v>1000000</v>
      </c>
      <c r="I51" s="8">
        <v>1000000</v>
      </c>
      <c r="J51" s="8"/>
      <c r="K51" s="8"/>
      <c r="L51" s="8">
        <v>1000000</v>
      </c>
      <c r="M51" s="8"/>
      <c r="N51" s="16">
        <v>0</v>
      </c>
      <c r="O51" s="16">
        <v>0</v>
      </c>
      <c r="P51" s="16">
        <v>1925118</v>
      </c>
      <c r="Q51" s="16">
        <v>0</v>
      </c>
      <c r="R51" s="16">
        <v>0</v>
      </c>
      <c r="S51" s="3" t="str">
        <f>VLOOKUP(A51,预测!G:AU,41,0)</f>
        <v>磁性位置传感器</v>
      </c>
      <c r="T51" s="3">
        <f t="shared" si="3"/>
        <v>0</v>
      </c>
      <c r="U51" s="3">
        <f t="shared" si="4"/>
        <v>130000</v>
      </c>
      <c r="V51" s="3">
        <f t="shared" si="5"/>
        <v>130000</v>
      </c>
      <c r="W51" s="3">
        <f t="shared" si="6"/>
        <v>0</v>
      </c>
      <c r="X51" s="3">
        <f t="shared" si="7"/>
        <v>0</v>
      </c>
      <c r="Y51" s="3">
        <f t="shared" si="8"/>
        <v>130000</v>
      </c>
      <c r="Z51" s="3">
        <f t="shared" si="9"/>
        <v>0</v>
      </c>
    </row>
    <row r="52" hidden="1" spans="1:26">
      <c r="A52" s="7" t="s">
        <v>223</v>
      </c>
      <c r="B52" s="7" t="s">
        <v>224</v>
      </c>
      <c r="C52" s="8"/>
      <c r="D52" s="8">
        <f t="shared" si="1"/>
        <v>252000</v>
      </c>
      <c r="E52" s="8">
        <f t="shared" si="2"/>
        <v>1800000</v>
      </c>
      <c r="F52" s="12">
        <v>0.14</v>
      </c>
      <c r="G52" s="8">
        <v>0</v>
      </c>
      <c r="H52" s="8">
        <v>600000</v>
      </c>
      <c r="I52" s="8">
        <v>0</v>
      </c>
      <c r="J52" s="8">
        <v>600000</v>
      </c>
      <c r="K52" s="8">
        <v>0</v>
      </c>
      <c r="L52" s="8">
        <v>0</v>
      </c>
      <c r="M52" s="8">
        <v>600000</v>
      </c>
      <c r="N52" s="16"/>
      <c r="O52" s="16"/>
      <c r="P52" s="16"/>
      <c r="Q52" s="16"/>
      <c r="R52" s="16"/>
      <c r="S52" s="3" t="str">
        <f>VLOOKUP(A52,预测!G:AU,41,0)</f>
        <v>磁性位置传感器</v>
      </c>
      <c r="T52" s="3">
        <f t="shared" si="3"/>
        <v>0</v>
      </c>
      <c r="U52" s="3">
        <f t="shared" si="4"/>
        <v>84000</v>
      </c>
      <c r="V52" s="3">
        <f t="shared" si="5"/>
        <v>0</v>
      </c>
      <c r="W52" s="3">
        <f t="shared" si="6"/>
        <v>84000</v>
      </c>
      <c r="X52" s="3">
        <f t="shared" si="7"/>
        <v>0</v>
      </c>
      <c r="Y52" s="3">
        <f t="shared" si="8"/>
        <v>0</v>
      </c>
      <c r="Z52" s="3">
        <f t="shared" si="9"/>
        <v>84000</v>
      </c>
    </row>
    <row r="53" hidden="1" spans="1:26">
      <c r="A53" s="7" t="s">
        <v>225</v>
      </c>
      <c r="B53" s="7" t="s">
        <v>226</v>
      </c>
      <c r="C53" s="8"/>
      <c r="D53" s="8">
        <f t="shared" si="1"/>
        <v>251400</v>
      </c>
      <c r="E53" s="8">
        <f t="shared" si="2"/>
        <v>740000</v>
      </c>
      <c r="F53" s="12">
        <v>0.33972972972973</v>
      </c>
      <c r="G53" s="8">
        <v>20000</v>
      </c>
      <c r="H53" s="8">
        <v>20000</v>
      </c>
      <c r="I53" s="8">
        <v>140000</v>
      </c>
      <c r="J53" s="8">
        <v>140000</v>
      </c>
      <c r="K53" s="8">
        <v>140000</v>
      </c>
      <c r="L53" s="8">
        <v>140000</v>
      </c>
      <c r="M53" s="8">
        <v>140000</v>
      </c>
      <c r="N53" s="16">
        <v>129000</v>
      </c>
      <c r="O53" s="16">
        <v>90000</v>
      </c>
      <c r="P53" s="16">
        <v>141000</v>
      </c>
      <c r="Q53" s="16">
        <v>51000</v>
      </c>
      <c r="R53" s="16">
        <v>51000</v>
      </c>
      <c r="S53" s="3" t="str">
        <f>VLOOKUP(A53,预测!G:AU,41,0)</f>
        <v>磁性位置传感器</v>
      </c>
      <c r="T53" s="3">
        <f t="shared" si="3"/>
        <v>6794.5945945946</v>
      </c>
      <c r="U53" s="3">
        <f t="shared" si="4"/>
        <v>6794.5945945946</v>
      </c>
      <c r="V53" s="3">
        <f t="shared" si="5"/>
        <v>47562.1621621622</v>
      </c>
      <c r="W53" s="3">
        <f t="shared" si="6"/>
        <v>47562.1621621622</v>
      </c>
      <c r="X53" s="3">
        <f t="shared" si="7"/>
        <v>47562.1621621622</v>
      </c>
      <c r="Y53" s="3">
        <f t="shared" si="8"/>
        <v>47562.1621621622</v>
      </c>
      <c r="Z53" s="3">
        <f t="shared" si="9"/>
        <v>47562.1621621622</v>
      </c>
    </row>
    <row r="54" hidden="1" spans="1:26">
      <c r="A54" s="7" t="s">
        <v>227</v>
      </c>
      <c r="B54" s="7" t="s">
        <v>228</v>
      </c>
      <c r="C54" s="8"/>
      <c r="D54" s="8">
        <f t="shared" si="1"/>
        <v>96197</v>
      </c>
      <c r="E54" s="8">
        <f t="shared" si="2"/>
        <v>185000</v>
      </c>
      <c r="F54" s="12">
        <v>0.519983783783784</v>
      </c>
      <c r="G54" s="8">
        <v>20000</v>
      </c>
      <c r="H54" s="8">
        <v>20000</v>
      </c>
      <c r="I54" s="8">
        <v>20000</v>
      </c>
      <c r="J54" s="8">
        <v>20000</v>
      </c>
      <c r="K54" s="8">
        <v>35000</v>
      </c>
      <c r="L54" s="8">
        <v>35000</v>
      </c>
      <c r="M54" s="8">
        <v>35000</v>
      </c>
      <c r="N54" s="16"/>
      <c r="O54" s="16"/>
      <c r="P54" s="16"/>
      <c r="Q54" s="16"/>
      <c r="R54" s="16"/>
      <c r="S54" s="3" t="str">
        <f>VLOOKUP(A54,预测!G:AU,41,0)</f>
        <v>磁性位置传感器</v>
      </c>
      <c r="T54" s="3">
        <f t="shared" si="3"/>
        <v>10399.6756756757</v>
      </c>
      <c r="U54" s="3">
        <f t="shared" si="4"/>
        <v>10399.6756756757</v>
      </c>
      <c r="V54" s="3">
        <f t="shared" si="5"/>
        <v>10399.6756756757</v>
      </c>
      <c r="W54" s="3">
        <f t="shared" si="6"/>
        <v>10399.6756756757</v>
      </c>
      <c r="X54" s="3">
        <f t="shared" si="7"/>
        <v>18199.4324324324</v>
      </c>
      <c r="Y54" s="3">
        <f t="shared" si="8"/>
        <v>18199.4324324324</v>
      </c>
      <c r="Z54" s="3">
        <f t="shared" si="9"/>
        <v>18199.4324324324</v>
      </c>
    </row>
    <row r="55" hidden="1" spans="1:26">
      <c r="A55" s="7" t="s">
        <v>229</v>
      </c>
      <c r="B55" s="7" t="s">
        <v>230</v>
      </c>
      <c r="C55" s="8"/>
      <c r="D55" s="8">
        <f t="shared" si="1"/>
        <v>89340</v>
      </c>
      <c r="E55" s="8">
        <f t="shared" si="2"/>
        <v>192000</v>
      </c>
      <c r="F55" s="12">
        <v>0.4653125</v>
      </c>
      <c r="G55" s="8">
        <v>40000</v>
      </c>
      <c r="H55" s="8">
        <v>22000</v>
      </c>
      <c r="I55" s="8">
        <v>10000</v>
      </c>
      <c r="J55" s="8">
        <v>20000</v>
      </c>
      <c r="K55" s="8">
        <v>20000</v>
      </c>
      <c r="L55" s="8">
        <v>40000</v>
      </c>
      <c r="M55" s="8">
        <v>40000</v>
      </c>
      <c r="N55" s="16">
        <v>60000</v>
      </c>
      <c r="O55" s="16">
        <v>60000</v>
      </c>
      <c r="P55" s="16">
        <v>4000</v>
      </c>
      <c r="Q55" s="16">
        <v>60000</v>
      </c>
      <c r="R55" s="16">
        <v>21000</v>
      </c>
      <c r="S55" s="3" t="str">
        <f>VLOOKUP(A55,预测!G:AU,41,0)</f>
        <v>磁性位置传感器</v>
      </c>
      <c r="T55" s="3">
        <f t="shared" si="3"/>
        <v>18612.5</v>
      </c>
      <c r="U55" s="3">
        <f t="shared" si="4"/>
        <v>10236.875</v>
      </c>
      <c r="V55" s="3">
        <f t="shared" si="5"/>
        <v>4653.125</v>
      </c>
      <c r="W55" s="3">
        <f t="shared" si="6"/>
        <v>9306.25</v>
      </c>
      <c r="X55" s="3">
        <f t="shared" si="7"/>
        <v>9306.25</v>
      </c>
      <c r="Y55" s="3">
        <f t="shared" si="8"/>
        <v>18612.5</v>
      </c>
      <c r="Z55" s="3">
        <f t="shared" si="9"/>
        <v>18612.5</v>
      </c>
    </row>
    <row r="56" hidden="1" spans="1:26">
      <c r="A56" s="7" t="s">
        <v>231</v>
      </c>
      <c r="B56" s="7" t="s">
        <v>232</v>
      </c>
      <c r="C56" s="8"/>
      <c r="D56" s="8">
        <f t="shared" si="1"/>
        <v>1047760</v>
      </c>
      <c r="E56" s="8">
        <f t="shared" si="2"/>
        <v>2069000</v>
      </c>
      <c r="F56" s="12">
        <v>0.506408893185114</v>
      </c>
      <c r="G56" s="8">
        <v>28000</v>
      </c>
      <c r="H56" s="8">
        <v>338000</v>
      </c>
      <c r="I56" s="8">
        <v>329000</v>
      </c>
      <c r="J56" s="8">
        <v>329000</v>
      </c>
      <c r="K56" s="8">
        <v>341000</v>
      </c>
      <c r="L56" s="8">
        <v>341000</v>
      </c>
      <c r="M56" s="8">
        <v>363000</v>
      </c>
      <c r="N56" s="16">
        <v>3000</v>
      </c>
      <c r="O56" s="16">
        <v>3000</v>
      </c>
      <c r="P56" s="16">
        <v>51000</v>
      </c>
      <c r="Q56" s="16"/>
      <c r="R56" s="16">
        <v>63000</v>
      </c>
      <c r="S56" s="3" t="str">
        <f>VLOOKUP(A56,预测!G:AU,41,0)</f>
        <v>磁性位置传感器</v>
      </c>
      <c r="T56" s="3">
        <f t="shared" si="3"/>
        <v>14179.4490091832</v>
      </c>
      <c r="U56" s="3">
        <f t="shared" si="4"/>
        <v>171166.205896568</v>
      </c>
      <c r="V56" s="3">
        <f t="shared" si="5"/>
        <v>166608.525857902</v>
      </c>
      <c r="W56" s="3">
        <f t="shared" si="6"/>
        <v>166608.525857902</v>
      </c>
      <c r="X56" s="3">
        <f t="shared" si="7"/>
        <v>172685.432576124</v>
      </c>
      <c r="Y56" s="3">
        <f t="shared" si="8"/>
        <v>172685.432576124</v>
      </c>
      <c r="Z56" s="3">
        <f t="shared" si="9"/>
        <v>183826.428226196</v>
      </c>
    </row>
    <row r="57" hidden="1" spans="1:26">
      <c r="A57" s="7" t="s">
        <v>231</v>
      </c>
      <c r="B57" s="7" t="s">
        <v>1639</v>
      </c>
      <c r="C57" s="8"/>
      <c r="D57" s="8">
        <f t="shared" si="1"/>
        <v>0</v>
      </c>
      <c r="E57" s="8"/>
      <c r="F57" s="14">
        <v>0.46</v>
      </c>
      <c r="G57" s="8"/>
      <c r="H57" s="8"/>
      <c r="I57" s="8"/>
      <c r="J57" s="8"/>
      <c r="K57" s="8"/>
      <c r="L57" s="8"/>
      <c r="M57" s="8"/>
      <c r="N57" s="16"/>
      <c r="O57" s="16"/>
      <c r="P57" s="16"/>
      <c r="Q57" s="16">
        <v>123000</v>
      </c>
      <c r="R57" s="16">
        <v>126296</v>
      </c>
      <c r="S57" s="3" t="str">
        <f>VLOOKUP(A57,预测!G:AU,41,0)</f>
        <v>磁性位置传感器</v>
      </c>
      <c r="T57" s="3">
        <f t="shared" si="3"/>
        <v>0</v>
      </c>
      <c r="U57" s="3">
        <f t="shared" si="4"/>
        <v>0</v>
      </c>
      <c r="V57" s="3">
        <f t="shared" si="5"/>
        <v>0</v>
      </c>
      <c r="W57" s="3">
        <f t="shared" si="6"/>
        <v>0</v>
      </c>
      <c r="X57" s="3">
        <f t="shared" si="7"/>
        <v>0</v>
      </c>
      <c r="Y57" s="3">
        <f t="shared" si="8"/>
        <v>0</v>
      </c>
      <c r="Z57" s="3">
        <f t="shared" si="9"/>
        <v>0</v>
      </c>
    </row>
    <row r="58" hidden="1" spans="1:26">
      <c r="A58" s="7" t="s">
        <v>233</v>
      </c>
      <c r="B58" s="7" t="s">
        <v>234</v>
      </c>
      <c r="C58" s="8"/>
      <c r="D58" s="8">
        <f t="shared" si="1"/>
        <v>0</v>
      </c>
      <c r="E58" s="8">
        <f t="shared" si="2"/>
        <v>0</v>
      </c>
      <c r="F58" s="12">
        <v>0.3</v>
      </c>
      <c r="G58" s="8"/>
      <c r="H58" s="8"/>
      <c r="I58" s="8"/>
      <c r="J58" s="8"/>
      <c r="K58" s="8"/>
      <c r="L58" s="8"/>
      <c r="M58" s="8"/>
      <c r="N58" s="16">
        <v>0</v>
      </c>
      <c r="O58" s="16">
        <v>5000</v>
      </c>
      <c r="P58" s="16">
        <v>5000</v>
      </c>
      <c r="Q58" s="16">
        <v>0</v>
      </c>
      <c r="R58" s="16">
        <v>0</v>
      </c>
      <c r="S58" s="3" t="str">
        <f>VLOOKUP(A58,预测!G:AU,41,0)</f>
        <v>磁性位置传感器</v>
      </c>
      <c r="T58" s="3">
        <f t="shared" si="3"/>
        <v>0</v>
      </c>
      <c r="U58" s="3">
        <f t="shared" si="4"/>
        <v>0</v>
      </c>
      <c r="V58" s="3">
        <f t="shared" si="5"/>
        <v>0</v>
      </c>
      <c r="W58" s="3">
        <f t="shared" si="6"/>
        <v>0</v>
      </c>
      <c r="X58" s="3">
        <f t="shared" si="7"/>
        <v>0</v>
      </c>
      <c r="Y58" s="3">
        <f t="shared" si="8"/>
        <v>0</v>
      </c>
      <c r="Z58" s="3">
        <f t="shared" si="9"/>
        <v>0</v>
      </c>
    </row>
    <row r="59" hidden="1" spans="1:26">
      <c r="A59" s="7" t="s">
        <v>236</v>
      </c>
      <c r="B59" s="7" t="s">
        <v>237</v>
      </c>
      <c r="C59" s="8"/>
      <c r="D59" s="8">
        <f t="shared" si="1"/>
        <v>713020</v>
      </c>
      <c r="E59" s="8">
        <f t="shared" si="2"/>
        <v>2776000</v>
      </c>
      <c r="F59" s="12">
        <v>0.256851585014409</v>
      </c>
      <c r="G59" s="8">
        <v>310000</v>
      </c>
      <c r="H59" s="8">
        <v>316000</v>
      </c>
      <c r="I59" s="8">
        <v>430000</v>
      </c>
      <c r="J59" s="8">
        <v>430000</v>
      </c>
      <c r="K59" s="8">
        <v>430000</v>
      </c>
      <c r="L59" s="8">
        <v>430000</v>
      </c>
      <c r="M59" s="8">
        <v>430000</v>
      </c>
      <c r="N59" s="16">
        <v>201010</v>
      </c>
      <c r="O59" s="16">
        <v>306000</v>
      </c>
      <c r="P59" s="16">
        <v>123005</v>
      </c>
      <c r="Q59" s="16">
        <v>354005</v>
      </c>
      <c r="R59" s="16">
        <v>386015</v>
      </c>
      <c r="S59" s="3" t="str">
        <f>VLOOKUP(A59,预测!G:AU,41,0)</f>
        <v>磁性位置传感器</v>
      </c>
      <c r="T59" s="3">
        <f t="shared" si="3"/>
        <v>79623.9913544669</v>
      </c>
      <c r="U59" s="3">
        <f t="shared" si="4"/>
        <v>81165.1008645533</v>
      </c>
      <c r="V59" s="3">
        <f t="shared" si="5"/>
        <v>110446.181556196</v>
      </c>
      <c r="W59" s="3">
        <f t="shared" si="6"/>
        <v>110446.181556196</v>
      </c>
      <c r="X59" s="3">
        <f t="shared" si="7"/>
        <v>110446.181556196</v>
      </c>
      <c r="Y59" s="3">
        <f t="shared" si="8"/>
        <v>110446.181556196</v>
      </c>
      <c r="Z59" s="3">
        <f t="shared" si="9"/>
        <v>110446.181556196</v>
      </c>
    </row>
    <row r="60" hidden="1" spans="1:26">
      <c r="A60" s="7" t="s">
        <v>238</v>
      </c>
      <c r="B60" s="7" t="s">
        <v>239</v>
      </c>
      <c r="C60" s="8"/>
      <c r="D60" s="8">
        <f t="shared" si="1"/>
        <v>346909.090909091</v>
      </c>
      <c r="E60" s="8">
        <f t="shared" si="2"/>
        <v>424000</v>
      </c>
      <c r="F60" s="12">
        <v>0.818181818181818</v>
      </c>
      <c r="G60" s="8">
        <v>159000</v>
      </c>
      <c r="H60" s="8">
        <v>120000</v>
      </c>
      <c r="I60" s="8">
        <v>10000</v>
      </c>
      <c r="J60" s="8">
        <v>20000</v>
      </c>
      <c r="K60" s="8">
        <v>25000</v>
      </c>
      <c r="L60" s="8">
        <v>45000</v>
      </c>
      <c r="M60" s="8">
        <v>45000</v>
      </c>
      <c r="N60" s="16">
        <v>111000</v>
      </c>
      <c r="O60" s="16">
        <v>12000</v>
      </c>
      <c r="P60" s="16">
        <v>3000</v>
      </c>
      <c r="Q60" s="16">
        <v>0</v>
      </c>
      <c r="R60" s="16">
        <v>84000</v>
      </c>
      <c r="S60" s="3" t="str">
        <f>VLOOKUP(A60,预测!G:AU,41,0)</f>
        <v>磁性位置传感器</v>
      </c>
      <c r="T60" s="3">
        <f t="shared" si="3"/>
        <v>130090.909090909</v>
      </c>
      <c r="U60" s="3">
        <f t="shared" si="4"/>
        <v>98181.8181818182</v>
      </c>
      <c r="V60" s="3">
        <f t="shared" si="5"/>
        <v>8181.81818181818</v>
      </c>
      <c r="W60" s="3">
        <f t="shared" si="6"/>
        <v>16363.6363636364</v>
      </c>
      <c r="X60" s="3">
        <f t="shared" si="7"/>
        <v>20454.5454545455</v>
      </c>
      <c r="Y60" s="3">
        <f t="shared" si="8"/>
        <v>36818.1818181818</v>
      </c>
      <c r="Z60" s="3">
        <f t="shared" si="9"/>
        <v>36818.1818181818</v>
      </c>
    </row>
    <row r="61" hidden="1" spans="1:26">
      <c r="A61" s="7" t="s">
        <v>240</v>
      </c>
      <c r="B61" s="7" t="s">
        <v>241</v>
      </c>
      <c r="C61" s="8"/>
      <c r="D61" s="8">
        <f t="shared" si="1"/>
        <v>231000</v>
      </c>
      <c r="E61" s="8">
        <f t="shared" si="2"/>
        <v>420000</v>
      </c>
      <c r="F61" s="12">
        <v>0.55</v>
      </c>
      <c r="G61" s="8">
        <v>60000</v>
      </c>
      <c r="H61" s="8">
        <v>60000</v>
      </c>
      <c r="I61" s="8">
        <v>60000</v>
      </c>
      <c r="J61" s="8">
        <v>60000</v>
      </c>
      <c r="K61" s="8">
        <v>60000</v>
      </c>
      <c r="L61" s="8">
        <v>60000</v>
      </c>
      <c r="M61" s="8">
        <v>60000</v>
      </c>
      <c r="N61" s="16">
        <v>66720</v>
      </c>
      <c r="O61" s="16">
        <v>36000</v>
      </c>
      <c r="P61" s="16">
        <v>45000</v>
      </c>
      <c r="Q61" s="16">
        <v>66000</v>
      </c>
      <c r="R61" s="16">
        <v>57010</v>
      </c>
      <c r="S61" s="3" t="str">
        <f>VLOOKUP(A61,预测!G:AU,41,0)</f>
        <v>磁性位置传感器</v>
      </c>
      <c r="T61" s="3">
        <f t="shared" si="3"/>
        <v>33000</v>
      </c>
      <c r="U61" s="3">
        <f t="shared" si="4"/>
        <v>33000</v>
      </c>
      <c r="V61" s="3">
        <f t="shared" si="5"/>
        <v>33000</v>
      </c>
      <c r="W61" s="3">
        <f t="shared" si="6"/>
        <v>33000</v>
      </c>
      <c r="X61" s="3">
        <f t="shared" si="7"/>
        <v>33000</v>
      </c>
      <c r="Y61" s="3">
        <f t="shared" si="8"/>
        <v>33000</v>
      </c>
      <c r="Z61" s="3">
        <f t="shared" si="9"/>
        <v>33000</v>
      </c>
    </row>
    <row r="62" hidden="1" spans="1:26">
      <c r="A62" s="7" t="s">
        <v>242</v>
      </c>
      <c r="B62" s="7" t="s">
        <v>241</v>
      </c>
      <c r="C62" s="8"/>
      <c r="D62" s="8">
        <f t="shared" si="1"/>
        <v>18000</v>
      </c>
      <c r="E62" s="8">
        <f t="shared" si="2"/>
        <v>45000</v>
      </c>
      <c r="F62" s="12">
        <v>0.4</v>
      </c>
      <c r="G62" s="8"/>
      <c r="H62" s="8">
        <v>12000</v>
      </c>
      <c r="I62" s="8"/>
      <c r="J62" s="8">
        <v>12000</v>
      </c>
      <c r="K62" s="8">
        <v>6000</v>
      </c>
      <c r="L62" s="8">
        <v>15000</v>
      </c>
      <c r="M62" s="8"/>
      <c r="N62" s="16"/>
      <c r="O62" s="16"/>
      <c r="P62" s="16"/>
      <c r="Q62" s="16"/>
      <c r="R62" s="16"/>
      <c r="S62" s="3" t="str">
        <f>VLOOKUP(A62,预测!G:AU,41,0)</f>
        <v>磁性位置传感器</v>
      </c>
      <c r="T62" s="3">
        <f t="shared" si="3"/>
        <v>0</v>
      </c>
      <c r="U62" s="3">
        <f t="shared" si="4"/>
        <v>4800</v>
      </c>
      <c r="V62" s="3">
        <f t="shared" si="5"/>
        <v>0</v>
      </c>
      <c r="W62" s="3">
        <f t="shared" si="6"/>
        <v>4800</v>
      </c>
      <c r="X62" s="3">
        <f t="shared" si="7"/>
        <v>2400</v>
      </c>
      <c r="Y62" s="3">
        <f t="shared" si="8"/>
        <v>6000</v>
      </c>
      <c r="Z62" s="3">
        <f t="shared" si="9"/>
        <v>0</v>
      </c>
    </row>
    <row r="63" hidden="1" spans="1:26">
      <c r="A63" s="7" t="s">
        <v>243</v>
      </c>
      <c r="B63" s="7" t="s">
        <v>244</v>
      </c>
      <c r="C63" s="8"/>
      <c r="D63" s="8">
        <f t="shared" si="1"/>
        <v>248000</v>
      </c>
      <c r="E63" s="8">
        <f t="shared" si="2"/>
        <v>800000</v>
      </c>
      <c r="F63" s="12">
        <v>0.31</v>
      </c>
      <c r="G63" s="8"/>
      <c r="H63" s="8">
        <v>400000</v>
      </c>
      <c r="I63" s="8"/>
      <c r="J63" s="8">
        <v>400000</v>
      </c>
      <c r="K63" s="8"/>
      <c r="L63" s="8"/>
      <c r="M63" s="8"/>
      <c r="N63" s="16">
        <v>100234</v>
      </c>
      <c r="O63" s="16">
        <v>200</v>
      </c>
      <c r="P63" s="16">
        <v>0</v>
      </c>
      <c r="Q63" s="16">
        <v>0</v>
      </c>
      <c r="R63" s="16">
        <v>0</v>
      </c>
      <c r="S63" s="3" t="str">
        <f>VLOOKUP(A63,预测!G:AU,41,0)</f>
        <v>磁性位置传感器</v>
      </c>
      <c r="T63" s="3">
        <f t="shared" si="3"/>
        <v>0</v>
      </c>
      <c r="U63" s="3">
        <f t="shared" si="4"/>
        <v>124000</v>
      </c>
      <c r="V63" s="3">
        <f t="shared" si="5"/>
        <v>0</v>
      </c>
      <c r="W63" s="3">
        <f t="shared" si="6"/>
        <v>124000</v>
      </c>
      <c r="X63" s="3">
        <f t="shared" si="7"/>
        <v>0</v>
      </c>
      <c r="Y63" s="3">
        <f t="shared" si="8"/>
        <v>0</v>
      </c>
      <c r="Z63" s="3">
        <f t="shared" si="9"/>
        <v>0</v>
      </c>
    </row>
    <row r="64" hidden="1" spans="1:26">
      <c r="A64" s="7" t="s">
        <v>245</v>
      </c>
      <c r="B64" s="7" t="s">
        <v>246</v>
      </c>
      <c r="C64" s="8"/>
      <c r="D64" s="8">
        <f t="shared" si="1"/>
        <v>41700</v>
      </c>
      <c r="E64" s="8">
        <f t="shared" si="2"/>
        <v>81000</v>
      </c>
      <c r="F64" s="12">
        <v>0.514814814814815</v>
      </c>
      <c r="G64" s="8">
        <v>18000</v>
      </c>
      <c r="H64" s="8">
        <v>18000</v>
      </c>
      <c r="I64" s="8">
        <v>3000</v>
      </c>
      <c r="J64" s="8">
        <v>18000</v>
      </c>
      <c r="K64" s="8">
        <v>3000</v>
      </c>
      <c r="L64" s="8">
        <v>3000</v>
      </c>
      <c r="M64" s="8">
        <v>18000</v>
      </c>
      <c r="N64" s="16">
        <v>18000</v>
      </c>
      <c r="O64" s="16">
        <v>33100</v>
      </c>
      <c r="P64" s="16">
        <v>30100</v>
      </c>
      <c r="Q64" s="16">
        <v>-41985</v>
      </c>
      <c r="R64" s="16">
        <v>40</v>
      </c>
      <c r="S64" s="3" t="str">
        <f>VLOOKUP(A64,预测!G:AU,41,0)</f>
        <v>磁性位置传感器</v>
      </c>
      <c r="T64" s="3">
        <f t="shared" si="3"/>
        <v>9266.66666666667</v>
      </c>
      <c r="U64" s="3">
        <f t="shared" si="4"/>
        <v>9266.66666666667</v>
      </c>
      <c r="V64" s="3">
        <f t="shared" si="5"/>
        <v>1544.44444444444</v>
      </c>
      <c r="W64" s="3">
        <f t="shared" si="6"/>
        <v>9266.66666666667</v>
      </c>
      <c r="X64" s="3">
        <f t="shared" si="7"/>
        <v>1544.44444444444</v>
      </c>
      <c r="Y64" s="3">
        <f t="shared" si="8"/>
        <v>1544.44444444444</v>
      </c>
      <c r="Z64" s="3">
        <f t="shared" si="9"/>
        <v>9266.66666666667</v>
      </c>
    </row>
    <row r="65" hidden="1" spans="1:26">
      <c r="A65" s="7" t="s">
        <v>247</v>
      </c>
      <c r="B65" s="7" t="s">
        <v>248</v>
      </c>
      <c r="C65" s="8"/>
      <c r="D65" s="8">
        <f t="shared" si="1"/>
        <v>79200</v>
      </c>
      <c r="E65" s="8">
        <f t="shared" si="2"/>
        <v>162000</v>
      </c>
      <c r="F65" s="12">
        <v>0.488888888888889</v>
      </c>
      <c r="G65" s="8">
        <v>5000</v>
      </c>
      <c r="H65" s="8">
        <v>5000</v>
      </c>
      <c r="I65" s="8">
        <v>19000</v>
      </c>
      <c r="J65" s="8">
        <v>20000</v>
      </c>
      <c r="K65" s="8">
        <v>29000</v>
      </c>
      <c r="L65" s="8">
        <v>45000</v>
      </c>
      <c r="M65" s="8">
        <v>39000</v>
      </c>
      <c r="N65" s="16"/>
      <c r="O65" s="16"/>
      <c r="P65" s="16"/>
      <c r="Q65" s="16"/>
      <c r="R65" s="16"/>
      <c r="S65" s="3" t="str">
        <f>VLOOKUP(A65,预测!G:AU,41,0)</f>
        <v>磁性位置传感器</v>
      </c>
      <c r="T65" s="3">
        <f t="shared" si="3"/>
        <v>2444.44444444444</v>
      </c>
      <c r="U65" s="3">
        <f t="shared" si="4"/>
        <v>2444.44444444444</v>
      </c>
      <c r="V65" s="3">
        <f t="shared" si="5"/>
        <v>9288.88888888889</v>
      </c>
      <c r="W65" s="3">
        <f t="shared" si="6"/>
        <v>9777.77777777778</v>
      </c>
      <c r="X65" s="3">
        <f t="shared" si="7"/>
        <v>14177.7777777778</v>
      </c>
      <c r="Y65" s="3">
        <f t="shared" si="8"/>
        <v>22000</v>
      </c>
      <c r="Z65" s="3">
        <f t="shared" si="9"/>
        <v>19066.6666666667</v>
      </c>
    </row>
    <row r="66" hidden="1" spans="1:26">
      <c r="A66" s="7" t="s">
        <v>249</v>
      </c>
      <c r="B66" s="7" t="s">
        <v>250</v>
      </c>
      <c r="C66" s="8"/>
      <c r="D66" s="8">
        <f t="shared" si="1"/>
        <v>20160</v>
      </c>
      <c r="E66" s="8">
        <f t="shared" si="2"/>
        <v>63000</v>
      </c>
      <c r="F66" s="12">
        <v>0.32</v>
      </c>
      <c r="G66" s="8">
        <v>9000</v>
      </c>
      <c r="H66" s="8">
        <v>9000</v>
      </c>
      <c r="I66" s="8">
        <v>9000</v>
      </c>
      <c r="J66" s="8">
        <v>9000</v>
      </c>
      <c r="K66" s="8">
        <v>9000</v>
      </c>
      <c r="L66" s="8">
        <v>9000</v>
      </c>
      <c r="M66" s="8">
        <v>9000</v>
      </c>
      <c r="N66" s="16">
        <v>10000</v>
      </c>
      <c r="O66" s="16">
        <v>50000</v>
      </c>
      <c r="P66" s="16">
        <v>20000</v>
      </c>
      <c r="Q66" s="16">
        <v>0</v>
      </c>
      <c r="R66" s="16">
        <v>0</v>
      </c>
      <c r="S66" s="3" t="str">
        <f>VLOOKUP(A66,预测!G:AU,41,0)</f>
        <v>磁性位置传感器</v>
      </c>
      <c r="T66" s="3">
        <f t="shared" si="3"/>
        <v>2880</v>
      </c>
      <c r="U66" s="3">
        <f t="shared" si="4"/>
        <v>2880</v>
      </c>
      <c r="V66" s="3">
        <f t="shared" si="5"/>
        <v>2880</v>
      </c>
      <c r="W66" s="3">
        <f t="shared" si="6"/>
        <v>2880</v>
      </c>
      <c r="X66" s="3">
        <f t="shared" si="7"/>
        <v>2880</v>
      </c>
      <c r="Y66" s="3">
        <f t="shared" si="8"/>
        <v>2880</v>
      </c>
      <c r="Z66" s="3">
        <f t="shared" si="9"/>
        <v>2880</v>
      </c>
    </row>
    <row r="67" hidden="1" spans="1:26">
      <c r="A67" s="7" t="s">
        <v>251</v>
      </c>
      <c r="B67" s="7" t="s">
        <v>252</v>
      </c>
      <c r="C67" s="8"/>
      <c r="D67" s="8">
        <f t="shared" si="1"/>
        <v>88000</v>
      </c>
      <c r="E67" s="8">
        <f t="shared" si="2"/>
        <v>220000</v>
      </c>
      <c r="F67" s="12">
        <v>0.4</v>
      </c>
      <c r="G67" s="8">
        <v>20000</v>
      </c>
      <c r="H67" s="8">
        <v>20000</v>
      </c>
      <c r="I67" s="8">
        <v>20000</v>
      </c>
      <c r="J67" s="8">
        <v>40000</v>
      </c>
      <c r="K67" s="8">
        <v>40000</v>
      </c>
      <c r="L67" s="8">
        <v>40000</v>
      </c>
      <c r="M67" s="8">
        <v>40000</v>
      </c>
      <c r="N67" s="16">
        <v>0</v>
      </c>
      <c r="O67" s="16">
        <v>31526</v>
      </c>
      <c r="P67" s="16">
        <v>0</v>
      </c>
      <c r="Q67" s="16">
        <v>0</v>
      </c>
      <c r="R67" s="16">
        <v>0</v>
      </c>
      <c r="S67" s="3" t="str">
        <f>VLOOKUP(A67,预测!G:AU,41,0)</f>
        <v>磁性位置传感器</v>
      </c>
      <c r="T67" s="3">
        <f t="shared" ref="T67:T130" si="10">G67*$F67</f>
        <v>8000</v>
      </c>
      <c r="U67" s="3">
        <f t="shared" ref="U67:U130" si="11">H67*$F67</f>
        <v>8000</v>
      </c>
      <c r="V67" s="3">
        <f t="shared" ref="V67:V130" si="12">I67*$F67</f>
        <v>8000</v>
      </c>
      <c r="W67" s="3">
        <f t="shared" ref="W67:W130" si="13">J67*$F67</f>
        <v>16000</v>
      </c>
      <c r="X67" s="3">
        <f t="shared" ref="X67:X130" si="14">K67*$F67</f>
        <v>16000</v>
      </c>
      <c r="Y67" s="3">
        <f t="shared" ref="Y67:Y130" si="15">L67*$F67</f>
        <v>16000</v>
      </c>
      <c r="Z67" s="3">
        <f t="shared" ref="Z67:Z130" si="16">M67*$F67</f>
        <v>16000</v>
      </c>
    </row>
    <row r="68" spans="1:26">
      <c r="A68" s="7" t="s">
        <v>254</v>
      </c>
      <c r="B68" s="7" t="s">
        <v>255</v>
      </c>
      <c r="C68" s="8"/>
      <c r="D68" s="8">
        <f t="shared" ref="D68:D131" si="17">SUM(G68:M68)*F68</f>
        <v>4580189.57345972</v>
      </c>
      <c r="E68" s="8">
        <f t="shared" ref="E68:E130" si="18">SUM(G68:M68)</f>
        <v>12600000</v>
      </c>
      <c r="F68" s="12">
        <v>0.363507109004739</v>
      </c>
      <c r="G68" s="8">
        <v>1800000</v>
      </c>
      <c r="H68" s="8">
        <v>1800000</v>
      </c>
      <c r="I68" s="8">
        <v>1800000</v>
      </c>
      <c r="J68" s="8">
        <v>1800000</v>
      </c>
      <c r="K68" s="8">
        <v>1800000</v>
      </c>
      <c r="L68" s="8">
        <v>1800000</v>
      </c>
      <c r="M68" s="8">
        <v>1800000</v>
      </c>
      <c r="N68" s="16">
        <v>819000</v>
      </c>
      <c r="O68" s="16">
        <v>147105</v>
      </c>
      <c r="P68" s="16">
        <v>1030</v>
      </c>
      <c r="Q68" s="16">
        <v>364538</v>
      </c>
      <c r="R68" s="16">
        <v>1800000</v>
      </c>
      <c r="S68" s="3" t="str">
        <f>VLOOKUP(A68,预测!G:AU,41,0)</f>
        <v>磁性位置传感器</v>
      </c>
      <c r="T68" s="3">
        <f t="shared" si="10"/>
        <v>654312.796208531</v>
      </c>
      <c r="U68" s="3">
        <f t="shared" si="11"/>
        <v>654312.796208531</v>
      </c>
      <c r="V68" s="3">
        <f t="shared" si="12"/>
        <v>654312.796208531</v>
      </c>
      <c r="W68" s="3">
        <f t="shared" si="13"/>
        <v>654312.796208531</v>
      </c>
      <c r="X68" s="3">
        <f t="shared" si="14"/>
        <v>654312.796208531</v>
      </c>
      <c r="Y68" s="3">
        <f t="shared" si="15"/>
        <v>654312.796208531</v>
      </c>
      <c r="Z68" s="3">
        <f t="shared" si="16"/>
        <v>654312.796208531</v>
      </c>
    </row>
    <row r="69" spans="1:26">
      <c r="A69" s="7" t="s">
        <v>256</v>
      </c>
      <c r="B69" s="7" t="s">
        <v>257</v>
      </c>
      <c r="C69" s="8"/>
      <c r="D69" s="8">
        <f t="shared" si="17"/>
        <v>327500</v>
      </c>
      <c r="E69" s="8">
        <f t="shared" si="18"/>
        <v>1310000</v>
      </c>
      <c r="F69" s="12">
        <v>0.25</v>
      </c>
      <c r="G69" s="8"/>
      <c r="H69" s="8"/>
      <c r="I69" s="8">
        <v>402000</v>
      </c>
      <c r="J69" s="8">
        <v>212000</v>
      </c>
      <c r="K69" s="8">
        <v>242000</v>
      </c>
      <c r="L69" s="8">
        <v>212000</v>
      </c>
      <c r="M69" s="8">
        <v>242000</v>
      </c>
      <c r="N69" s="16"/>
      <c r="O69" s="16"/>
      <c r="P69" s="16"/>
      <c r="Q69" s="16">
        <v>753000</v>
      </c>
      <c r="R69" s="16">
        <v>2434</v>
      </c>
      <c r="S69" s="3" t="str">
        <f>VLOOKUP(A69,预测!G:AU,41,0)</f>
        <v>磁性位置传感器</v>
      </c>
      <c r="T69" s="3">
        <f t="shared" si="10"/>
        <v>0</v>
      </c>
      <c r="U69" s="3">
        <f t="shared" si="11"/>
        <v>0</v>
      </c>
      <c r="V69" s="3">
        <f t="shared" si="12"/>
        <v>100500</v>
      </c>
      <c r="W69" s="3">
        <f t="shared" si="13"/>
        <v>53000</v>
      </c>
      <c r="X69" s="3">
        <f t="shared" si="14"/>
        <v>60500</v>
      </c>
      <c r="Y69" s="3">
        <f t="shared" si="15"/>
        <v>53000</v>
      </c>
      <c r="Z69" s="3">
        <f t="shared" si="16"/>
        <v>60500</v>
      </c>
    </row>
    <row r="70" spans="1:26">
      <c r="A70" s="7" t="s">
        <v>256</v>
      </c>
      <c r="B70" s="7" t="s">
        <v>258</v>
      </c>
      <c r="C70" s="8"/>
      <c r="D70" s="8">
        <f t="shared" si="17"/>
        <v>4641231.99583116</v>
      </c>
      <c r="E70" s="8">
        <f t="shared" si="18"/>
        <v>14700000</v>
      </c>
      <c r="F70" s="12">
        <v>0.315730067743616</v>
      </c>
      <c r="G70" s="8">
        <v>2100000</v>
      </c>
      <c r="H70" s="8">
        <v>2100000</v>
      </c>
      <c r="I70" s="8">
        <v>2100000</v>
      </c>
      <c r="J70" s="8">
        <v>2100000</v>
      </c>
      <c r="K70" s="8">
        <v>2100000</v>
      </c>
      <c r="L70" s="8">
        <v>2100000</v>
      </c>
      <c r="M70" s="8">
        <v>2100000</v>
      </c>
      <c r="N70" s="16">
        <v>0</v>
      </c>
      <c r="O70" s="16">
        <v>1140000</v>
      </c>
      <c r="P70" s="16">
        <v>1029000</v>
      </c>
      <c r="Q70" s="16">
        <v>2184857</v>
      </c>
      <c r="R70" s="16">
        <v>2146430</v>
      </c>
      <c r="S70" s="3" t="str">
        <f>VLOOKUP(A70,预测!G:AU,41,0)</f>
        <v>磁性位置传感器</v>
      </c>
      <c r="T70" s="3">
        <f t="shared" si="10"/>
        <v>663033.142261595</v>
      </c>
      <c r="U70" s="3">
        <f t="shared" si="11"/>
        <v>663033.142261595</v>
      </c>
      <c r="V70" s="3">
        <f t="shared" si="12"/>
        <v>663033.142261595</v>
      </c>
      <c r="W70" s="3">
        <f t="shared" si="13"/>
        <v>663033.142261595</v>
      </c>
      <c r="X70" s="3">
        <f t="shared" si="14"/>
        <v>663033.142261595</v>
      </c>
      <c r="Y70" s="3">
        <f t="shared" si="15"/>
        <v>663033.142261595</v>
      </c>
      <c r="Z70" s="3">
        <f t="shared" si="16"/>
        <v>663033.142261595</v>
      </c>
    </row>
    <row r="71" hidden="1" spans="1:26">
      <c r="A71" s="7" t="s">
        <v>259</v>
      </c>
      <c r="B71" s="7" t="s">
        <v>260</v>
      </c>
      <c r="C71" s="8"/>
      <c r="D71" s="8">
        <f t="shared" si="17"/>
        <v>1089640</v>
      </c>
      <c r="E71" s="8">
        <f t="shared" si="18"/>
        <v>2849000</v>
      </c>
      <c r="F71" s="12">
        <v>0.382464022464022</v>
      </c>
      <c r="G71" s="8">
        <v>467000</v>
      </c>
      <c r="H71" s="8">
        <v>272000</v>
      </c>
      <c r="I71" s="8">
        <v>272000</v>
      </c>
      <c r="J71" s="8">
        <v>472000</v>
      </c>
      <c r="K71" s="8">
        <v>402000</v>
      </c>
      <c r="L71" s="8">
        <v>382000</v>
      </c>
      <c r="M71" s="8">
        <v>582000</v>
      </c>
      <c r="N71" s="16">
        <v>904883</v>
      </c>
      <c r="O71" s="16">
        <v>588386</v>
      </c>
      <c r="P71" s="16">
        <v>417570</v>
      </c>
      <c r="Q71" s="16">
        <v>738324</v>
      </c>
      <c r="R71" s="16">
        <v>384840</v>
      </c>
      <c r="S71" s="3" t="str">
        <f>VLOOKUP(A71,预测!G:AU,41,0)</f>
        <v>磁性位置传感器</v>
      </c>
      <c r="T71" s="3">
        <f t="shared" si="10"/>
        <v>178610.698490698</v>
      </c>
      <c r="U71" s="3">
        <f t="shared" si="11"/>
        <v>104030.214110214</v>
      </c>
      <c r="V71" s="3">
        <f t="shared" si="12"/>
        <v>104030.214110214</v>
      </c>
      <c r="W71" s="3">
        <f t="shared" si="13"/>
        <v>180523.018603019</v>
      </c>
      <c r="X71" s="3">
        <f t="shared" si="14"/>
        <v>153750.537030537</v>
      </c>
      <c r="Y71" s="3">
        <f t="shared" si="15"/>
        <v>146101.256581257</v>
      </c>
      <c r="Z71" s="3">
        <f t="shared" si="16"/>
        <v>222594.061074061</v>
      </c>
    </row>
    <row r="72" hidden="1" spans="1:26">
      <c r="A72" s="7" t="s">
        <v>261</v>
      </c>
      <c r="B72" s="7" t="s">
        <v>262</v>
      </c>
      <c r="C72" s="8"/>
      <c r="D72" s="8">
        <f t="shared" si="17"/>
        <v>2896908</v>
      </c>
      <c r="E72" s="8">
        <f t="shared" si="18"/>
        <v>8217900</v>
      </c>
      <c r="F72" s="12">
        <v>0.352511955609097</v>
      </c>
      <c r="G72" s="8">
        <v>989000</v>
      </c>
      <c r="H72" s="8">
        <v>771400</v>
      </c>
      <c r="I72" s="8">
        <v>1003000</v>
      </c>
      <c r="J72" s="8">
        <v>1281500</v>
      </c>
      <c r="K72" s="8">
        <v>1321000</v>
      </c>
      <c r="L72" s="8">
        <v>1426000</v>
      </c>
      <c r="M72" s="8">
        <v>1426000</v>
      </c>
      <c r="N72" s="16">
        <v>0</v>
      </c>
      <c r="O72" s="16">
        <v>819000</v>
      </c>
      <c r="P72" s="16">
        <v>363000</v>
      </c>
      <c r="Q72" s="16">
        <v>747000</v>
      </c>
      <c r="R72" s="16">
        <v>831000</v>
      </c>
      <c r="S72" s="3" t="str">
        <f>VLOOKUP(A72,预测!G:AU,41,0)</f>
        <v>磁性位置传感器</v>
      </c>
      <c r="T72" s="3">
        <f t="shared" si="10"/>
        <v>348634.324097397</v>
      </c>
      <c r="U72" s="3">
        <f t="shared" si="11"/>
        <v>271927.722556858</v>
      </c>
      <c r="V72" s="3">
        <f t="shared" si="12"/>
        <v>353569.491475925</v>
      </c>
      <c r="W72" s="3">
        <f t="shared" si="13"/>
        <v>451744.071113058</v>
      </c>
      <c r="X72" s="3">
        <f t="shared" si="14"/>
        <v>465668.293359617</v>
      </c>
      <c r="Y72" s="3">
        <f t="shared" si="15"/>
        <v>502682.048698573</v>
      </c>
      <c r="Z72" s="3">
        <f t="shared" si="16"/>
        <v>502682.048698573</v>
      </c>
    </row>
    <row r="73" hidden="1" spans="1:26">
      <c r="A73" s="7" t="s">
        <v>263</v>
      </c>
      <c r="B73" s="7" t="s">
        <v>264</v>
      </c>
      <c r="C73" s="8"/>
      <c r="D73" s="8">
        <f t="shared" si="17"/>
        <v>634280</v>
      </c>
      <c r="E73" s="8">
        <f t="shared" si="18"/>
        <v>2094000</v>
      </c>
      <c r="F73" s="12">
        <v>0.302903533906399</v>
      </c>
      <c r="G73" s="8">
        <v>272000</v>
      </c>
      <c r="H73" s="8">
        <v>282000</v>
      </c>
      <c r="I73" s="8">
        <v>342000</v>
      </c>
      <c r="J73" s="8">
        <v>292000</v>
      </c>
      <c r="K73" s="8">
        <v>302000</v>
      </c>
      <c r="L73" s="8">
        <v>302000</v>
      </c>
      <c r="M73" s="8">
        <v>302000</v>
      </c>
      <c r="N73" s="16">
        <v>1020930</v>
      </c>
      <c r="O73" s="16">
        <v>194037</v>
      </c>
      <c r="P73" s="16">
        <v>20</v>
      </c>
      <c r="Q73" s="16">
        <v>50</v>
      </c>
      <c r="R73" s="16">
        <v>2149</v>
      </c>
      <c r="S73" s="3" t="str">
        <f>VLOOKUP(A73,预测!G:AU,41,0)</f>
        <v>磁性位置传感器</v>
      </c>
      <c r="T73" s="3">
        <f t="shared" si="10"/>
        <v>82389.7612225406</v>
      </c>
      <c r="U73" s="3">
        <f t="shared" si="11"/>
        <v>85418.7965616046</v>
      </c>
      <c r="V73" s="3">
        <f t="shared" si="12"/>
        <v>103593.008595989</v>
      </c>
      <c r="W73" s="3">
        <f t="shared" si="13"/>
        <v>88447.8319006686</v>
      </c>
      <c r="X73" s="3">
        <f t="shared" si="14"/>
        <v>91476.8672397326</v>
      </c>
      <c r="Y73" s="3">
        <f t="shared" si="15"/>
        <v>91476.8672397326</v>
      </c>
      <c r="Z73" s="3">
        <f t="shared" si="16"/>
        <v>91476.8672397326</v>
      </c>
    </row>
    <row r="74" hidden="1" spans="1:26">
      <c r="A74" s="7" t="s">
        <v>263</v>
      </c>
      <c r="B74" s="7" t="s">
        <v>265</v>
      </c>
      <c r="C74" s="8"/>
      <c r="D74" s="8">
        <f t="shared" si="17"/>
        <v>0</v>
      </c>
      <c r="E74" s="8">
        <f t="shared" si="18"/>
        <v>0</v>
      </c>
      <c r="F74" s="12">
        <v>0.26</v>
      </c>
      <c r="G74" s="8"/>
      <c r="H74" s="8"/>
      <c r="I74" s="8"/>
      <c r="J74" s="8"/>
      <c r="K74" s="8"/>
      <c r="L74" s="8"/>
      <c r="M74" s="8"/>
      <c r="N74" s="16">
        <v>0</v>
      </c>
      <c r="O74" s="16">
        <v>0</v>
      </c>
      <c r="P74" s="16">
        <v>334909</v>
      </c>
      <c r="Q74" s="16">
        <v>0</v>
      </c>
      <c r="R74" s="16">
        <v>0</v>
      </c>
      <c r="S74" s="3" t="str">
        <f>VLOOKUP(A74,预测!G:AU,41,0)</f>
        <v>磁性位置传感器</v>
      </c>
      <c r="T74" s="3">
        <f t="shared" si="10"/>
        <v>0</v>
      </c>
      <c r="U74" s="3">
        <f t="shared" si="11"/>
        <v>0</v>
      </c>
      <c r="V74" s="3">
        <f t="shared" si="12"/>
        <v>0</v>
      </c>
      <c r="W74" s="3">
        <f t="shared" si="13"/>
        <v>0</v>
      </c>
      <c r="X74" s="3">
        <f t="shared" si="14"/>
        <v>0</v>
      </c>
      <c r="Y74" s="3">
        <f t="shared" si="15"/>
        <v>0</v>
      </c>
      <c r="Z74" s="3">
        <f t="shared" si="16"/>
        <v>0</v>
      </c>
    </row>
    <row r="75" hidden="1" spans="1:26">
      <c r="A75" s="7" t="s">
        <v>266</v>
      </c>
      <c r="B75" s="7" t="s">
        <v>267</v>
      </c>
      <c r="C75" s="8"/>
      <c r="D75" s="8">
        <f t="shared" si="17"/>
        <v>1001250</v>
      </c>
      <c r="E75" s="8">
        <f t="shared" si="18"/>
        <v>3115000</v>
      </c>
      <c r="F75" s="12">
        <v>0.321428571428571</v>
      </c>
      <c r="G75" s="8">
        <v>365000</v>
      </c>
      <c r="H75" s="8">
        <v>365000</v>
      </c>
      <c r="I75" s="8">
        <v>365000</v>
      </c>
      <c r="J75" s="8">
        <v>505000</v>
      </c>
      <c r="K75" s="8">
        <v>505000</v>
      </c>
      <c r="L75" s="8">
        <v>505000</v>
      </c>
      <c r="M75" s="8">
        <v>505000</v>
      </c>
      <c r="N75" s="16">
        <v>0</v>
      </c>
      <c r="O75" s="16">
        <v>0</v>
      </c>
      <c r="P75" s="16">
        <v>560000</v>
      </c>
      <c r="Q75" s="16">
        <v>129000</v>
      </c>
      <c r="R75" s="16">
        <v>1042000</v>
      </c>
      <c r="S75" s="3" t="str">
        <f>VLOOKUP(A75,预测!G:AU,41,0)</f>
        <v>磁性位置传感器</v>
      </c>
      <c r="T75" s="3">
        <f t="shared" si="10"/>
        <v>117321.428571429</v>
      </c>
      <c r="U75" s="3">
        <f t="shared" si="11"/>
        <v>117321.428571429</v>
      </c>
      <c r="V75" s="3">
        <f t="shared" si="12"/>
        <v>117321.428571429</v>
      </c>
      <c r="W75" s="3">
        <f t="shared" si="13"/>
        <v>162321.428571429</v>
      </c>
      <c r="X75" s="3">
        <f t="shared" si="14"/>
        <v>162321.428571429</v>
      </c>
      <c r="Y75" s="3">
        <f t="shared" si="15"/>
        <v>162321.428571429</v>
      </c>
      <c r="Z75" s="3">
        <f t="shared" si="16"/>
        <v>162321.428571429</v>
      </c>
    </row>
    <row r="76" hidden="1" spans="1:26">
      <c r="A76" s="7" t="s">
        <v>268</v>
      </c>
      <c r="B76" s="7" t="s">
        <v>269</v>
      </c>
      <c r="C76" s="8"/>
      <c r="D76" s="8">
        <f t="shared" si="17"/>
        <v>7500</v>
      </c>
      <c r="E76" s="8">
        <f t="shared" si="18"/>
        <v>15000</v>
      </c>
      <c r="F76" s="12">
        <v>0.5</v>
      </c>
      <c r="G76" s="8"/>
      <c r="H76" s="8"/>
      <c r="I76" s="8"/>
      <c r="J76" s="8"/>
      <c r="K76" s="8">
        <v>5000</v>
      </c>
      <c r="L76" s="8">
        <v>5000</v>
      </c>
      <c r="M76" s="8">
        <v>5000</v>
      </c>
      <c r="N76" s="16"/>
      <c r="O76" s="16"/>
      <c r="P76" s="16"/>
      <c r="Q76" s="16"/>
      <c r="R76" s="16"/>
      <c r="S76" s="3" t="str">
        <f>VLOOKUP(A76,预测!G:AU,41,0)</f>
        <v>磁性位置传感器</v>
      </c>
      <c r="T76" s="3">
        <f t="shared" si="10"/>
        <v>0</v>
      </c>
      <c r="U76" s="3">
        <f t="shared" si="11"/>
        <v>0</v>
      </c>
      <c r="V76" s="3">
        <f t="shared" si="12"/>
        <v>0</v>
      </c>
      <c r="W76" s="3">
        <f t="shared" si="13"/>
        <v>0</v>
      </c>
      <c r="X76" s="3">
        <f t="shared" si="14"/>
        <v>2500</v>
      </c>
      <c r="Y76" s="3">
        <f t="shared" si="15"/>
        <v>2500</v>
      </c>
      <c r="Z76" s="3">
        <f t="shared" si="16"/>
        <v>2500</v>
      </c>
    </row>
    <row r="77" hidden="1" spans="1:26">
      <c r="A77" s="7" t="s">
        <v>270</v>
      </c>
      <c r="B77" s="7" t="s">
        <v>271</v>
      </c>
      <c r="C77" s="8"/>
      <c r="D77" s="8">
        <f t="shared" si="17"/>
        <v>1125260</v>
      </c>
      <c r="E77" s="8">
        <f t="shared" si="18"/>
        <v>2343000</v>
      </c>
      <c r="F77" s="12">
        <v>0.480264618011097</v>
      </c>
      <c r="G77" s="8">
        <v>249000</v>
      </c>
      <c r="H77" s="8">
        <v>259000</v>
      </c>
      <c r="I77" s="8">
        <v>262000</v>
      </c>
      <c r="J77" s="8">
        <v>326000</v>
      </c>
      <c r="K77" s="8">
        <v>371000</v>
      </c>
      <c r="L77" s="8">
        <v>428000</v>
      </c>
      <c r="M77" s="8">
        <v>448000</v>
      </c>
      <c r="N77" s="16">
        <v>195500</v>
      </c>
      <c r="O77" s="16">
        <v>294000</v>
      </c>
      <c r="P77" s="16">
        <v>142250</v>
      </c>
      <c r="Q77" s="16">
        <v>381200</v>
      </c>
      <c r="R77" s="16">
        <v>498600</v>
      </c>
      <c r="S77" s="3" t="str">
        <f>VLOOKUP(A77,预测!G:AU,41,0)</f>
        <v>磁性位置传感器</v>
      </c>
      <c r="T77" s="3">
        <f t="shared" si="10"/>
        <v>119585.889884763</v>
      </c>
      <c r="U77" s="3">
        <f t="shared" si="11"/>
        <v>124388.536064874</v>
      </c>
      <c r="V77" s="3">
        <f t="shared" si="12"/>
        <v>125829.329918907</v>
      </c>
      <c r="W77" s="3">
        <f t="shared" si="13"/>
        <v>156566.265471618</v>
      </c>
      <c r="X77" s="3">
        <f t="shared" si="14"/>
        <v>178178.173282117</v>
      </c>
      <c r="Y77" s="3">
        <f t="shared" si="15"/>
        <v>205553.256508749</v>
      </c>
      <c r="Z77" s="3">
        <f t="shared" si="16"/>
        <v>215158.548868971</v>
      </c>
    </row>
    <row r="78" hidden="1" spans="1:26">
      <c r="A78" s="7" t="s">
        <v>272</v>
      </c>
      <c r="B78" s="7" t="s">
        <v>273</v>
      </c>
      <c r="C78" s="8"/>
      <c r="D78" s="8">
        <f t="shared" si="17"/>
        <v>3736320</v>
      </c>
      <c r="E78" s="8">
        <f t="shared" si="18"/>
        <v>5866000</v>
      </c>
      <c r="F78" s="12">
        <v>0.636945107398568</v>
      </c>
      <c r="G78" s="8">
        <v>835000</v>
      </c>
      <c r="H78" s="8">
        <v>835000</v>
      </c>
      <c r="I78" s="8">
        <v>838000</v>
      </c>
      <c r="J78" s="8">
        <v>838000</v>
      </c>
      <c r="K78" s="8">
        <v>840000</v>
      </c>
      <c r="L78" s="8">
        <v>840000</v>
      </c>
      <c r="M78" s="8">
        <v>840000</v>
      </c>
      <c r="N78" s="16">
        <v>594015</v>
      </c>
      <c r="O78" s="16">
        <v>274651</v>
      </c>
      <c r="P78" s="16">
        <v>616419</v>
      </c>
      <c r="Q78" s="16">
        <v>513939</v>
      </c>
      <c r="R78" s="16">
        <v>804557</v>
      </c>
      <c r="S78" s="3" t="str">
        <f>VLOOKUP(A78,预测!G:AU,41,0)</f>
        <v>磁性位置传感器</v>
      </c>
      <c r="T78" s="3">
        <f t="shared" si="10"/>
        <v>531849.164677804</v>
      </c>
      <c r="U78" s="3">
        <f t="shared" si="11"/>
        <v>531849.164677804</v>
      </c>
      <c r="V78" s="3">
        <f t="shared" si="12"/>
        <v>533760</v>
      </c>
      <c r="W78" s="3">
        <f t="shared" si="13"/>
        <v>533760</v>
      </c>
      <c r="X78" s="3">
        <f t="shared" si="14"/>
        <v>535033.890214797</v>
      </c>
      <c r="Y78" s="3">
        <f t="shared" si="15"/>
        <v>535033.890214797</v>
      </c>
      <c r="Z78" s="3">
        <f t="shared" si="16"/>
        <v>535033.890214797</v>
      </c>
    </row>
    <row r="79" hidden="1" spans="1:26">
      <c r="A79" s="7" t="s">
        <v>274</v>
      </c>
      <c r="B79" s="7" t="s">
        <v>275</v>
      </c>
      <c r="C79" s="8"/>
      <c r="D79" s="8">
        <f t="shared" si="17"/>
        <v>467820</v>
      </c>
      <c r="E79" s="8">
        <f t="shared" si="18"/>
        <v>900000</v>
      </c>
      <c r="F79" s="12">
        <v>0.5198</v>
      </c>
      <c r="G79" s="8"/>
      <c r="H79" s="8">
        <v>150000</v>
      </c>
      <c r="I79" s="8">
        <v>150000</v>
      </c>
      <c r="J79" s="8">
        <v>150000</v>
      </c>
      <c r="K79" s="8">
        <v>150000</v>
      </c>
      <c r="L79" s="8">
        <v>150000</v>
      </c>
      <c r="M79" s="8">
        <v>150000</v>
      </c>
      <c r="N79" s="16"/>
      <c r="O79" s="16"/>
      <c r="P79" s="16"/>
      <c r="Q79" s="16"/>
      <c r="R79" s="16"/>
      <c r="S79" s="3" t="str">
        <f>VLOOKUP(A79,预测!G:AU,41,0)</f>
        <v>磁性位置传感器</v>
      </c>
      <c r="T79" s="3">
        <f t="shared" si="10"/>
        <v>0</v>
      </c>
      <c r="U79" s="3">
        <f t="shared" si="11"/>
        <v>77970</v>
      </c>
      <c r="V79" s="3">
        <f t="shared" si="12"/>
        <v>77970</v>
      </c>
      <c r="W79" s="3">
        <f t="shared" si="13"/>
        <v>77970</v>
      </c>
      <c r="X79" s="3">
        <f t="shared" si="14"/>
        <v>77970</v>
      </c>
      <c r="Y79" s="3">
        <f t="shared" si="15"/>
        <v>77970</v>
      </c>
      <c r="Z79" s="3">
        <f t="shared" si="16"/>
        <v>77970</v>
      </c>
    </row>
    <row r="80" hidden="1" spans="1:26">
      <c r="A80" s="7" t="s">
        <v>276</v>
      </c>
      <c r="B80" s="7" t="s">
        <v>277</v>
      </c>
      <c r="C80" s="8"/>
      <c r="D80" s="8">
        <f t="shared" si="17"/>
        <v>3262375.3</v>
      </c>
      <c r="E80" s="8">
        <f t="shared" si="18"/>
        <v>8055948</v>
      </c>
      <c r="F80" s="12">
        <v>0.404964791232515</v>
      </c>
      <c r="G80" s="8">
        <v>944384</v>
      </c>
      <c r="H80" s="8">
        <v>991156</v>
      </c>
      <c r="I80" s="8">
        <v>976336</v>
      </c>
      <c r="J80" s="8">
        <v>1037872</v>
      </c>
      <c r="K80" s="8">
        <v>1197200</v>
      </c>
      <c r="L80" s="8">
        <v>1447000</v>
      </c>
      <c r="M80" s="8">
        <v>1462000</v>
      </c>
      <c r="N80" s="16">
        <v>396050</v>
      </c>
      <c r="O80" s="16">
        <v>504600</v>
      </c>
      <c r="P80" s="16">
        <v>1254070</v>
      </c>
      <c r="Q80" s="16">
        <v>621030</v>
      </c>
      <c r="R80" s="16">
        <v>927055</v>
      </c>
      <c r="S80" s="3" t="str">
        <f>VLOOKUP(A80,预测!G:AU,41,0)</f>
        <v>磁性位置传感器</v>
      </c>
      <c r="T80" s="3">
        <f t="shared" si="10"/>
        <v>382442.269403328</v>
      </c>
      <c r="U80" s="3">
        <f t="shared" si="11"/>
        <v>401383.282618855</v>
      </c>
      <c r="V80" s="3">
        <f t="shared" si="12"/>
        <v>395381.704412789</v>
      </c>
      <c r="W80" s="3">
        <f t="shared" si="13"/>
        <v>420301.617806073</v>
      </c>
      <c r="X80" s="3">
        <f t="shared" si="14"/>
        <v>484823.848063567</v>
      </c>
      <c r="Y80" s="3">
        <f t="shared" si="15"/>
        <v>585984.05291345</v>
      </c>
      <c r="Z80" s="3">
        <f t="shared" si="16"/>
        <v>592058.524781937</v>
      </c>
    </row>
    <row r="81" hidden="1" spans="1:26">
      <c r="A81" s="7" t="s">
        <v>278</v>
      </c>
      <c r="B81" s="7" t="s">
        <v>279</v>
      </c>
      <c r="C81" s="8"/>
      <c r="D81" s="8">
        <f t="shared" si="17"/>
        <v>110000</v>
      </c>
      <c r="E81" s="8">
        <f t="shared" si="18"/>
        <v>200000</v>
      </c>
      <c r="F81" s="12">
        <v>0.55</v>
      </c>
      <c r="G81" s="8"/>
      <c r="H81" s="8"/>
      <c r="I81" s="8"/>
      <c r="J81" s="8"/>
      <c r="K81" s="8"/>
      <c r="L81" s="8"/>
      <c r="M81" s="8">
        <v>200000</v>
      </c>
      <c r="N81" s="16"/>
      <c r="O81" s="16"/>
      <c r="P81" s="16"/>
      <c r="Q81" s="16"/>
      <c r="R81" s="16"/>
      <c r="S81" s="3" t="str">
        <f>VLOOKUP(A81,预测!G:AU,41,0)</f>
        <v>磁性位置传感器</v>
      </c>
      <c r="T81" s="3">
        <f t="shared" si="10"/>
        <v>0</v>
      </c>
      <c r="U81" s="3">
        <f t="shared" si="11"/>
        <v>0</v>
      </c>
      <c r="V81" s="3">
        <f t="shared" si="12"/>
        <v>0</v>
      </c>
      <c r="W81" s="3">
        <f t="shared" si="13"/>
        <v>0</v>
      </c>
      <c r="X81" s="3">
        <f t="shared" si="14"/>
        <v>0</v>
      </c>
      <c r="Y81" s="3">
        <f t="shared" si="15"/>
        <v>0</v>
      </c>
      <c r="Z81" s="3">
        <f t="shared" si="16"/>
        <v>110000</v>
      </c>
    </row>
    <row r="82" hidden="1" spans="1:26">
      <c r="A82" s="7" t="s">
        <v>281</v>
      </c>
      <c r="B82" s="7" t="s">
        <v>282</v>
      </c>
      <c r="C82" s="8"/>
      <c r="D82" s="8">
        <f t="shared" si="17"/>
        <v>19800</v>
      </c>
      <c r="E82" s="8">
        <f t="shared" si="18"/>
        <v>36000</v>
      </c>
      <c r="F82" s="12">
        <v>0.55</v>
      </c>
      <c r="G82" s="8">
        <v>5000</v>
      </c>
      <c r="H82" s="8">
        <v>6000</v>
      </c>
      <c r="I82" s="8">
        <v>5000</v>
      </c>
      <c r="J82" s="8">
        <v>5000</v>
      </c>
      <c r="K82" s="8">
        <v>5000</v>
      </c>
      <c r="L82" s="8">
        <v>5000</v>
      </c>
      <c r="M82" s="8">
        <v>5000</v>
      </c>
      <c r="N82" s="16">
        <v>3000</v>
      </c>
      <c r="O82" s="16">
        <v>3000</v>
      </c>
      <c r="P82" s="16">
        <v>6000</v>
      </c>
      <c r="Q82" s="16">
        <v>0</v>
      </c>
      <c r="R82" s="16">
        <v>0</v>
      </c>
      <c r="S82" s="3" t="str">
        <f>VLOOKUP(A82,预测!G:AU,41,0)</f>
        <v>磁性位置传感器</v>
      </c>
      <c r="T82" s="3">
        <f t="shared" si="10"/>
        <v>2750</v>
      </c>
      <c r="U82" s="3">
        <f t="shared" si="11"/>
        <v>3300</v>
      </c>
      <c r="V82" s="3">
        <f t="shared" si="12"/>
        <v>2750</v>
      </c>
      <c r="W82" s="3">
        <f t="shared" si="13"/>
        <v>2750</v>
      </c>
      <c r="X82" s="3">
        <f t="shared" si="14"/>
        <v>2750</v>
      </c>
      <c r="Y82" s="3">
        <f t="shared" si="15"/>
        <v>2750</v>
      </c>
      <c r="Z82" s="3">
        <f t="shared" si="16"/>
        <v>2750</v>
      </c>
    </row>
    <row r="83" hidden="1" spans="1:26">
      <c r="A83" s="7" t="s">
        <v>283</v>
      </c>
      <c r="B83" s="7" t="s">
        <v>284</v>
      </c>
      <c r="C83" s="8"/>
      <c r="D83" s="8">
        <f t="shared" si="17"/>
        <v>294000</v>
      </c>
      <c r="E83" s="8">
        <f t="shared" si="18"/>
        <v>1050000</v>
      </c>
      <c r="F83" s="12">
        <v>0.28</v>
      </c>
      <c r="G83" s="8">
        <v>150000</v>
      </c>
      <c r="H83" s="8">
        <v>150000</v>
      </c>
      <c r="I83" s="8">
        <v>150000</v>
      </c>
      <c r="J83" s="8">
        <v>150000</v>
      </c>
      <c r="K83" s="8">
        <v>150000</v>
      </c>
      <c r="L83" s="8">
        <v>150000</v>
      </c>
      <c r="M83" s="8">
        <v>150000</v>
      </c>
      <c r="N83" s="16">
        <v>312071</v>
      </c>
      <c r="O83" s="16">
        <v>169582</v>
      </c>
      <c r="P83" s="16">
        <v>126113</v>
      </c>
      <c r="Q83" s="16">
        <v>159265</v>
      </c>
      <c r="R83" s="16">
        <v>373365</v>
      </c>
      <c r="S83" s="3" t="str">
        <f>VLOOKUP(A83,预测!G:AU,41,0)</f>
        <v>磁性位置传感器</v>
      </c>
      <c r="T83" s="3">
        <f t="shared" si="10"/>
        <v>42000</v>
      </c>
      <c r="U83" s="3">
        <f t="shared" si="11"/>
        <v>42000</v>
      </c>
      <c r="V83" s="3">
        <f t="shared" si="12"/>
        <v>42000</v>
      </c>
      <c r="W83" s="3">
        <f t="shared" si="13"/>
        <v>42000</v>
      </c>
      <c r="X83" s="3">
        <f t="shared" si="14"/>
        <v>42000</v>
      </c>
      <c r="Y83" s="3">
        <f t="shared" si="15"/>
        <v>42000</v>
      </c>
      <c r="Z83" s="3">
        <f t="shared" si="16"/>
        <v>42000</v>
      </c>
    </row>
    <row r="84" hidden="1" spans="1:26">
      <c r="A84" s="7" t="s">
        <v>285</v>
      </c>
      <c r="B84" s="7" t="s">
        <v>286</v>
      </c>
      <c r="C84" s="8"/>
      <c r="D84" s="8">
        <f t="shared" si="17"/>
        <v>332117.145899894</v>
      </c>
      <c r="E84" s="8">
        <f t="shared" si="18"/>
        <v>844000</v>
      </c>
      <c r="F84" s="12">
        <v>0.393503727369542</v>
      </c>
      <c r="G84" s="8">
        <v>30000</v>
      </c>
      <c r="H84" s="8">
        <v>128000</v>
      </c>
      <c r="I84" s="8">
        <v>128000</v>
      </c>
      <c r="J84" s="8">
        <v>130000</v>
      </c>
      <c r="K84" s="8">
        <v>133000</v>
      </c>
      <c r="L84" s="8">
        <v>145000</v>
      </c>
      <c r="M84" s="8">
        <v>150000</v>
      </c>
      <c r="N84" s="16"/>
      <c r="O84" s="16"/>
      <c r="P84" s="16"/>
      <c r="Q84" s="16"/>
      <c r="R84" s="16"/>
      <c r="S84" s="3" t="str">
        <f>VLOOKUP(A84,预测!G:AU,41,0)</f>
        <v>磁性位置传感器</v>
      </c>
      <c r="T84" s="3">
        <f t="shared" si="10"/>
        <v>11805.1118210863</v>
      </c>
      <c r="U84" s="3">
        <f t="shared" si="11"/>
        <v>50368.4771033014</v>
      </c>
      <c r="V84" s="3">
        <f t="shared" si="12"/>
        <v>50368.4771033014</v>
      </c>
      <c r="W84" s="3">
        <f t="shared" si="13"/>
        <v>51155.4845580405</v>
      </c>
      <c r="X84" s="3">
        <f t="shared" si="14"/>
        <v>52335.9957401491</v>
      </c>
      <c r="Y84" s="3">
        <f t="shared" si="15"/>
        <v>57058.0404685836</v>
      </c>
      <c r="Z84" s="3">
        <f t="shared" si="16"/>
        <v>59025.5591054313</v>
      </c>
    </row>
    <row r="85" hidden="1" spans="1:26">
      <c r="A85" s="7" t="s">
        <v>287</v>
      </c>
      <c r="B85" s="7" t="s">
        <v>288</v>
      </c>
      <c r="C85" s="8"/>
      <c r="D85" s="8">
        <f t="shared" si="17"/>
        <v>462500</v>
      </c>
      <c r="E85" s="8">
        <f t="shared" si="18"/>
        <v>1850000</v>
      </c>
      <c r="F85" s="12">
        <v>0.25</v>
      </c>
      <c r="G85" s="8">
        <v>50000</v>
      </c>
      <c r="H85" s="8">
        <v>300000</v>
      </c>
      <c r="I85" s="8">
        <v>300000</v>
      </c>
      <c r="J85" s="8">
        <v>300000</v>
      </c>
      <c r="K85" s="8">
        <v>300000</v>
      </c>
      <c r="L85" s="8">
        <v>300000</v>
      </c>
      <c r="M85" s="8">
        <v>300000</v>
      </c>
      <c r="N85" s="16">
        <v>19010</v>
      </c>
      <c r="O85" s="16">
        <v>3000</v>
      </c>
      <c r="P85" s="16">
        <v>25105</v>
      </c>
      <c r="Q85" s="16">
        <v>15433</v>
      </c>
      <c r="R85" s="16">
        <v>20205</v>
      </c>
      <c r="S85" s="3" t="str">
        <f>VLOOKUP(A85,预测!G:AU,41,0)</f>
        <v>磁性位置传感器</v>
      </c>
      <c r="T85" s="3">
        <f t="shared" si="10"/>
        <v>12500</v>
      </c>
      <c r="U85" s="3">
        <f t="shared" si="11"/>
        <v>75000</v>
      </c>
      <c r="V85" s="3">
        <f t="shared" si="12"/>
        <v>75000</v>
      </c>
      <c r="W85" s="3">
        <f t="shared" si="13"/>
        <v>75000</v>
      </c>
      <c r="X85" s="3">
        <f t="shared" si="14"/>
        <v>75000</v>
      </c>
      <c r="Y85" s="3">
        <f t="shared" si="15"/>
        <v>75000</v>
      </c>
      <c r="Z85" s="3">
        <f t="shared" si="16"/>
        <v>75000</v>
      </c>
    </row>
    <row r="86" hidden="1" spans="1:26">
      <c r="A86" s="7" t="s">
        <v>287</v>
      </c>
      <c r="B86" s="7" t="s">
        <v>289</v>
      </c>
      <c r="C86" s="8"/>
      <c r="D86" s="8">
        <f t="shared" si="17"/>
        <v>312000</v>
      </c>
      <c r="E86" s="8">
        <f t="shared" si="18"/>
        <v>1200000</v>
      </c>
      <c r="F86" s="12">
        <v>0.26</v>
      </c>
      <c r="G86" s="8">
        <v>400000</v>
      </c>
      <c r="H86" s="8">
        <v>400000</v>
      </c>
      <c r="I86" s="8">
        <v>400000</v>
      </c>
      <c r="J86" s="8"/>
      <c r="K86" s="8"/>
      <c r="L86" s="8"/>
      <c r="M86" s="8"/>
      <c r="N86" s="16">
        <v>0</v>
      </c>
      <c r="O86" s="16">
        <v>0</v>
      </c>
      <c r="P86" s="16">
        <v>0</v>
      </c>
      <c r="Q86" s="16">
        <v>786121</v>
      </c>
      <c r="R86" s="16">
        <v>0</v>
      </c>
      <c r="S86" s="3" t="str">
        <f>VLOOKUP(A86,预测!G:AU,41,0)</f>
        <v>磁性位置传感器</v>
      </c>
      <c r="T86" s="3">
        <f t="shared" si="10"/>
        <v>104000</v>
      </c>
      <c r="U86" s="3">
        <f t="shared" si="11"/>
        <v>104000</v>
      </c>
      <c r="V86" s="3">
        <f t="shared" si="12"/>
        <v>104000</v>
      </c>
      <c r="W86" s="3">
        <f t="shared" si="13"/>
        <v>0</v>
      </c>
      <c r="X86" s="3">
        <f t="shared" si="14"/>
        <v>0</v>
      </c>
      <c r="Y86" s="3">
        <f t="shared" si="15"/>
        <v>0</v>
      </c>
      <c r="Z86" s="3">
        <f t="shared" si="16"/>
        <v>0</v>
      </c>
    </row>
    <row r="87" hidden="1" spans="1:26">
      <c r="A87" s="7" t="s">
        <v>290</v>
      </c>
      <c r="B87" s="7" t="s">
        <v>291</v>
      </c>
      <c r="C87" s="8"/>
      <c r="D87" s="8">
        <f t="shared" si="17"/>
        <v>580873.846153846</v>
      </c>
      <c r="E87" s="8">
        <f t="shared" si="18"/>
        <v>2208000</v>
      </c>
      <c r="F87" s="12">
        <v>0.263076923076923</v>
      </c>
      <c r="G87" s="8">
        <v>990000</v>
      </c>
      <c r="H87" s="8">
        <v>3000</v>
      </c>
      <c r="I87" s="8">
        <v>303000</v>
      </c>
      <c r="J87" s="8">
        <v>3000</v>
      </c>
      <c r="K87" s="8">
        <v>303000</v>
      </c>
      <c r="L87" s="8">
        <v>303000</v>
      </c>
      <c r="M87" s="8">
        <v>303000</v>
      </c>
      <c r="N87" s="16">
        <v>147320</v>
      </c>
      <c r="O87" s="16">
        <v>24060</v>
      </c>
      <c r="P87" s="16">
        <v>33102</v>
      </c>
      <c r="Q87" s="16">
        <v>243605</v>
      </c>
      <c r="R87" s="16">
        <v>123112</v>
      </c>
      <c r="S87" s="3" t="str">
        <f>VLOOKUP(A87,预测!G:AU,41,0)</f>
        <v>磁性位置传感器</v>
      </c>
      <c r="T87" s="3">
        <f t="shared" si="10"/>
        <v>260446.153846154</v>
      </c>
      <c r="U87" s="3">
        <f t="shared" si="11"/>
        <v>789.230769230769</v>
      </c>
      <c r="V87" s="3">
        <f t="shared" si="12"/>
        <v>79712.3076923077</v>
      </c>
      <c r="W87" s="3">
        <f t="shared" si="13"/>
        <v>789.230769230769</v>
      </c>
      <c r="X87" s="3">
        <f t="shared" si="14"/>
        <v>79712.3076923077</v>
      </c>
      <c r="Y87" s="3">
        <f t="shared" si="15"/>
        <v>79712.3076923077</v>
      </c>
      <c r="Z87" s="3">
        <f t="shared" si="16"/>
        <v>79712.3076923077</v>
      </c>
    </row>
    <row r="88" hidden="1" spans="1:26">
      <c r="A88" s="7" t="s">
        <v>292</v>
      </c>
      <c r="B88" s="7" t="s">
        <v>293</v>
      </c>
      <c r="C88" s="8"/>
      <c r="D88" s="8">
        <f t="shared" si="17"/>
        <v>200000</v>
      </c>
      <c r="E88" s="8">
        <f t="shared" si="18"/>
        <v>695000</v>
      </c>
      <c r="F88" s="12">
        <v>0.287769784172662</v>
      </c>
      <c r="G88" s="8">
        <v>100000</v>
      </c>
      <c r="H88" s="8">
        <v>65000</v>
      </c>
      <c r="I88" s="8"/>
      <c r="J88" s="8">
        <v>150000</v>
      </c>
      <c r="K88" s="8">
        <v>115000</v>
      </c>
      <c r="L88" s="8">
        <v>100000</v>
      </c>
      <c r="M88" s="8">
        <v>165000</v>
      </c>
      <c r="N88" s="16">
        <v>72000</v>
      </c>
      <c r="O88" s="16">
        <v>0</v>
      </c>
      <c r="P88" s="16">
        <v>0</v>
      </c>
      <c r="Q88" s="16">
        <v>180000</v>
      </c>
      <c r="R88" s="16">
        <v>189000</v>
      </c>
      <c r="S88" s="3" t="str">
        <f>VLOOKUP(A88,预测!G:AU,41,0)</f>
        <v>磁性位置传感器</v>
      </c>
      <c r="T88" s="3">
        <f t="shared" si="10"/>
        <v>28776.9784172662</v>
      </c>
      <c r="U88" s="3">
        <f t="shared" si="11"/>
        <v>18705.035971223</v>
      </c>
      <c r="V88" s="3">
        <f t="shared" si="12"/>
        <v>0</v>
      </c>
      <c r="W88" s="3">
        <f t="shared" si="13"/>
        <v>43165.4676258993</v>
      </c>
      <c r="X88" s="3">
        <f t="shared" si="14"/>
        <v>33093.5251798561</v>
      </c>
      <c r="Y88" s="3">
        <f t="shared" si="15"/>
        <v>28776.9784172662</v>
      </c>
      <c r="Z88" s="3">
        <f t="shared" si="16"/>
        <v>47482.0143884892</v>
      </c>
    </row>
    <row r="89" hidden="1" spans="1:26">
      <c r="A89" s="7" t="s">
        <v>295</v>
      </c>
      <c r="B89" s="7" t="s">
        <v>296</v>
      </c>
      <c r="C89" s="8"/>
      <c r="D89" s="8">
        <f t="shared" si="17"/>
        <v>3468000</v>
      </c>
      <c r="E89" s="8">
        <f t="shared" si="18"/>
        <v>6800000</v>
      </c>
      <c r="F89" s="12">
        <v>0.51</v>
      </c>
      <c r="G89" s="8">
        <v>800000</v>
      </c>
      <c r="H89" s="8">
        <v>1000000</v>
      </c>
      <c r="I89" s="8">
        <v>1000000</v>
      </c>
      <c r="J89" s="8">
        <v>1000000</v>
      </c>
      <c r="K89" s="8">
        <v>1000000</v>
      </c>
      <c r="L89" s="8">
        <v>1000000</v>
      </c>
      <c r="M89" s="8">
        <v>1000000</v>
      </c>
      <c r="N89" s="16">
        <v>0</v>
      </c>
      <c r="O89" s="16">
        <v>600000</v>
      </c>
      <c r="P89" s="16">
        <v>700000</v>
      </c>
      <c r="Q89" s="16">
        <v>0</v>
      </c>
      <c r="R89" s="16">
        <v>228732</v>
      </c>
      <c r="S89" s="3" t="str">
        <f>VLOOKUP(A89,预测!G:AU,41,0)</f>
        <v>磁性位置传感器</v>
      </c>
      <c r="T89" s="3">
        <f t="shared" si="10"/>
        <v>408000</v>
      </c>
      <c r="U89" s="3">
        <f t="shared" si="11"/>
        <v>510000</v>
      </c>
      <c r="V89" s="3">
        <f t="shared" si="12"/>
        <v>510000</v>
      </c>
      <c r="W89" s="3">
        <f t="shared" si="13"/>
        <v>510000</v>
      </c>
      <c r="X89" s="3">
        <f t="shared" si="14"/>
        <v>510000</v>
      </c>
      <c r="Y89" s="3">
        <f t="shared" si="15"/>
        <v>510000</v>
      </c>
      <c r="Z89" s="3">
        <f t="shared" si="16"/>
        <v>510000</v>
      </c>
    </row>
    <row r="90" hidden="1" spans="1:26">
      <c r="A90" s="7" t="s">
        <v>297</v>
      </c>
      <c r="B90" s="7" t="s">
        <v>298</v>
      </c>
      <c r="C90" s="8"/>
      <c r="D90" s="8">
        <f t="shared" si="17"/>
        <v>4410100</v>
      </c>
      <c r="E90" s="8">
        <f t="shared" si="18"/>
        <v>7670000</v>
      </c>
      <c r="F90" s="12">
        <v>0.574980443285528</v>
      </c>
      <c r="G90" s="8">
        <v>680000</v>
      </c>
      <c r="H90" s="8">
        <v>1010000</v>
      </c>
      <c r="I90" s="8">
        <v>1010000</v>
      </c>
      <c r="J90" s="8">
        <v>1160000</v>
      </c>
      <c r="K90" s="8">
        <v>1110000</v>
      </c>
      <c r="L90" s="8">
        <v>1170000</v>
      </c>
      <c r="M90" s="8">
        <v>1530000</v>
      </c>
      <c r="N90" s="16">
        <v>115</v>
      </c>
      <c r="O90" s="16">
        <v>25</v>
      </c>
      <c r="P90" s="16">
        <v>18000</v>
      </c>
      <c r="Q90" s="16">
        <v>120400</v>
      </c>
      <c r="R90" s="16">
        <v>188025</v>
      </c>
      <c r="S90" s="3" t="str">
        <f>VLOOKUP(A90,预测!G:AU,41,0)</f>
        <v>磁性位置传感器</v>
      </c>
      <c r="T90" s="3">
        <f t="shared" si="10"/>
        <v>390986.701434159</v>
      </c>
      <c r="U90" s="3">
        <f t="shared" si="11"/>
        <v>580730.247718383</v>
      </c>
      <c r="V90" s="3">
        <f t="shared" si="12"/>
        <v>580730.247718383</v>
      </c>
      <c r="W90" s="3">
        <f t="shared" si="13"/>
        <v>666977.314211212</v>
      </c>
      <c r="X90" s="3">
        <f t="shared" si="14"/>
        <v>638228.292046936</v>
      </c>
      <c r="Y90" s="3">
        <f t="shared" si="15"/>
        <v>672727.118644068</v>
      </c>
      <c r="Z90" s="3">
        <f t="shared" si="16"/>
        <v>879720.078226858</v>
      </c>
    </row>
    <row r="91" hidden="1" spans="1:26">
      <c r="A91" s="7" t="s">
        <v>299</v>
      </c>
      <c r="B91" s="7" t="s">
        <v>300</v>
      </c>
      <c r="C91" s="8"/>
      <c r="D91" s="8">
        <f t="shared" si="17"/>
        <v>371360</v>
      </c>
      <c r="E91" s="8">
        <f t="shared" si="18"/>
        <v>480000</v>
      </c>
      <c r="F91" s="12">
        <v>0.773666666666667</v>
      </c>
      <c r="G91" s="8">
        <v>40000</v>
      </c>
      <c r="H91" s="8">
        <v>60000</v>
      </c>
      <c r="I91" s="8">
        <v>80000</v>
      </c>
      <c r="J91" s="8">
        <v>70000</v>
      </c>
      <c r="K91" s="8">
        <v>70000</v>
      </c>
      <c r="L91" s="8">
        <v>70000</v>
      </c>
      <c r="M91" s="8">
        <v>90000</v>
      </c>
      <c r="N91" s="16">
        <v>0</v>
      </c>
      <c r="O91" s="16">
        <v>9000</v>
      </c>
      <c r="P91" s="16">
        <v>9600</v>
      </c>
      <c r="Q91" s="16">
        <v>0</v>
      </c>
      <c r="R91" s="16">
        <v>105045</v>
      </c>
      <c r="S91" s="3" t="str">
        <f>VLOOKUP(A91,预测!G:AU,41,0)</f>
        <v>磁性位置传感器</v>
      </c>
      <c r="T91" s="3">
        <f t="shared" si="10"/>
        <v>30946.6666666667</v>
      </c>
      <c r="U91" s="3">
        <f t="shared" si="11"/>
        <v>46420</v>
      </c>
      <c r="V91" s="3">
        <f t="shared" si="12"/>
        <v>61893.3333333333</v>
      </c>
      <c r="W91" s="3">
        <f t="shared" si="13"/>
        <v>54156.6666666667</v>
      </c>
      <c r="X91" s="3">
        <f t="shared" si="14"/>
        <v>54156.6666666667</v>
      </c>
      <c r="Y91" s="3">
        <f t="shared" si="15"/>
        <v>54156.6666666667</v>
      </c>
      <c r="Z91" s="3">
        <f t="shared" si="16"/>
        <v>69630</v>
      </c>
    </row>
    <row r="92" hidden="1" spans="1:26">
      <c r="A92" s="7" t="s">
        <v>301</v>
      </c>
      <c r="B92" s="7" t="s">
        <v>302</v>
      </c>
      <c r="C92" s="8"/>
      <c r="D92" s="8">
        <f t="shared" si="17"/>
        <v>398300</v>
      </c>
      <c r="E92" s="8">
        <f t="shared" si="18"/>
        <v>665000</v>
      </c>
      <c r="F92" s="12">
        <v>0.598947368421053</v>
      </c>
      <c r="G92" s="8">
        <v>95000</v>
      </c>
      <c r="H92" s="8">
        <v>95000</v>
      </c>
      <c r="I92" s="8">
        <v>95000</v>
      </c>
      <c r="J92" s="8">
        <v>95000</v>
      </c>
      <c r="K92" s="8">
        <v>95000</v>
      </c>
      <c r="L92" s="8">
        <v>95000</v>
      </c>
      <c r="M92" s="8">
        <v>95000</v>
      </c>
      <c r="N92" s="16">
        <v>12105</v>
      </c>
      <c r="O92" s="16">
        <v>7070</v>
      </c>
      <c r="P92" s="16">
        <v>227105</v>
      </c>
      <c r="Q92" s="16">
        <v>-29000</v>
      </c>
      <c r="R92" s="16">
        <v>229000</v>
      </c>
      <c r="S92" s="3" t="str">
        <f>VLOOKUP(A92,预测!G:AU,41,0)</f>
        <v>磁性位置传感器</v>
      </c>
      <c r="T92" s="3">
        <f t="shared" si="10"/>
        <v>56900</v>
      </c>
      <c r="U92" s="3">
        <f t="shared" si="11"/>
        <v>56900</v>
      </c>
      <c r="V92" s="3">
        <f t="shared" si="12"/>
        <v>56900</v>
      </c>
      <c r="W92" s="3">
        <f t="shared" si="13"/>
        <v>56900</v>
      </c>
      <c r="X92" s="3">
        <f t="shared" si="14"/>
        <v>56900</v>
      </c>
      <c r="Y92" s="3">
        <f t="shared" si="15"/>
        <v>56900</v>
      </c>
      <c r="Z92" s="3">
        <f t="shared" si="16"/>
        <v>56900</v>
      </c>
    </row>
    <row r="93" hidden="1" spans="1:26">
      <c r="A93" s="7" t="s">
        <v>304</v>
      </c>
      <c r="B93" s="7" t="s">
        <v>305</v>
      </c>
      <c r="C93" s="8"/>
      <c r="D93" s="8">
        <f t="shared" si="17"/>
        <v>7200</v>
      </c>
      <c r="E93" s="8">
        <f t="shared" si="18"/>
        <v>10000</v>
      </c>
      <c r="F93" s="12">
        <v>0.72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10000</v>
      </c>
      <c r="N93" s="16"/>
      <c r="O93" s="16"/>
      <c r="P93" s="16"/>
      <c r="Q93" s="16"/>
      <c r="R93" s="16"/>
      <c r="S93" s="3" t="str">
        <f>VLOOKUP(A93,预测!G:AU,41,0)</f>
        <v>磁性位置传感器</v>
      </c>
      <c r="T93" s="3">
        <f t="shared" si="10"/>
        <v>0</v>
      </c>
      <c r="U93" s="3">
        <f t="shared" si="11"/>
        <v>0</v>
      </c>
      <c r="V93" s="3">
        <f t="shared" si="12"/>
        <v>0</v>
      </c>
      <c r="W93" s="3">
        <f t="shared" si="13"/>
        <v>0</v>
      </c>
      <c r="X93" s="3">
        <f t="shared" si="14"/>
        <v>0</v>
      </c>
      <c r="Y93" s="3">
        <f t="shared" si="15"/>
        <v>0</v>
      </c>
      <c r="Z93" s="3">
        <f t="shared" si="16"/>
        <v>7200</v>
      </c>
    </row>
    <row r="94" hidden="1" spans="1:26">
      <c r="A94" s="7" t="s">
        <v>306</v>
      </c>
      <c r="B94" s="7" t="s">
        <v>307</v>
      </c>
      <c r="C94" s="8"/>
      <c r="D94" s="8">
        <f t="shared" si="17"/>
        <v>502260</v>
      </c>
      <c r="E94" s="8">
        <f t="shared" si="18"/>
        <v>746000</v>
      </c>
      <c r="F94" s="12">
        <v>0.673270777479893</v>
      </c>
      <c r="G94" s="8">
        <v>3000</v>
      </c>
      <c r="H94" s="8">
        <v>83000</v>
      </c>
      <c r="I94" s="8">
        <v>35000</v>
      </c>
      <c r="J94" s="8">
        <v>85000</v>
      </c>
      <c r="K94" s="8">
        <v>140000</v>
      </c>
      <c r="L94" s="8">
        <v>150000</v>
      </c>
      <c r="M94" s="8">
        <v>250000</v>
      </c>
      <c r="N94" s="16"/>
      <c r="O94" s="16"/>
      <c r="P94" s="16"/>
      <c r="Q94" s="16"/>
      <c r="R94" s="16"/>
      <c r="S94" s="3" t="str">
        <f>VLOOKUP(A94,预测!G:AU,41,0)</f>
        <v>磁性位置传感器</v>
      </c>
      <c r="T94" s="3">
        <f t="shared" si="10"/>
        <v>2019.81233243968</v>
      </c>
      <c r="U94" s="3">
        <f t="shared" si="11"/>
        <v>55881.4745308311</v>
      </c>
      <c r="V94" s="3">
        <f t="shared" si="12"/>
        <v>23564.4772117962</v>
      </c>
      <c r="W94" s="3">
        <f t="shared" si="13"/>
        <v>57228.0160857909</v>
      </c>
      <c r="X94" s="3">
        <f t="shared" si="14"/>
        <v>94257.908847185</v>
      </c>
      <c r="Y94" s="3">
        <f t="shared" si="15"/>
        <v>100990.616621984</v>
      </c>
      <c r="Z94" s="3">
        <f t="shared" si="16"/>
        <v>168317.694369973</v>
      </c>
    </row>
    <row r="95" hidden="1" spans="1:26">
      <c r="A95" s="7" t="s">
        <v>308</v>
      </c>
      <c r="B95" s="7" t="s">
        <v>309</v>
      </c>
      <c r="C95" s="8"/>
      <c r="D95" s="8">
        <f t="shared" si="17"/>
        <v>0</v>
      </c>
      <c r="E95" s="8">
        <f t="shared" si="18"/>
        <v>0</v>
      </c>
      <c r="F95" s="12">
        <v>1.2</v>
      </c>
      <c r="G95" s="8"/>
      <c r="H95" s="8"/>
      <c r="I95" s="8"/>
      <c r="J95" s="8"/>
      <c r="K95" s="8"/>
      <c r="L95" s="8"/>
      <c r="M95" s="8"/>
      <c r="N95" s="16">
        <v>0</v>
      </c>
      <c r="O95" s="16">
        <v>12000</v>
      </c>
      <c r="P95" s="16">
        <v>11500</v>
      </c>
      <c r="Q95" s="16">
        <v>14500</v>
      </c>
      <c r="R95" s="16">
        <v>12500</v>
      </c>
      <c r="S95" s="3" t="str">
        <f>VLOOKUP(A95,预测!G:AU,41,0)</f>
        <v>磁性位置传感器</v>
      </c>
      <c r="T95" s="3">
        <f t="shared" si="10"/>
        <v>0</v>
      </c>
      <c r="U95" s="3">
        <f t="shared" si="11"/>
        <v>0</v>
      </c>
      <c r="V95" s="3">
        <f t="shared" si="12"/>
        <v>0</v>
      </c>
      <c r="W95" s="3">
        <f t="shared" si="13"/>
        <v>0</v>
      </c>
      <c r="X95" s="3">
        <f t="shared" si="14"/>
        <v>0</v>
      </c>
      <c r="Y95" s="3">
        <f t="shared" si="15"/>
        <v>0</v>
      </c>
      <c r="Z95" s="3">
        <f t="shared" si="16"/>
        <v>0</v>
      </c>
    </row>
    <row r="96" hidden="1" spans="1:26">
      <c r="A96" s="7" t="s">
        <v>311</v>
      </c>
      <c r="B96" s="7" t="s">
        <v>312</v>
      </c>
      <c r="C96" s="8"/>
      <c r="D96" s="8">
        <f t="shared" si="17"/>
        <v>3750</v>
      </c>
      <c r="E96" s="8">
        <f t="shared" si="18"/>
        <v>5000</v>
      </c>
      <c r="F96" s="12">
        <v>0.75</v>
      </c>
      <c r="G96" s="8"/>
      <c r="H96" s="8"/>
      <c r="I96" s="8"/>
      <c r="J96" s="8"/>
      <c r="K96" s="8"/>
      <c r="L96" s="8"/>
      <c r="M96" s="8">
        <v>5000</v>
      </c>
      <c r="N96" s="16"/>
      <c r="O96" s="16"/>
      <c r="P96" s="16"/>
      <c r="Q96" s="16"/>
      <c r="R96" s="16"/>
      <c r="S96" s="3" t="str">
        <f>VLOOKUP(A96,预测!G:AU,41,0)</f>
        <v>磁性位置传感器</v>
      </c>
      <c r="T96" s="3">
        <f t="shared" si="10"/>
        <v>0</v>
      </c>
      <c r="U96" s="3">
        <f t="shared" si="11"/>
        <v>0</v>
      </c>
      <c r="V96" s="3">
        <f t="shared" si="12"/>
        <v>0</v>
      </c>
      <c r="W96" s="3">
        <f t="shared" si="13"/>
        <v>0</v>
      </c>
      <c r="X96" s="3">
        <f t="shared" si="14"/>
        <v>0</v>
      </c>
      <c r="Y96" s="3">
        <f t="shared" si="15"/>
        <v>0</v>
      </c>
      <c r="Z96" s="3">
        <f t="shared" si="16"/>
        <v>3750</v>
      </c>
    </row>
    <row r="97" hidden="1" spans="1:26">
      <c r="A97" s="7" t="s">
        <v>313</v>
      </c>
      <c r="B97" s="7" t="s">
        <v>314</v>
      </c>
      <c r="C97" s="8"/>
      <c r="D97" s="8">
        <f t="shared" si="17"/>
        <v>88000</v>
      </c>
      <c r="E97" s="8">
        <f t="shared" si="18"/>
        <v>160000</v>
      </c>
      <c r="F97" s="12">
        <v>0.55</v>
      </c>
      <c r="G97" s="8">
        <v>10000</v>
      </c>
      <c r="H97" s="8">
        <v>20000</v>
      </c>
      <c r="I97" s="8">
        <v>20000</v>
      </c>
      <c r="J97" s="8">
        <v>30000</v>
      </c>
      <c r="K97" s="8">
        <v>30000</v>
      </c>
      <c r="L97" s="8">
        <v>30000</v>
      </c>
      <c r="M97" s="8">
        <v>20000</v>
      </c>
      <c r="N97" s="16"/>
      <c r="O97" s="16"/>
      <c r="P97" s="16"/>
      <c r="Q97" s="16"/>
      <c r="R97" s="16"/>
      <c r="S97" s="3" t="str">
        <f>VLOOKUP(A97,预测!G:AU,41,0)</f>
        <v>磁性位置传感器</v>
      </c>
      <c r="T97" s="3">
        <f t="shared" si="10"/>
        <v>5500</v>
      </c>
      <c r="U97" s="3">
        <f t="shared" si="11"/>
        <v>11000</v>
      </c>
      <c r="V97" s="3">
        <f t="shared" si="12"/>
        <v>11000</v>
      </c>
      <c r="W97" s="3">
        <f t="shared" si="13"/>
        <v>16500</v>
      </c>
      <c r="X97" s="3">
        <f t="shared" si="14"/>
        <v>16500</v>
      </c>
      <c r="Y97" s="3">
        <f t="shared" si="15"/>
        <v>16500</v>
      </c>
      <c r="Z97" s="3">
        <f t="shared" si="16"/>
        <v>11000</v>
      </c>
    </row>
    <row r="98" hidden="1" spans="1:26">
      <c r="A98" s="7" t="s">
        <v>315</v>
      </c>
      <c r="B98" s="7" t="s">
        <v>316</v>
      </c>
      <c r="C98" s="8"/>
      <c r="D98" s="8">
        <f t="shared" si="17"/>
        <v>810</v>
      </c>
      <c r="E98" s="8">
        <f t="shared" si="18"/>
        <v>1000</v>
      </c>
      <c r="F98" s="12">
        <v>0.81</v>
      </c>
      <c r="G98" s="8"/>
      <c r="H98" s="8"/>
      <c r="I98" s="8"/>
      <c r="J98" s="8"/>
      <c r="K98" s="8"/>
      <c r="L98" s="8"/>
      <c r="M98" s="8">
        <v>1000</v>
      </c>
      <c r="N98" s="16"/>
      <c r="O98" s="16"/>
      <c r="P98" s="16"/>
      <c r="Q98" s="16"/>
      <c r="R98" s="16"/>
      <c r="S98" s="3" t="str">
        <f>VLOOKUP(A98,预测!G:AU,41,0)</f>
        <v>磁性位置传感器</v>
      </c>
      <c r="T98" s="3">
        <f t="shared" si="10"/>
        <v>0</v>
      </c>
      <c r="U98" s="3">
        <f t="shared" si="11"/>
        <v>0</v>
      </c>
      <c r="V98" s="3">
        <f t="shared" si="12"/>
        <v>0</v>
      </c>
      <c r="W98" s="3">
        <f t="shared" si="13"/>
        <v>0</v>
      </c>
      <c r="X98" s="3">
        <f t="shared" si="14"/>
        <v>0</v>
      </c>
      <c r="Y98" s="3">
        <f t="shared" si="15"/>
        <v>0</v>
      </c>
      <c r="Z98" s="3">
        <f t="shared" si="16"/>
        <v>810</v>
      </c>
    </row>
    <row r="99" hidden="1" spans="1:26">
      <c r="A99" s="7" t="s">
        <v>318</v>
      </c>
      <c r="B99" s="7" t="s">
        <v>319</v>
      </c>
      <c r="C99" s="8"/>
      <c r="D99" s="8">
        <f t="shared" si="17"/>
        <v>13520</v>
      </c>
      <c r="E99" s="8">
        <f t="shared" si="18"/>
        <v>26000</v>
      </c>
      <c r="F99" s="12">
        <v>0.52</v>
      </c>
      <c r="G99" s="8"/>
      <c r="H99" s="8"/>
      <c r="I99" s="8"/>
      <c r="J99" s="8"/>
      <c r="K99" s="8">
        <v>5000</v>
      </c>
      <c r="L99" s="8">
        <v>8000</v>
      </c>
      <c r="M99" s="8">
        <v>13000</v>
      </c>
      <c r="N99" s="16"/>
      <c r="O99" s="16"/>
      <c r="P99" s="16"/>
      <c r="Q99" s="16"/>
      <c r="R99" s="16"/>
      <c r="S99" s="3" t="str">
        <f>VLOOKUP(A99,预测!G:AU,41,0)</f>
        <v>磁性位置传感器</v>
      </c>
      <c r="T99" s="3">
        <f t="shared" si="10"/>
        <v>0</v>
      </c>
      <c r="U99" s="3">
        <f t="shared" si="11"/>
        <v>0</v>
      </c>
      <c r="V99" s="3">
        <f t="shared" si="12"/>
        <v>0</v>
      </c>
      <c r="W99" s="3">
        <f t="shared" si="13"/>
        <v>0</v>
      </c>
      <c r="X99" s="3">
        <f t="shared" si="14"/>
        <v>2600</v>
      </c>
      <c r="Y99" s="3">
        <f t="shared" si="15"/>
        <v>4160</v>
      </c>
      <c r="Z99" s="3">
        <f t="shared" si="16"/>
        <v>6760</v>
      </c>
    </row>
    <row r="100" hidden="1" spans="1:26">
      <c r="A100" s="7" t="s">
        <v>320</v>
      </c>
      <c r="B100" s="7" t="s">
        <v>321</v>
      </c>
      <c r="C100" s="8"/>
      <c r="D100" s="8">
        <f t="shared" si="17"/>
        <v>320625</v>
      </c>
      <c r="E100" s="8">
        <f t="shared" si="18"/>
        <v>1125000</v>
      </c>
      <c r="F100" s="12">
        <v>0.285</v>
      </c>
      <c r="G100" s="8">
        <v>1125000</v>
      </c>
      <c r="H100" s="8"/>
      <c r="I100" s="8"/>
      <c r="J100" s="8"/>
      <c r="K100" s="8"/>
      <c r="L100" s="8"/>
      <c r="M100" s="8"/>
      <c r="N100" s="16"/>
      <c r="O100" s="16"/>
      <c r="P100" s="16"/>
      <c r="Q100" s="16"/>
      <c r="R100" s="16"/>
      <c r="S100" s="3" t="str">
        <f>VLOOKUP(A100,预测!G:AU,41,0)</f>
        <v>磁性位置传感器</v>
      </c>
      <c r="T100" s="3">
        <f t="shared" si="10"/>
        <v>320625</v>
      </c>
      <c r="U100" s="3">
        <f t="shared" si="11"/>
        <v>0</v>
      </c>
      <c r="V100" s="3">
        <f t="shared" si="12"/>
        <v>0</v>
      </c>
      <c r="W100" s="3">
        <f t="shared" si="13"/>
        <v>0</v>
      </c>
      <c r="X100" s="3">
        <f t="shared" si="14"/>
        <v>0</v>
      </c>
      <c r="Y100" s="3">
        <f t="shared" si="15"/>
        <v>0</v>
      </c>
      <c r="Z100" s="3">
        <f t="shared" si="16"/>
        <v>0</v>
      </c>
    </row>
    <row r="101" hidden="1" spans="1:26">
      <c r="A101" s="7" t="s">
        <v>322</v>
      </c>
      <c r="B101" s="7" t="s">
        <v>323</v>
      </c>
      <c r="C101" s="8"/>
      <c r="D101" s="8">
        <f t="shared" si="17"/>
        <v>0</v>
      </c>
      <c r="E101" s="8">
        <f t="shared" si="18"/>
        <v>0</v>
      </c>
      <c r="F101" s="12">
        <v>0.285</v>
      </c>
      <c r="G101" s="8"/>
      <c r="H101" s="8"/>
      <c r="I101" s="8"/>
      <c r="J101" s="8"/>
      <c r="K101" s="8"/>
      <c r="L101" s="8"/>
      <c r="M101" s="8"/>
      <c r="N101" s="16">
        <v>0</v>
      </c>
      <c r="O101" s="16">
        <v>0</v>
      </c>
      <c r="P101" s="16">
        <v>0</v>
      </c>
      <c r="Q101" s="16">
        <v>209885</v>
      </c>
      <c r="R101" s="16">
        <v>0</v>
      </c>
      <c r="S101" s="3" t="str">
        <f>VLOOKUP(A101,预测!G:AU,41,0)</f>
        <v>磁性位置传感器</v>
      </c>
      <c r="T101" s="3">
        <f t="shared" si="10"/>
        <v>0</v>
      </c>
      <c r="U101" s="3">
        <f t="shared" si="11"/>
        <v>0</v>
      </c>
      <c r="V101" s="3">
        <f t="shared" si="12"/>
        <v>0</v>
      </c>
      <c r="W101" s="3">
        <f t="shared" si="13"/>
        <v>0</v>
      </c>
      <c r="X101" s="3">
        <f t="shared" si="14"/>
        <v>0</v>
      </c>
      <c r="Y101" s="3">
        <f t="shared" si="15"/>
        <v>0</v>
      </c>
      <c r="Z101" s="3">
        <f t="shared" si="16"/>
        <v>0</v>
      </c>
    </row>
    <row r="102" hidden="1" spans="1:26">
      <c r="A102" s="7" t="s">
        <v>324</v>
      </c>
      <c r="B102" s="7" t="s">
        <v>325</v>
      </c>
      <c r="C102" s="8"/>
      <c r="D102" s="8">
        <f t="shared" si="17"/>
        <v>419000</v>
      </c>
      <c r="E102" s="8">
        <f t="shared" si="18"/>
        <v>2310000</v>
      </c>
      <c r="F102" s="12">
        <v>0.181385281385281</v>
      </c>
      <c r="G102" s="8">
        <v>90000</v>
      </c>
      <c r="H102" s="8">
        <v>880000</v>
      </c>
      <c r="I102" s="8">
        <v>90000</v>
      </c>
      <c r="J102" s="8">
        <v>90000</v>
      </c>
      <c r="K102" s="8">
        <v>880000</v>
      </c>
      <c r="L102" s="8">
        <v>90000</v>
      </c>
      <c r="M102" s="8">
        <v>190000</v>
      </c>
      <c r="N102" s="16"/>
      <c r="O102" s="16">
        <v>240001</v>
      </c>
      <c r="P102" s="16">
        <v>12520</v>
      </c>
      <c r="Q102" s="16">
        <v>624000</v>
      </c>
      <c r="R102" s="16">
        <v>5</v>
      </c>
      <c r="S102" s="3" t="str">
        <f>VLOOKUP(A102,预测!G:AU,41,0)</f>
        <v>磁性位置传感器</v>
      </c>
      <c r="T102" s="3">
        <f t="shared" si="10"/>
        <v>16324.6753246753</v>
      </c>
      <c r="U102" s="3">
        <f t="shared" si="11"/>
        <v>159619.047619048</v>
      </c>
      <c r="V102" s="3">
        <f t="shared" si="12"/>
        <v>16324.6753246753</v>
      </c>
      <c r="W102" s="3">
        <f t="shared" si="13"/>
        <v>16324.6753246753</v>
      </c>
      <c r="X102" s="3">
        <f t="shared" si="14"/>
        <v>159619.047619048</v>
      </c>
      <c r="Y102" s="3">
        <f t="shared" si="15"/>
        <v>16324.6753246753</v>
      </c>
      <c r="Z102" s="3">
        <f t="shared" si="16"/>
        <v>34463.2034632035</v>
      </c>
    </row>
    <row r="103" hidden="1" spans="1:26">
      <c r="A103" s="7" t="s">
        <v>326</v>
      </c>
      <c r="B103" s="7" t="s">
        <v>327</v>
      </c>
      <c r="C103" s="8"/>
      <c r="D103" s="8">
        <f t="shared" si="17"/>
        <v>418035</v>
      </c>
      <c r="E103" s="8">
        <f t="shared" si="18"/>
        <v>584500</v>
      </c>
      <c r="F103" s="12">
        <v>0.715201026518392</v>
      </c>
      <c r="G103" s="8">
        <v>100500</v>
      </c>
      <c r="H103" s="8">
        <v>86000</v>
      </c>
      <c r="I103" s="8">
        <v>110000</v>
      </c>
      <c r="J103" s="8">
        <v>0</v>
      </c>
      <c r="K103" s="8">
        <v>70000</v>
      </c>
      <c r="L103" s="8">
        <v>20000</v>
      </c>
      <c r="M103" s="8">
        <v>198000</v>
      </c>
      <c r="N103" s="16">
        <v>4000</v>
      </c>
      <c r="O103" s="16">
        <v>83000</v>
      </c>
      <c r="P103" s="16">
        <v>38005</v>
      </c>
      <c r="Q103" s="16">
        <v>83000</v>
      </c>
      <c r="R103" s="16">
        <v>83300</v>
      </c>
      <c r="S103" s="3" t="str">
        <f>VLOOKUP(A103,预测!G:AU,41,0)</f>
        <v>磁性位置传感器</v>
      </c>
      <c r="T103" s="3">
        <f t="shared" si="10"/>
        <v>71877.7031650984</v>
      </c>
      <c r="U103" s="3">
        <f t="shared" si="11"/>
        <v>61507.2882805817</v>
      </c>
      <c r="V103" s="3">
        <f t="shared" si="12"/>
        <v>78672.1129170231</v>
      </c>
      <c r="W103" s="3">
        <f t="shared" si="13"/>
        <v>0</v>
      </c>
      <c r="X103" s="3">
        <f t="shared" si="14"/>
        <v>50064.0718562874</v>
      </c>
      <c r="Y103" s="3">
        <f t="shared" si="15"/>
        <v>14304.0205303678</v>
      </c>
      <c r="Z103" s="3">
        <f t="shared" si="16"/>
        <v>141609.803250642</v>
      </c>
    </row>
    <row r="104" hidden="1" spans="1:26">
      <c r="A104" s="7" t="s">
        <v>330</v>
      </c>
      <c r="B104" s="7" t="s">
        <v>331</v>
      </c>
      <c r="C104" s="8"/>
      <c r="D104" s="8">
        <f t="shared" si="17"/>
        <v>175000</v>
      </c>
      <c r="E104" s="8">
        <f t="shared" si="18"/>
        <v>350000</v>
      </c>
      <c r="F104" s="12">
        <v>0.5</v>
      </c>
      <c r="G104" s="8">
        <v>50000</v>
      </c>
      <c r="H104" s="8">
        <v>50000</v>
      </c>
      <c r="I104" s="8">
        <v>50000</v>
      </c>
      <c r="J104" s="8">
        <v>50000</v>
      </c>
      <c r="K104" s="8">
        <v>50000</v>
      </c>
      <c r="L104" s="8">
        <v>50000</v>
      </c>
      <c r="M104" s="8">
        <v>50000</v>
      </c>
      <c r="N104" s="16">
        <v>10</v>
      </c>
      <c r="O104" s="16">
        <v>80000</v>
      </c>
      <c r="P104" s="16">
        <v>26000</v>
      </c>
      <c r="Q104" s="16">
        <v>76630</v>
      </c>
      <c r="R104" s="16">
        <v>2030</v>
      </c>
      <c r="S104" s="3" t="str">
        <f>VLOOKUP(A104,预测!G:AU,41,0)</f>
        <v>磁性位置传感器</v>
      </c>
      <c r="T104" s="3">
        <f t="shared" si="10"/>
        <v>25000</v>
      </c>
      <c r="U104" s="3">
        <f t="shared" si="11"/>
        <v>25000</v>
      </c>
      <c r="V104" s="3">
        <f t="shared" si="12"/>
        <v>25000</v>
      </c>
      <c r="W104" s="3">
        <f t="shared" si="13"/>
        <v>25000</v>
      </c>
      <c r="X104" s="3">
        <f t="shared" si="14"/>
        <v>25000</v>
      </c>
      <c r="Y104" s="3">
        <f t="shared" si="15"/>
        <v>25000</v>
      </c>
      <c r="Z104" s="3">
        <f t="shared" si="16"/>
        <v>25000</v>
      </c>
    </row>
    <row r="105" hidden="1" spans="1:26">
      <c r="A105" s="7" t="s">
        <v>330</v>
      </c>
      <c r="B105" s="7" t="s">
        <v>332</v>
      </c>
      <c r="C105" s="8"/>
      <c r="D105" s="8">
        <f t="shared" si="17"/>
        <v>89100</v>
      </c>
      <c r="E105" s="8">
        <f t="shared" si="18"/>
        <v>180000</v>
      </c>
      <c r="F105" s="12">
        <v>0.495</v>
      </c>
      <c r="G105" s="8">
        <v>0</v>
      </c>
      <c r="H105" s="8">
        <v>30000</v>
      </c>
      <c r="I105" s="8">
        <v>30000</v>
      </c>
      <c r="J105" s="8">
        <v>30000</v>
      </c>
      <c r="K105" s="8">
        <v>30000</v>
      </c>
      <c r="L105" s="8">
        <v>30000</v>
      </c>
      <c r="M105" s="8">
        <v>30000</v>
      </c>
      <c r="N105" s="16">
        <v>0</v>
      </c>
      <c r="O105" s="16">
        <v>10000</v>
      </c>
      <c r="P105" s="16">
        <v>0</v>
      </c>
      <c r="Q105" s="16">
        <v>0</v>
      </c>
      <c r="R105" s="16">
        <v>0</v>
      </c>
      <c r="S105" s="3" t="str">
        <f>VLOOKUP(A105,预测!G:AU,41,0)</f>
        <v>磁性位置传感器</v>
      </c>
      <c r="T105" s="3">
        <f t="shared" si="10"/>
        <v>0</v>
      </c>
      <c r="U105" s="3">
        <f t="shared" si="11"/>
        <v>14850</v>
      </c>
      <c r="V105" s="3">
        <f t="shared" si="12"/>
        <v>14850</v>
      </c>
      <c r="W105" s="3">
        <f t="shared" si="13"/>
        <v>14850</v>
      </c>
      <c r="X105" s="3">
        <f t="shared" si="14"/>
        <v>14850</v>
      </c>
      <c r="Y105" s="3">
        <f t="shared" si="15"/>
        <v>14850</v>
      </c>
      <c r="Z105" s="3">
        <f t="shared" si="16"/>
        <v>14850</v>
      </c>
    </row>
    <row r="106" hidden="1" spans="1:26">
      <c r="A106" s="7" t="s">
        <v>333</v>
      </c>
      <c r="B106" s="7" t="s">
        <v>334</v>
      </c>
      <c r="C106" s="8"/>
      <c r="D106" s="8">
        <f t="shared" si="17"/>
        <v>0</v>
      </c>
      <c r="E106" s="8">
        <f t="shared" si="18"/>
        <v>0</v>
      </c>
      <c r="F106" s="12">
        <v>0.2</v>
      </c>
      <c r="G106" s="8">
        <v>0</v>
      </c>
      <c r="H106" s="8">
        <v>0</v>
      </c>
      <c r="I106" s="8">
        <v>0</v>
      </c>
      <c r="J106" s="8"/>
      <c r="K106" s="8"/>
      <c r="L106" s="8"/>
      <c r="M106" s="8"/>
      <c r="N106" s="16">
        <v>0</v>
      </c>
      <c r="O106" s="16">
        <v>0</v>
      </c>
      <c r="P106" s="16">
        <v>100</v>
      </c>
      <c r="Q106" s="16">
        <v>690</v>
      </c>
      <c r="R106" s="16">
        <v>4000</v>
      </c>
      <c r="S106" s="3" t="str">
        <f>VLOOKUP(A106,预测!G:AU,41,0)</f>
        <v>磁性位置传感器</v>
      </c>
      <c r="T106" s="3">
        <f t="shared" si="10"/>
        <v>0</v>
      </c>
      <c r="U106" s="3">
        <f t="shared" si="11"/>
        <v>0</v>
      </c>
      <c r="V106" s="3">
        <f t="shared" si="12"/>
        <v>0</v>
      </c>
      <c r="W106" s="3">
        <f t="shared" si="13"/>
        <v>0</v>
      </c>
      <c r="X106" s="3">
        <f t="shared" si="14"/>
        <v>0</v>
      </c>
      <c r="Y106" s="3">
        <f t="shared" si="15"/>
        <v>0</v>
      </c>
      <c r="Z106" s="3">
        <f t="shared" si="16"/>
        <v>0</v>
      </c>
    </row>
    <row r="107" hidden="1" spans="1:26">
      <c r="A107" s="7" t="s">
        <v>336</v>
      </c>
      <c r="B107" s="7" t="s">
        <v>337</v>
      </c>
      <c r="C107" s="8"/>
      <c r="D107" s="8">
        <f t="shared" si="17"/>
        <v>385846.153846154</v>
      </c>
      <c r="E107" s="8">
        <f t="shared" si="18"/>
        <v>2200000</v>
      </c>
      <c r="F107" s="12">
        <v>0.175384615384615</v>
      </c>
      <c r="G107" s="8">
        <v>690000</v>
      </c>
      <c r="H107" s="8">
        <v>245000</v>
      </c>
      <c r="I107" s="8">
        <v>245000</v>
      </c>
      <c r="J107" s="8">
        <v>250000</v>
      </c>
      <c r="K107" s="8">
        <v>250000</v>
      </c>
      <c r="L107" s="8">
        <v>260000</v>
      </c>
      <c r="M107" s="8">
        <v>260000</v>
      </c>
      <c r="N107" s="16">
        <v>20</v>
      </c>
      <c r="O107" s="16">
        <v>10</v>
      </c>
      <c r="P107" s="16">
        <v>2079875</v>
      </c>
      <c r="Q107" s="16">
        <v>356530</v>
      </c>
      <c r="R107" s="16">
        <v>1910</v>
      </c>
      <c r="S107" s="3" t="str">
        <f>VLOOKUP(A107,预测!G:AU,41,0)</f>
        <v>磁性位置传感器</v>
      </c>
      <c r="T107" s="3">
        <f t="shared" si="10"/>
        <v>121015.384615385</v>
      </c>
      <c r="U107" s="3">
        <f t="shared" si="11"/>
        <v>42969.2307692308</v>
      </c>
      <c r="V107" s="3">
        <f t="shared" si="12"/>
        <v>42969.2307692308</v>
      </c>
      <c r="W107" s="3">
        <f t="shared" si="13"/>
        <v>43846.1538461538</v>
      </c>
      <c r="X107" s="3">
        <f t="shared" si="14"/>
        <v>43846.1538461538</v>
      </c>
      <c r="Y107" s="3">
        <f t="shared" si="15"/>
        <v>45600</v>
      </c>
      <c r="Z107" s="3">
        <f t="shared" si="16"/>
        <v>45600</v>
      </c>
    </row>
    <row r="108" hidden="1" spans="1:26">
      <c r="A108" s="7" t="s">
        <v>339</v>
      </c>
      <c r="B108" s="7" t="s">
        <v>340</v>
      </c>
      <c r="C108" s="8"/>
      <c r="D108" s="8">
        <f t="shared" si="17"/>
        <v>3710000</v>
      </c>
      <c r="E108" s="8">
        <f t="shared" si="18"/>
        <v>14000000</v>
      </c>
      <c r="F108" s="12">
        <v>0.265</v>
      </c>
      <c r="G108" s="8">
        <v>2000000</v>
      </c>
      <c r="H108" s="8">
        <v>2000000</v>
      </c>
      <c r="I108" s="8">
        <v>2000000</v>
      </c>
      <c r="J108" s="8">
        <v>2000000</v>
      </c>
      <c r="K108" s="8">
        <v>2000000</v>
      </c>
      <c r="L108" s="8">
        <v>2000000</v>
      </c>
      <c r="M108" s="8">
        <v>2000000</v>
      </c>
      <c r="N108" s="16">
        <v>0</v>
      </c>
      <c r="O108" s="16">
        <v>0</v>
      </c>
      <c r="P108" s="16">
        <v>0</v>
      </c>
      <c r="Q108" s="16">
        <v>33000</v>
      </c>
      <c r="R108" s="16">
        <v>4809000</v>
      </c>
      <c r="S108" s="3" t="str">
        <f>VLOOKUP(A108,预测!G:AU,41,0)</f>
        <v>磁性位置传感器</v>
      </c>
      <c r="T108" s="3">
        <f t="shared" si="10"/>
        <v>530000</v>
      </c>
      <c r="U108" s="3">
        <f t="shared" si="11"/>
        <v>530000</v>
      </c>
      <c r="V108" s="3">
        <f t="shared" si="12"/>
        <v>530000</v>
      </c>
      <c r="W108" s="3">
        <f t="shared" si="13"/>
        <v>530000</v>
      </c>
      <c r="X108" s="3">
        <f t="shared" si="14"/>
        <v>530000</v>
      </c>
      <c r="Y108" s="3">
        <f t="shared" si="15"/>
        <v>530000</v>
      </c>
      <c r="Z108" s="3">
        <f t="shared" si="16"/>
        <v>530000</v>
      </c>
    </row>
    <row r="109" hidden="1" spans="1:26">
      <c r="A109" s="7" t="s">
        <v>341</v>
      </c>
      <c r="B109" s="7" t="s">
        <v>342</v>
      </c>
      <c r="C109" s="8" t="s">
        <v>338</v>
      </c>
      <c r="D109" s="8">
        <f t="shared" si="17"/>
        <v>2100000</v>
      </c>
      <c r="E109" s="8">
        <f t="shared" si="18"/>
        <v>15000000</v>
      </c>
      <c r="F109" s="12">
        <v>0.14</v>
      </c>
      <c r="G109" s="8"/>
      <c r="H109" s="8"/>
      <c r="I109" s="8"/>
      <c r="J109" s="8"/>
      <c r="K109" s="8">
        <v>5000000</v>
      </c>
      <c r="L109" s="8">
        <v>5000000</v>
      </c>
      <c r="M109" s="8">
        <v>5000000</v>
      </c>
      <c r="N109" s="16">
        <v>0</v>
      </c>
      <c r="O109" s="16">
        <v>3522000</v>
      </c>
      <c r="P109" s="16">
        <v>10446000</v>
      </c>
      <c r="Q109" s="16">
        <v>2550000</v>
      </c>
      <c r="R109" s="16"/>
      <c r="S109" s="3" t="str">
        <f>VLOOKUP(A109,预测!G:AU,41,0)</f>
        <v>磁性位置传感器</v>
      </c>
      <c r="T109" s="3">
        <f t="shared" si="10"/>
        <v>0</v>
      </c>
      <c r="U109" s="3">
        <f t="shared" si="11"/>
        <v>0</v>
      </c>
      <c r="V109" s="3">
        <f t="shared" si="12"/>
        <v>0</v>
      </c>
      <c r="W109" s="3">
        <f t="shared" si="13"/>
        <v>0</v>
      </c>
      <c r="X109" s="3">
        <f t="shared" si="14"/>
        <v>700000</v>
      </c>
      <c r="Y109" s="3">
        <f t="shared" si="15"/>
        <v>700000</v>
      </c>
      <c r="Z109" s="3">
        <f t="shared" si="16"/>
        <v>700000</v>
      </c>
    </row>
    <row r="110" hidden="1" spans="1:26">
      <c r="A110" s="7" t="s">
        <v>341</v>
      </c>
      <c r="B110" s="7" t="s">
        <v>343</v>
      </c>
      <c r="C110" s="8"/>
      <c r="D110" s="8">
        <f t="shared" si="17"/>
        <v>0</v>
      </c>
      <c r="E110" s="8">
        <f t="shared" si="18"/>
        <v>0</v>
      </c>
      <c r="F110" s="12">
        <v>0.15</v>
      </c>
      <c r="G110" s="8"/>
      <c r="H110" s="8"/>
      <c r="I110" s="8"/>
      <c r="J110" s="8"/>
      <c r="K110" s="8"/>
      <c r="L110" s="8"/>
      <c r="M110" s="8"/>
      <c r="N110" s="16">
        <v>0</v>
      </c>
      <c r="O110" s="16">
        <v>4566000</v>
      </c>
      <c r="P110" s="16">
        <v>17913000</v>
      </c>
      <c r="Q110" s="16">
        <v>0</v>
      </c>
      <c r="R110" s="16">
        <v>0</v>
      </c>
      <c r="S110" s="3" t="str">
        <f>VLOOKUP(A110,预测!G:AU,41,0)</f>
        <v>磁性位置传感器</v>
      </c>
      <c r="T110" s="3">
        <f t="shared" si="10"/>
        <v>0</v>
      </c>
      <c r="U110" s="3">
        <f t="shared" si="11"/>
        <v>0</v>
      </c>
      <c r="V110" s="3">
        <f t="shared" si="12"/>
        <v>0</v>
      </c>
      <c r="W110" s="3">
        <f t="shared" si="13"/>
        <v>0</v>
      </c>
      <c r="X110" s="3">
        <f t="shared" si="14"/>
        <v>0</v>
      </c>
      <c r="Y110" s="3">
        <f t="shared" si="15"/>
        <v>0</v>
      </c>
      <c r="Z110" s="3">
        <f t="shared" si="16"/>
        <v>0</v>
      </c>
    </row>
    <row r="111" hidden="1" spans="1:26">
      <c r="A111" s="7" t="s">
        <v>344</v>
      </c>
      <c r="B111" s="7" t="s">
        <v>345</v>
      </c>
      <c r="C111" s="8"/>
      <c r="D111" s="8">
        <f t="shared" si="17"/>
        <v>112000</v>
      </c>
      <c r="E111" s="8">
        <f t="shared" si="18"/>
        <v>800000</v>
      </c>
      <c r="F111" s="12">
        <v>0.14</v>
      </c>
      <c r="G111" s="8">
        <v>200000</v>
      </c>
      <c r="H111" s="8">
        <v>0</v>
      </c>
      <c r="I111" s="8">
        <v>0</v>
      </c>
      <c r="J111" s="8">
        <v>0</v>
      </c>
      <c r="K111" s="8">
        <v>200000</v>
      </c>
      <c r="L111" s="8">
        <v>200000</v>
      </c>
      <c r="M111" s="8">
        <v>200000</v>
      </c>
      <c r="N111" s="16">
        <v>0</v>
      </c>
      <c r="O111" s="16">
        <v>0</v>
      </c>
      <c r="P111" s="16">
        <v>0</v>
      </c>
      <c r="Q111" s="16">
        <v>169435</v>
      </c>
      <c r="R111" s="16">
        <v>0</v>
      </c>
      <c r="S111" s="3" t="str">
        <f>VLOOKUP(A111,预测!G:AU,41,0)</f>
        <v>磁性位置传感器</v>
      </c>
      <c r="T111" s="3">
        <f t="shared" si="10"/>
        <v>28000</v>
      </c>
      <c r="U111" s="3">
        <f t="shared" si="11"/>
        <v>0</v>
      </c>
      <c r="V111" s="3">
        <f t="shared" si="12"/>
        <v>0</v>
      </c>
      <c r="W111" s="3">
        <f t="shared" si="13"/>
        <v>0</v>
      </c>
      <c r="X111" s="3">
        <f t="shared" si="14"/>
        <v>28000</v>
      </c>
      <c r="Y111" s="3">
        <f t="shared" si="15"/>
        <v>28000</v>
      </c>
      <c r="Z111" s="3">
        <f t="shared" si="16"/>
        <v>28000</v>
      </c>
    </row>
    <row r="112" hidden="1" spans="1:26">
      <c r="A112" s="7" t="s">
        <v>349</v>
      </c>
      <c r="B112" s="7" t="s">
        <v>350</v>
      </c>
      <c r="C112" s="8"/>
      <c r="D112" s="8">
        <f t="shared" si="17"/>
        <v>24150</v>
      </c>
      <c r="E112" s="8">
        <f t="shared" si="18"/>
        <v>105000</v>
      </c>
      <c r="F112" s="12">
        <v>0.23</v>
      </c>
      <c r="G112" s="8">
        <v>15000</v>
      </c>
      <c r="H112" s="8">
        <v>15000</v>
      </c>
      <c r="I112" s="8">
        <v>15000</v>
      </c>
      <c r="J112" s="8">
        <v>15000</v>
      </c>
      <c r="K112" s="8">
        <v>15000</v>
      </c>
      <c r="L112" s="8">
        <v>15000</v>
      </c>
      <c r="M112" s="8">
        <v>15000</v>
      </c>
      <c r="N112" s="16">
        <v>0</v>
      </c>
      <c r="O112" s="16">
        <v>0</v>
      </c>
      <c r="P112" s="16">
        <v>50</v>
      </c>
      <c r="Q112" s="16">
        <v>8005</v>
      </c>
      <c r="R112" s="16">
        <v>12010</v>
      </c>
      <c r="S112" s="3" t="str">
        <f>VLOOKUP(A112,预测!G:AU,41,0)</f>
        <v>磁性位置传感器</v>
      </c>
      <c r="T112" s="3">
        <f t="shared" si="10"/>
        <v>3450</v>
      </c>
      <c r="U112" s="3">
        <f t="shared" si="11"/>
        <v>3450</v>
      </c>
      <c r="V112" s="3">
        <f t="shared" si="12"/>
        <v>3450</v>
      </c>
      <c r="W112" s="3">
        <f t="shared" si="13"/>
        <v>3450</v>
      </c>
      <c r="X112" s="3">
        <f t="shared" si="14"/>
        <v>3450</v>
      </c>
      <c r="Y112" s="3">
        <f t="shared" si="15"/>
        <v>3450</v>
      </c>
      <c r="Z112" s="3">
        <f t="shared" si="16"/>
        <v>3450</v>
      </c>
    </row>
    <row r="113" hidden="1" spans="1:26">
      <c r="A113" s="7" t="s">
        <v>351</v>
      </c>
      <c r="B113" s="7" t="s">
        <v>352</v>
      </c>
      <c r="C113" s="8"/>
      <c r="D113" s="8">
        <f t="shared" si="17"/>
        <v>21840</v>
      </c>
      <c r="E113" s="8">
        <f t="shared" si="18"/>
        <v>84000</v>
      </c>
      <c r="F113" s="12">
        <v>0.26</v>
      </c>
      <c r="G113" s="8">
        <v>12000</v>
      </c>
      <c r="H113" s="8">
        <v>12000</v>
      </c>
      <c r="I113" s="8">
        <v>12000</v>
      </c>
      <c r="J113" s="8">
        <v>12000</v>
      </c>
      <c r="K113" s="8">
        <v>12000</v>
      </c>
      <c r="L113" s="8">
        <v>12000</v>
      </c>
      <c r="M113" s="8">
        <v>12000</v>
      </c>
      <c r="N113" s="16">
        <v>0</v>
      </c>
      <c r="O113" s="16">
        <v>0</v>
      </c>
      <c r="P113" s="16">
        <v>0</v>
      </c>
      <c r="Q113" s="16">
        <v>18000</v>
      </c>
      <c r="R113" s="16">
        <v>0</v>
      </c>
      <c r="S113" s="3" t="str">
        <f>VLOOKUP(A113,预测!G:AU,41,0)</f>
        <v>磁性位置传感器</v>
      </c>
      <c r="T113" s="3">
        <f t="shared" si="10"/>
        <v>3120</v>
      </c>
      <c r="U113" s="3">
        <f t="shared" si="11"/>
        <v>3120</v>
      </c>
      <c r="V113" s="3">
        <f t="shared" si="12"/>
        <v>3120</v>
      </c>
      <c r="W113" s="3">
        <f t="shared" si="13"/>
        <v>3120</v>
      </c>
      <c r="X113" s="3">
        <f t="shared" si="14"/>
        <v>3120</v>
      </c>
      <c r="Y113" s="3">
        <f t="shared" si="15"/>
        <v>3120</v>
      </c>
      <c r="Z113" s="3">
        <f t="shared" si="16"/>
        <v>3120</v>
      </c>
    </row>
    <row r="114" s="2" customFormat="1" hidden="1" spans="1:26">
      <c r="A114" s="9" t="s">
        <v>354</v>
      </c>
      <c r="B114" s="9" t="s">
        <v>355</v>
      </c>
      <c r="C114" s="10"/>
      <c r="D114" s="10">
        <f t="shared" si="17"/>
        <v>0</v>
      </c>
      <c r="E114" s="10">
        <f t="shared" si="18"/>
        <v>0</v>
      </c>
      <c r="F114" s="13">
        <v>0.613793103448276</v>
      </c>
      <c r="G114" s="10"/>
      <c r="H114" s="10"/>
      <c r="I114" s="10"/>
      <c r="J114" s="10"/>
      <c r="K114" s="10"/>
      <c r="L114" s="10"/>
      <c r="M114" s="10"/>
      <c r="N114" s="17"/>
      <c r="O114" s="17"/>
      <c r="P114" s="17"/>
      <c r="Q114" s="17"/>
      <c r="R114" s="17"/>
      <c r="S114" s="3" t="str">
        <f>VLOOKUP(A114,预测!G:AU,41,0)</f>
        <v>磁性位置传感器</v>
      </c>
      <c r="T114" s="3">
        <f t="shared" si="10"/>
        <v>0</v>
      </c>
      <c r="U114" s="3">
        <f t="shared" si="11"/>
        <v>0</v>
      </c>
      <c r="V114" s="3">
        <f t="shared" si="12"/>
        <v>0</v>
      </c>
      <c r="W114" s="3">
        <f t="shared" si="13"/>
        <v>0</v>
      </c>
      <c r="X114" s="3">
        <f t="shared" si="14"/>
        <v>0</v>
      </c>
      <c r="Y114" s="3">
        <f t="shared" si="15"/>
        <v>0</v>
      </c>
      <c r="Z114" s="3">
        <f t="shared" si="16"/>
        <v>0</v>
      </c>
    </row>
    <row r="115" hidden="1" spans="1:26">
      <c r="A115" s="7" t="s">
        <v>356</v>
      </c>
      <c r="B115" s="7" t="s">
        <v>357</v>
      </c>
      <c r="C115" s="8" t="s">
        <v>89</v>
      </c>
      <c r="D115" s="8">
        <f t="shared" si="17"/>
        <v>6000000</v>
      </c>
      <c r="E115" s="8">
        <f t="shared" si="18"/>
        <v>6000000</v>
      </c>
      <c r="F115" s="12">
        <v>1</v>
      </c>
      <c r="G115" s="8"/>
      <c r="H115" s="8"/>
      <c r="I115" s="8"/>
      <c r="J115" s="8"/>
      <c r="K115" s="8">
        <v>2000000</v>
      </c>
      <c r="L115" s="8">
        <v>2000000</v>
      </c>
      <c r="M115" s="8">
        <v>2000000</v>
      </c>
      <c r="N115" s="16"/>
      <c r="O115" s="16"/>
      <c r="P115" s="16"/>
      <c r="Q115" s="16"/>
      <c r="R115" s="16"/>
      <c r="S115" s="3" t="str">
        <f>VLOOKUP(A115,预测!G:AU,41,0)</f>
        <v>磁性位置传感器</v>
      </c>
      <c r="T115" s="3">
        <f t="shared" si="10"/>
        <v>0</v>
      </c>
      <c r="U115" s="3">
        <f t="shared" si="11"/>
        <v>0</v>
      </c>
      <c r="V115" s="3">
        <f t="shared" si="12"/>
        <v>0</v>
      </c>
      <c r="W115" s="3">
        <f t="shared" si="13"/>
        <v>0</v>
      </c>
      <c r="X115" s="3">
        <f t="shared" si="14"/>
        <v>2000000</v>
      </c>
      <c r="Y115" s="3">
        <f t="shared" si="15"/>
        <v>2000000</v>
      </c>
      <c r="Z115" s="3">
        <f t="shared" si="16"/>
        <v>2000000</v>
      </c>
    </row>
    <row r="116" hidden="1" spans="1:26">
      <c r="A116" s="7" t="s">
        <v>358</v>
      </c>
      <c r="B116" s="7" t="s">
        <v>359</v>
      </c>
      <c r="C116" s="8"/>
      <c r="D116" s="8">
        <f t="shared" si="17"/>
        <v>1512000</v>
      </c>
      <c r="E116" s="8">
        <f t="shared" si="18"/>
        <v>2800000</v>
      </c>
      <c r="F116" s="12">
        <v>0.54</v>
      </c>
      <c r="G116" s="8">
        <v>400000</v>
      </c>
      <c r="H116" s="8">
        <v>400000</v>
      </c>
      <c r="I116" s="8">
        <v>400000</v>
      </c>
      <c r="J116" s="8">
        <v>400000</v>
      </c>
      <c r="K116" s="8">
        <v>400000</v>
      </c>
      <c r="L116" s="8">
        <v>400000</v>
      </c>
      <c r="M116" s="8">
        <v>400000</v>
      </c>
      <c r="N116" s="16">
        <v>0</v>
      </c>
      <c r="O116" s="16">
        <v>8000</v>
      </c>
      <c r="P116" s="16">
        <v>0</v>
      </c>
      <c r="Q116" s="16">
        <v>0</v>
      </c>
      <c r="R116" s="16">
        <v>0</v>
      </c>
      <c r="S116" s="3" t="str">
        <f>VLOOKUP(A116,预测!G:AU,41,0)</f>
        <v>电流传感器</v>
      </c>
      <c r="T116" s="3">
        <f t="shared" si="10"/>
        <v>216000</v>
      </c>
      <c r="U116" s="3">
        <f t="shared" si="11"/>
        <v>216000</v>
      </c>
      <c r="V116" s="3">
        <f t="shared" si="12"/>
        <v>216000</v>
      </c>
      <c r="W116" s="3">
        <f t="shared" si="13"/>
        <v>216000</v>
      </c>
      <c r="X116" s="3">
        <f t="shared" si="14"/>
        <v>216000</v>
      </c>
      <c r="Y116" s="3">
        <f t="shared" si="15"/>
        <v>216000</v>
      </c>
      <c r="Z116" s="3">
        <f t="shared" si="16"/>
        <v>216000</v>
      </c>
    </row>
    <row r="117" hidden="1" spans="1:26">
      <c r="A117" s="7" t="s">
        <v>360</v>
      </c>
      <c r="B117" s="7" t="s">
        <v>361</v>
      </c>
      <c r="C117" s="8"/>
      <c r="D117" s="8">
        <f t="shared" si="17"/>
        <v>140000</v>
      </c>
      <c r="E117" s="8">
        <f t="shared" si="18"/>
        <v>140000</v>
      </c>
      <c r="F117" s="12">
        <v>1</v>
      </c>
      <c r="G117" s="8">
        <v>20000</v>
      </c>
      <c r="H117" s="8">
        <v>20000</v>
      </c>
      <c r="I117" s="8">
        <v>20000</v>
      </c>
      <c r="J117" s="8">
        <v>20000</v>
      </c>
      <c r="K117" s="8">
        <v>20000</v>
      </c>
      <c r="L117" s="8">
        <v>20000</v>
      </c>
      <c r="M117" s="8">
        <v>20000</v>
      </c>
      <c r="N117" s="16">
        <v>106546</v>
      </c>
      <c r="O117" s="16"/>
      <c r="P117" s="16"/>
      <c r="Q117" s="16"/>
      <c r="R117" s="16"/>
      <c r="S117" s="3" t="str">
        <f>VLOOKUP(A117,预测!G:AU,41,0)</f>
        <v>电流传感器</v>
      </c>
      <c r="T117" s="3">
        <f t="shared" si="10"/>
        <v>20000</v>
      </c>
      <c r="U117" s="3">
        <f t="shared" si="11"/>
        <v>20000</v>
      </c>
      <c r="V117" s="3">
        <f t="shared" si="12"/>
        <v>20000</v>
      </c>
      <c r="W117" s="3">
        <f t="shared" si="13"/>
        <v>20000</v>
      </c>
      <c r="X117" s="3">
        <f t="shared" si="14"/>
        <v>20000</v>
      </c>
      <c r="Y117" s="3">
        <f t="shared" si="15"/>
        <v>20000</v>
      </c>
      <c r="Z117" s="3">
        <f t="shared" si="16"/>
        <v>20000</v>
      </c>
    </row>
    <row r="118" hidden="1" spans="1:26">
      <c r="A118" s="7" t="s">
        <v>364</v>
      </c>
      <c r="B118" s="7" t="s">
        <v>365</v>
      </c>
      <c r="C118" s="8"/>
      <c r="D118" s="8">
        <f t="shared" si="17"/>
        <v>224000</v>
      </c>
      <c r="E118" s="8">
        <f t="shared" si="18"/>
        <v>80000</v>
      </c>
      <c r="F118" s="12">
        <v>2.8</v>
      </c>
      <c r="G118" s="8"/>
      <c r="H118" s="8"/>
      <c r="I118" s="8">
        <v>10000</v>
      </c>
      <c r="J118" s="8">
        <v>10000</v>
      </c>
      <c r="K118" s="8">
        <v>20000</v>
      </c>
      <c r="L118" s="8">
        <v>20000</v>
      </c>
      <c r="M118" s="8">
        <v>20000</v>
      </c>
      <c r="N118" s="16">
        <v>0</v>
      </c>
      <c r="O118" s="16">
        <v>0</v>
      </c>
      <c r="P118" s="16">
        <v>0</v>
      </c>
      <c r="Q118" s="16">
        <v>12000</v>
      </c>
      <c r="R118" s="16">
        <v>151049</v>
      </c>
      <c r="S118" s="3" t="str">
        <f>VLOOKUP(A118,预测!G:AU,41,0)</f>
        <v>电流传感器</v>
      </c>
      <c r="T118" s="3">
        <f t="shared" si="10"/>
        <v>0</v>
      </c>
      <c r="U118" s="3">
        <f t="shared" si="11"/>
        <v>0</v>
      </c>
      <c r="V118" s="3">
        <f t="shared" si="12"/>
        <v>28000</v>
      </c>
      <c r="W118" s="3">
        <f t="shared" si="13"/>
        <v>28000</v>
      </c>
      <c r="X118" s="3">
        <f t="shared" si="14"/>
        <v>56000</v>
      </c>
      <c r="Y118" s="3">
        <f t="shared" si="15"/>
        <v>56000</v>
      </c>
      <c r="Z118" s="3">
        <f t="shared" si="16"/>
        <v>56000</v>
      </c>
    </row>
    <row r="119" hidden="1" spans="1:26">
      <c r="A119" s="7" t="s">
        <v>364</v>
      </c>
      <c r="B119" s="7" t="s">
        <v>366</v>
      </c>
      <c r="C119" s="8"/>
      <c r="D119" s="8">
        <f t="shared" si="17"/>
        <v>3616000</v>
      </c>
      <c r="E119" s="8">
        <f t="shared" si="18"/>
        <v>2000000</v>
      </c>
      <c r="F119" s="12">
        <v>1.808</v>
      </c>
      <c r="G119" s="8">
        <v>800000</v>
      </c>
      <c r="H119" s="8">
        <v>300000</v>
      </c>
      <c r="I119" s="8">
        <v>150000</v>
      </c>
      <c r="J119" s="8">
        <v>150000</v>
      </c>
      <c r="K119" s="8">
        <v>200000</v>
      </c>
      <c r="L119" s="8">
        <v>200000</v>
      </c>
      <c r="M119" s="8">
        <v>200000</v>
      </c>
      <c r="N119" s="16">
        <v>727414</v>
      </c>
      <c r="O119" s="16"/>
      <c r="P119" s="16">
        <v>1000000</v>
      </c>
      <c r="Q119" s="16">
        <v>132000</v>
      </c>
      <c r="R119" s="16">
        <v>932460</v>
      </c>
      <c r="S119" s="3" t="str">
        <f>VLOOKUP(A119,预测!G:AU,41,0)</f>
        <v>电流传感器</v>
      </c>
      <c r="T119" s="3">
        <f t="shared" si="10"/>
        <v>1446400</v>
      </c>
      <c r="U119" s="3">
        <f t="shared" si="11"/>
        <v>542400</v>
      </c>
      <c r="V119" s="3">
        <f t="shared" si="12"/>
        <v>271200</v>
      </c>
      <c r="W119" s="3">
        <f t="shared" si="13"/>
        <v>271200</v>
      </c>
      <c r="X119" s="3">
        <f t="shared" si="14"/>
        <v>361600</v>
      </c>
      <c r="Y119" s="3">
        <f t="shared" si="15"/>
        <v>361600</v>
      </c>
      <c r="Z119" s="3">
        <f t="shared" si="16"/>
        <v>361600</v>
      </c>
    </row>
    <row r="120" hidden="1" spans="1:26">
      <c r="A120" s="7" t="s">
        <v>367</v>
      </c>
      <c r="B120" s="7" t="s">
        <v>368</v>
      </c>
      <c r="C120" s="8"/>
      <c r="D120" s="8">
        <f t="shared" si="17"/>
        <v>313236</v>
      </c>
      <c r="E120" s="8">
        <f t="shared" si="18"/>
        <v>140000</v>
      </c>
      <c r="F120" s="12">
        <v>2.2374</v>
      </c>
      <c r="G120" s="8">
        <v>20000</v>
      </c>
      <c r="H120" s="8">
        <v>20000</v>
      </c>
      <c r="I120" s="8">
        <v>20000</v>
      </c>
      <c r="J120" s="8">
        <v>20000</v>
      </c>
      <c r="K120" s="8">
        <v>20000</v>
      </c>
      <c r="L120" s="8">
        <v>20000</v>
      </c>
      <c r="M120" s="8">
        <v>20000</v>
      </c>
      <c r="N120" s="16">
        <v>24000</v>
      </c>
      <c r="O120" s="16"/>
      <c r="P120" s="16">
        <v>37820</v>
      </c>
      <c r="Q120" s="16"/>
      <c r="R120" s="16">
        <v>14180</v>
      </c>
      <c r="S120" s="3" t="str">
        <f>VLOOKUP(A120,预测!G:AU,41,0)</f>
        <v>电流传感器</v>
      </c>
      <c r="T120" s="3">
        <f t="shared" si="10"/>
        <v>44748</v>
      </c>
      <c r="U120" s="3">
        <f t="shared" si="11"/>
        <v>44748</v>
      </c>
      <c r="V120" s="3">
        <f t="shared" si="12"/>
        <v>44748</v>
      </c>
      <c r="W120" s="3">
        <f t="shared" si="13"/>
        <v>44748</v>
      </c>
      <c r="X120" s="3">
        <f t="shared" si="14"/>
        <v>44748</v>
      </c>
      <c r="Y120" s="3">
        <f t="shared" si="15"/>
        <v>44748</v>
      </c>
      <c r="Z120" s="3">
        <f t="shared" si="16"/>
        <v>44748</v>
      </c>
    </row>
    <row r="121" hidden="1" spans="1:26">
      <c r="A121" s="7" t="s">
        <v>369</v>
      </c>
      <c r="B121" s="7" t="s">
        <v>370</v>
      </c>
      <c r="C121" s="8"/>
      <c r="D121" s="8">
        <f t="shared" si="17"/>
        <v>78309</v>
      </c>
      <c r="E121" s="8">
        <f t="shared" si="18"/>
        <v>35000</v>
      </c>
      <c r="F121" s="12">
        <v>2.2374</v>
      </c>
      <c r="G121" s="8">
        <v>5000</v>
      </c>
      <c r="H121" s="8">
        <v>5000</v>
      </c>
      <c r="I121" s="8">
        <v>5000</v>
      </c>
      <c r="J121" s="8">
        <v>5000</v>
      </c>
      <c r="K121" s="8">
        <v>5000</v>
      </c>
      <c r="L121" s="8">
        <v>5000</v>
      </c>
      <c r="M121" s="8">
        <v>5000</v>
      </c>
      <c r="N121" s="16">
        <v>391000</v>
      </c>
      <c r="O121" s="16"/>
      <c r="P121" s="16"/>
      <c r="Q121" s="16"/>
      <c r="R121" s="16"/>
      <c r="S121" s="3" t="str">
        <f>VLOOKUP(A121,预测!G:AU,41,0)</f>
        <v>电流传感器</v>
      </c>
      <c r="T121" s="3">
        <f t="shared" si="10"/>
        <v>11187</v>
      </c>
      <c r="U121" s="3">
        <f t="shared" si="11"/>
        <v>11187</v>
      </c>
      <c r="V121" s="3">
        <f t="shared" si="12"/>
        <v>11187</v>
      </c>
      <c r="W121" s="3">
        <f t="shared" si="13"/>
        <v>11187</v>
      </c>
      <c r="X121" s="3">
        <f t="shared" si="14"/>
        <v>11187</v>
      </c>
      <c r="Y121" s="3">
        <f t="shared" si="15"/>
        <v>11187</v>
      </c>
      <c r="Z121" s="3">
        <f t="shared" si="16"/>
        <v>11187</v>
      </c>
    </row>
    <row r="122" hidden="1" spans="1:26">
      <c r="A122" s="7" t="s">
        <v>371</v>
      </c>
      <c r="B122" s="7" t="s">
        <v>372</v>
      </c>
      <c r="C122" s="8"/>
      <c r="D122" s="8">
        <f t="shared" si="17"/>
        <v>2390579.6519285</v>
      </c>
      <c r="E122" s="8">
        <f t="shared" si="18"/>
        <v>1117000</v>
      </c>
      <c r="F122" s="12">
        <v>2.14017873941674</v>
      </c>
      <c r="G122" s="8">
        <v>200000</v>
      </c>
      <c r="H122" s="8">
        <v>31000</v>
      </c>
      <c r="I122" s="8">
        <v>230000</v>
      </c>
      <c r="J122" s="8">
        <v>105000</v>
      </c>
      <c r="K122" s="8">
        <v>223000</v>
      </c>
      <c r="L122" s="8">
        <v>95000</v>
      </c>
      <c r="M122" s="8">
        <v>233000</v>
      </c>
      <c r="N122" s="16">
        <v>40000</v>
      </c>
      <c r="O122" s="16">
        <v>50000</v>
      </c>
      <c r="P122" s="16">
        <v>230000</v>
      </c>
      <c r="Q122" s="16">
        <v>54000</v>
      </c>
      <c r="R122" s="16">
        <v>53500</v>
      </c>
      <c r="S122" s="3" t="str">
        <f>VLOOKUP(A122,预测!G:AU,41,0)</f>
        <v>电流传感器</v>
      </c>
      <c r="T122" s="3">
        <f t="shared" si="10"/>
        <v>428035.747883349</v>
      </c>
      <c r="U122" s="3">
        <f t="shared" si="11"/>
        <v>66345.5409219191</v>
      </c>
      <c r="V122" s="3">
        <f t="shared" si="12"/>
        <v>492241.110065851</v>
      </c>
      <c r="W122" s="3">
        <f t="shared" si="13"/>
        <v>224718.767638758</v>
      </c>
      <c r="X122" s="3">
        <f t="shared" si="14"/>
        <v>477259.858889934</v>
      </c>
      <c r="Y122" s="3">
        <f t="shared" si="15"/>
        <v>203316.980244591</v>
      </c>
      <c r="Z122" s="3">
        <f t="shared" si="16"/>
        <v>498661.646284102</v>
      </c>
    </row>
    <row r="123" hidden="1" spans="1:26">
      <c r="A123" s="7" t="s">
        <v>371</v>
      </c>
      <c r="B123" s="7" t="s">
        <v>373</v>
      </c>
      <c r="C123" s="8"/>
      <c r="D123" s="8">
        <f t="shared" si="17"/>
        <v>3412500</v>
      </c>
      <c r="E123" s="8">
        <f t="shared" si="18"/>
        <v>1750000</v>
      </c>
      <c r="F123" s="12">
        <v>1.95</v>
      </c>
      <c r="G123" s="8">
        <v>250000</v>
      </c>
      <c r="H123" s="8">
        <v>250000</v>
      </c>
      <c r="I123" s="8">
        <v>250000</v>
      </c>
      <c r="J123" s="8">
        <v>250000</v>
      </c>
      <c r="K123" s="8">
        <v>250000</v>
      </c>
      <c r="L123" s="8">
        <v>250000</v>
      </c>
      <c r="M123" s="8">
        <v>250000</v>
      </c>
      <c r="N123" s="16"/>
      <c r="O123" s="16">
        <v>2985</v>
      </c>
      <c r="P123" s="16">
        <v>232765</v>
      </c>
      <c r="Q123" s="16">
        <v>268156</v>
      </c>
      <c r="R123" s="16"/>
      <c r="S123" s="3" t="str">
        <f>VLOOKUP(A123,预测!G:AU,41,0)</f>
        <v>电流传感器</v>
      </c>
      <c r="T123" s="3">
        <f t="shared" si="10"/>
        <v>487500</v>
      </c>
      <c r="U123" s="3">
        <f t="shared" si="11"/>
        <v>487500</v>
      </c>
      <c r="V123" s="3">
        <f t="shared" si="12"/>
        <v>487500</v>
      </c>
      <c r="W123" s="3">
        <f t="shared" si="13"/>
        <v>487500</v>
      </c>
      <c r="X123" s="3">
        <f t="shared" si="14"/>
        <v>487500</v>
      </c>
      <c r="Y123" s="3">
        <f t="shared" si="15"/>
        <v>487500</v>
      </c>
      <c r="Z123" s="3">
        <f t="shared" si="16"/>
        <v>487500</v>
      </c>
    </row>
    <row r="124" hidden="1" spans="1:26">
      <c r="A124" s="7" t="s">
        <v>599</v>
      </c>
      <c r="B124" s="7" t="s">
        <v>374</v>
      </c>
      <c r="C124" s="8"/>
      <c r="D124" s="8">
        <f t="shared" si="17"/>
        <v>10237500</v>
      </c>
      <c r="E124" s="8">
        <f t="shared" si="18"/>
        <v>5250000</v>
      </c>
      <c r="F124" s="12">
        <v>1.95</v>
      </c>
      <c r="G124" s="8">
        <v>750000</v>
      </c>
      <c r="H124" s="8">
        <v>750000</v>
      </c>
      <c r="I124" s="8">
        <v>750000</v>
      </c>
      <c r="J124" s="8">
        <v>750000</v>
      </c>
      <c r="K124" s="8">
        <v>750000</v>
      </c>
      <c r="L124" s="8">
        <v>750000</v>
      </c>
      <c r="M124" s="8">
        <v>750000</v>
      </c>
      <c r="N124" s="16">
        <v>782000</v>
      </c>
      <c r="O124" s="16">
        <v>400000</v>
      </c>
      <c r="P124" s="16">
        <v>646000</v>
      </c>
      <c r="Q124" s="16">
        <v>430000</v>
      </c>
      <c r="R124" s="16"/>
      <c r="S124" s="3" t="s">
        <v>532</v>
      </c>
      <c r="T124" s="3">
        <f t="shared" si="10"/>
        <v>1462500</v>
      </c>
      <c r="U124" s="3">
        <f t="shared" si="11"/>
        <v>1462500</v>
      </c>
      <c r="V124" s="3">
        <f t="shared" si="12"/>
        <v>1462500</v>
      </c>
      <c r="W124" s="3">
        <f t="shared" si="13"/>
        <v>1462500</v>
      </c>
      <c r="X124" s="3">
        <f t="shared" si="14"/>
        <v>1462500</v>
      </c>
      <c r="Y124" s="3">
        <f t="shared" si="15"/>
        <v>1462500</v>
      </c>
      <c r="Z124" s="3">
        <f t="shared" si="16"/>
        <v>1462500</v>
      </c>
    </row>
    <row r="125" hidden="1" spans="1:26">
      <c r="A125" s="7" t="s">
        <v>375</v>
      </c>
      <c r="B125" s="7" t="s">
        <v>376</v>
      </c>
      <c r="C125" s="8"/>
      <c r="D125" s="8">
        <f t="shared" si="17"/>
        <v>1144500</v>
      </c>
      <c r="E125" s="8">
        <f t="shared" si="18"/>
        <v>545000</v>
      </c>
      <c r="F125" s="12">
        <v>2.1</v>
      </c>
      <c r="G125" s="8">
        <v>75000</v>
      </c>
      <c r="H125" s="8">
        <v>75000</v>
      </c>
      <c r="I125" s="8">
        <v>75000</v>
      </c>
      <c r="J125" s="8">
        <v>80000</v>
      </c>
      <c r="K125" s="8">
        <v>80000</v>
      </c>
      <c r="L125" s="8">
        <v>80000</v>
      </c>
      <c r="M125" s="8">
        <v>80000</v>
      </c>
      <c r="N125" s="16">
        <v>0</v>
      </c>
      <c r="O125" s="16">
        <v>0</v>
      </c>
      <c r="P125" s="16">
        <v>29000</v>
      </c>
      <c r="Q125" s="16">
        <v>22710</v>
      </c>
      <c r="R125" s="16">
        <v>34810</v>
      </c>
      <c r="S125" s="3" t="str">
        <f>VLOOKUP(A125,预测!G:AU,41,0)</f>
        <v>电流传感器</v>
      </c>
      <c r="T125" s="3">
        <f t="shared" si="10"/>
        <v>157500</v>
      </c>
      <c r="U125" s="3">
        <f t="shared" si="11"/>
        <v>157500</v>
      </c>
      <c r="V125" s="3">
        <f t="shared" si="12"/>
        <v>157500</v>
      </c>
      <c r="W125" s="3">
        <f t="shared" si="13"/>
        <v>168000</v>
      </c>
      <c r="X125" s="3">
        <f t="shared" si="14"/>
        <v>168000</v>
      </c>
      <c r="Y125" s="3">
        <f t="shared" si="15"/>
        <v>168000</v>
      </c>
      <c r="Z125" s="3">
        <f t="shared" si="16"/>
        <v>168000</v>
      </c>
    </row>
    <row r="126" hidden="1" spans="1:26">
      <c r="A126" s="7" t="s">
        <v>377</v>
      </c>
      <c r="B126" s="7" t="s">
        <v>378</v>
      </c>
      <c r="C126" s="8"/>
      <c r="D126" s="8">
        <f t="shared" si="17"/>
        <v>0</v>
      </c>
      <c r="E126" s="8">
        <f t="shared" si="18"/>
        <v>0</v>
      </c>
      <c r="F126" s="12">
        <v>2.4</v>
      </c>
      <c r="G126" s="8"/>
      <c r="H126" s="8"/>
      <c r="I126" s="8"/>
      <c r="J126" s="8"/>
      <c r="K126" s="8"/>
      <c r="L126" s="8"/>
      <c r="M126" s="8"/>
      <c r="N126" s="16">
        <v>10030</v>
      </c>
      <c r="O126" s="16">
        <v>25200</v>
      </c>
      <c r="P126" s="16">
        <v>-6700</v>
      </c>
      <c r="Q126" s="16">
        <v>6526</v>
      </c>
      <c r="R126" s="16">
        <v>3327</v>
      </c>
      <c r="S126" s="3" t="str">
        <f>VLOOKUP(A126,预测!G:AU,41,0)</f>
        <v>电流传感器</v>
      </c>
      <c r="T126" s="3">
        <f t="shared" si="10"/>
        <v>0</v>
      </c>
      <c r="U126" s="3">
        <f t="shared" si="11"/>
        <v>0</v>
      </c>
      <c r="V126" s="3">
        <f t="shared" si="12"/>
        <v>0</v>
      </c>
      <c r="W126" s="3">
        <f t="shared" si="13"/>
        <v>0</v>
      </c>
      <c r="X126" s="3">
        <f t="shared" si="14"/>
        <v>0</v>
      </c>
      <c r="Y126" s="3">
        <f t="shared" si="15"/>
        <v>0</v>
      </c>
      <c r="Z126" s="3">
        <f t="shared" si="16"/>
        <v>0</v>
      </c>
    </row>
    <row r="127" hidden="1" spans="1:26">
      <c r="A127" s="7" t="s">
        <v>379</v>
      </c>
      <c r="B127" s="7" t="s">
        <v>380</v>
      </c>
      <c r="C127" s="8"/>
      <c r="D127" s="8">
        <f t="shared" si="17"/>
        <v>1716100</v>
      </c>
      <c r="E127" s="8">
        <f t="shared" si="18"/>
        <v>905000</v>
      </c>
      <c r="F127" s="12">
        <v>1.89624309392265</v>
      </c>
      <c r="G127" s="8">
        <v>25000</v>
      </c>
      <c r="H127" s="8">
        <v>55000</v>
      </c>
      <c r="I127" s="8">
        <v>105000</v>
      </c>
      <c r="J127" s="8">
        <v>105000</v>
      </c>
      <c r="K127" s="8">
        <v>205000</v>
      </c>
      <c r="L127" s="8">
        <v>205000</v>
      </c>
      <c r="M127" s="8">
        <v>205000</v>
      </c>
      <c r="N127" s="16"/>
      <c r="O127" s="16"/>
      <c r="P127" s="16">
        <v>16172</v>
      </c>
      <c r="Q127" s="16">
        <v>4000</v>
      </c>
      <c r="R127" s="16">
        <v>6000</v>
      </c>
      <c r="S127" s="3" t="str">
        <f>VLOOKUP(A127,预测!G:AU,41,0)</f>
        <v>电流传感器</v>
      </c>
      <c r="T127" s="3">
        <f t="shared" si="10"/>
        <v>47406.0773480663</v>
      </c>
      <c r="U127" s="3">
        <f t="shared" si="11"/>
        <v>104293.370165746</v>
      </c>
      <c r="V127" s="3">
        <f t="shared" si="12"/>
        <v>199105.524861878</v>
      </c>
      <c r="W127" s="3">
        <f t="shared" si="13"/>
        <v>199105.524861878</v>
      </c>
      <c r="X127" s="3">
        <f t="shared" si="14"/>
        <v>388729.834254144</v>
      </c>
      <c r="Y127" s="3">
        <f t="shared" si="15"/>
        <v>388729.834254144</v>
      </c>
      <c r="Z127" s="3">
        <f t="shared" si="16"/>
        <v>388729.834254144</v>
      </c>
    </row>
    <row r="128" hidden="1" spans="1:26">
      <c r="A128" s="7" t="s">
        <v>381</v>
      </c>
      <c r="B128" s="7" t="s">
        <v>382</v>
      </c>
      <c r="C128" s="8"/>
      <c r="D128" s="8">
        <f t="shared" si="17"/>
        <v>44946</v>
      </c>
      <c r="E128" s="8">
        <f t="shared" si="18"/>
        <v>18000</v>
      </c>
      <c r="F128" s="12">
        <v>2.497</v>
      </c>
      <c r="G128" s="8"/>
      <c r="H128" s="8">
        <v>3000</v>
      </c>
      <c r="I128" s="8"/>
      <c r="J128" s="8">
        <v>3000</v>
      </c>
      <c r="K128" s="8"/>
      <c r="L128" s="8">
        <v>6000</v>
      </c>
      <c r="M128" s="8">
        <v>6000</v>
      </c>
      <c r="N128" s="16"/>
      <c r="O128" s="16"/>
      <c r="P128" s="16"/>
      <c r="Q128" s="16"/>
      <c r="R128" s="16"/>
      <c r="S128" s="3" t="str">
        <f>VLOOKUP(A128,预测!G:AU,41,0)</f>
        <v>电流传感器</v>
      </c>
      <c r="T128" s="3">
        <f t="shared" si="10"/>
        <v>0</v>
      </c>
      <c r="U128" s="3">
        <f t="shared" si="11"/>
        <v>7491</v>
      </c>
      <c r="V128" s="3">
        <f t="shared" si="12"/>
        <v>0</v>
      </c>
      <c r="W128" s="3">
        <f t="shared" si="13"/>
        <v>7491</v>
      </c>
      <c r="X128" s="3">
        <f t="shared" si="14"/>
        <v>0</v>
      </c>
      <c r="Y128" s="3">
        <f t="shared" si="15"/>
        <v>14982</v>
      </c>
      <c r="Z128" s="3">
        <f t="shared" si="16"/>
        <v>14982</v>
      </c>
    </row>
    <row r="129" hidden="1" spans="1:26">
      <c r="A129" s="7" t="s">
        <v>383</v>
      </c>
      <c r="B129" s="7" t="s">
        <v>384</v>
      </c>
      <c r="C129" s="8"/>
      <c r="D129" s="8">
        <f t="shared" si="17"/>
        <v>142880</v>
      </c>
      <c r="E129" s="8">
        <f t="shared" si="18"/>
        <v>76000</v>
      </c>
      <c r="F129" s="12">
        <v>1.88</v>
      </c>
      <c r="G129" s="8">
        <v>6000</v>
      </c>
      <c r="H129" s="8">
        <v>11000</v>
      </c>
      <c r="I129" s="8">
        <v>11000</v>
      </c>
      <c r="J129" s="8">
        <v>11000</v>
      </c>
      <c r="K129" s="8">
        <v>11000</v>
      </c>
      <c r="L129" s="8">
        <v>11000</v>
      </c>
      <c r="M129" s="8">
        <v>15000</v>
      </c>
      <c r="N129" s="16"/>
      <c r="O129" s="16"/>
      <c r="P129" s="16"/>
      <c r="Q129" s="16">
        <v>6000</v>
      </c>
      <c r="R129" s="16">
        <v>900</v>
      </c>
      <c r="S129" s="3" t="str">
        <f>VLOOKUP(A129,预测!G:AU,41,0)</f>
        <v>电流传感器</v>
      </c>
      <c r="T129" s="3">
        <f t="shared" si="10"/>
        <v>11280</v>
      </c>
      <c r="U129" s="3">
        <f t="shared" si="11"/>
        <v>20680</v>
      </c>
      <c r="V129" s="3">
        <f t="shared" si="12"/>
        <v>20680</v>
      </c>
      <c r="W129" s="3">
        <f t="shared" si="13"/>
        <v>20680</v>
      </c>
      <c r="X129" s="3">
        <f t="shared" si="14"/>
        <v>20680</v>
      </c>
      <c r="Y129" s="3">
        <f t="shared" si="15"/>
        <v>20680</v>
      </c>
      <c r="Z129" s="3">
        <f t="shared" si="16"/>
        <v>28200</v>
      </c>
    </row>
    <row r="130" s="2" customFormat="1" hidden="1" spans="1:26">
      <c r="A130" s="9" t="s">
        <v>385</v>
      </c>
      <c r="B130" s="9" t="s">
        <v>386</v>
      </c>
      <c r="C130" s="10"/>
      <c r="D130" s="8">
        <f t="shared" si="17"/>
        <v>387180</v>
      </c>
      <c r="E130" s="10">
        <f t="shared" si="18"/>
        <v>239000</v>
      </c>
      <c r="F130" s="13">
        <v>1.62</v>
      </c>
      <c r="G130" s="10">
        <v>39000</v>
      </c>
      <c r="H130" s="10">
        <v>50000</v>
      </c>
      <c r="I130" s="10">
        <v>50000</v>
      </c>
      <c r="J130" s="10"/>
      <c r="K130" s="10">
        <v>50000</v>
      </c>
      <c r="L130" s="10">
        <v>50000</v>
      </c>
      <c r="M130" s="10"/>
      <c r="N130" s="17">
        <v>30655</v>
      </c>
      <c r="O130" s="17">
        <v>7168</v>
      </c>
      <c r="P130" s="17">
        <v>61078</v>
      </c>
      <c r="Q130" s="17">
        <v>41864</v>
      </c>
      <c r="R130" s="17">
        <v>58510</v>
      </c>
      <c r="S130" s="3" t="str">
        <f>VLOOKUP(A130,预测!G:AU,41,0)</f>
        <v>电流传感器</v>
      </c>
      <c r="T130" s="3">
        <f t="shared" si="10"/>
        <v>63180</v>
      </c>
      <c r="U130" s="3">
        <f t="shared" si="11"/>
        <v>81000</v>
      </c>
      <c r="V130" s="3">
        <f t="shared" si="12"/>
        <v>81000</v>
      </c>
      <c r="W130" s="3">
        <f t="shared" si="13"/>
        <v>0</v>
      </c>
      <c r="X130" s="3">
        <f t="shared" si="14"/>
        <v>81000</v>
      </c>
      <c r="Y130" s="3">
        <f t="shared" si="15"/>
        <v>81000</v>
      </c>
      <c r="Z130" s="3">
        <f t="shared" si="16"/>
        <v>0</v>
      </c>
    </row>
    <row r="131" hidden="1" spans="1:26">
      <c r="A131" s="7" t="s">
        <v>387</v>
      </c>
      <c r="B131" s="7" t="s">
        <v>388</v>
      </c>
      <c r="C131" s="8"/>
      <c r="D131" s="8">
        <f t="shared" si="17"/>
        <v>14000</v>
      </c>
      <c r="E131" s="8">
        <f t="shared" ref="E131:E199" si="19">SUM(G131:M131)</f>
        <v>5000</v>
      </c>
      <c r="F131" s="12">
        <v>2.8</v>
      </c>
      <c r="G131" s="8"/>
      <c r="H131" s="8"/>
      <c r="I131" s="8"/>
      <c r="J131" s="8"/>
      <c r="K131" s="8"/>
      <c r="L131" s="8"/>
      <c r="M131" s="8">
        <v>5000</v>
      </c>
      <c r="N131" s="16"/>
      <c r="O131" s="16"/>
      <c r="P131" s="16"/>
      <c r="Q131" s="16"/>
      <c r="R131" s="16"/>
      <c r="S131" s="3" t="str">
        <f>VLOOKUP(A131,预测!G:AU,41,0)</f>
        <v>电流传感器</v>
      </c>
      <c r="T131" s="3">
        <f t="shared" ref="T131:T194" si="20">G131*$F131</f>
        <v>0</v>
      </c>
      <c r="U131" s="3">
        <f t="shared" ref="U131:U194" si="21">H131*$F131</f>
        <v>0</v>
      </c>
      <c r="V131" s="3">
        <f t="shared" ref="V131:V194" si="22">I131*$F131</f>
        <v>0</v>
      </c>
      <c r="W131" s="3">
        <f t="shared" ref="W131:W194" si="23">J131*$F131</f>
        <v>0</v>
      </c>
      <c r="X131" s="3">
        <f t="shared" ref="X131:X194" si="24">K131*$F131</f>
        <v>0</v>
      </c>
      <c r="Y131" s="3">
        <f t="shared" ref="Y131:Y194" si="25">L131*$F131</f>
        <v>0</v>
      </c>
      <c r="Z131" s="3">
        <f t="shared" ref="Z131:Z194" si="26">M131*$F131</f>
        <v>14000</v>
      </c>
    </row>
    <row r="132" s="2" customFormat="1" hidden="1" spans="1:26">
      <c r="A132" s="9" t="s">
        <v>389</v>
      </c>
      <c r="B132" s="9" t="s">
        <v>390</v>
      </c>
      <c r="C132" s="19"/>
      <c r="D132" s="19">
        <f t="shared" ref="D132:D196" si="27">SUM(G132:M132)*F132</f>
        <v>1465227.27272727</v>
      </c>
      <c r="E132" s="19">
        <f t="shared" si="19"/>
        <v>1050000</v>
      </c>
      <c r="F132" s="21">
        <v>1.39545454545455</v>
      </c>
      <c r="G132" s="19">
        <v>150000</v>
      </c>
      <c r="H132" s="19">
        <v>150000</v>
      </c>
      <c r="I132" s="19">
        <v>150000</v>
      </c>
      <c r="J132" s="19">
        <v>150000</v>
      </c>
      <c r="K132" s="19">
        <v>150000</v>
      </c>
      <c r="L132" s="19">
        <v>150000</v>
      </c>
      <c r="M132" s="19">
        <v>150000</v>
      </c>
      <c r="N132" s="19">
        <v>0</v>
      </c>
      <c r="O132" s="19">
        <v>344000</v>
      </c>
      <c r="P132" s="19">
        <v>100000</v>
      </c>
      <c r="Q132" s="19">
        <v>0</v>
      </c>
      <c r="R132" s="19">
        <v>151206</v>
      </c>
      <c r="S132" s="3" t="str">
        <f>VLOOKUP(A132,预测!G:AU,41,0)</f>
        <v>角度传感器</v>
      </c>
      <c r="T132" s="3">
        <f t="shared" si="20"/>
        <v>209318.181818182</v>
      </c>
      <c r="U132" s="3">
        <f t="shared" si="21"/>
        <v>209318.181818182</v>
      </c>
      <c r="V132" s="3">
        <f t="shared" si="22"/>
        <v>209318.181818182</v>
      </c>
      <c r="W132" s="3">
        <f t="shared" si="23"/>
        <v>209318.181818182</v>
      </c>
      <c r="X132" s="3">
        <f t="shared" si="24"/>
        <v>209318.181818182</v>
      </c>
      <c r="Y132" s="3">
        <f t="shared" si="25"/>
        <v>209318.181818182</v>
      </c>
      <c r="Z132" s="3">
        <f t="shared" si="26"/>
        <v>209318.181818182</v>
      </c>
    </row>
    <row r="133" hidden="1" spans="1:26">
      <c r="A133" s="7" t="s">
        <v>391</v>
      </c>
      <c r="B133" s="7" t="s">
        <v>392</v>
      </c>
      <c r="C133" s="8"/>
      <c r="D133" s="8">
        <f t="shared" si="27"/>
        <v>1967753.42465753</v>
      </c>
      <c r="E133" s="8">
        <f t="shared" si="19"/>
        <v>807000</v>
      </c>
      <c r="F133" s="12">
        <v>2.43835616438356</v>
      </c>
      <c r="G133" s="8">
        <v>84000</v>
      </c>
      <c r="H133" s="8">
        <v>102000</v>
      </c>
      <c r="I133" s="8">
        <v>110000</v>
      </c>
      <c r="J133" s="8">
        <v>114000</v>
      </c>
      <c r="K133" s="8">
        <v>129000</v>
      </c>
      <c r="L133" s="8">
        <v>129000</v>
      </c>
      <c r="M133" s="8">
        <v>139000</v>
      </c>
      <c r="N133" s="16">
        <v>8000</v>
      </c>
      <c r="O133" s="16">
        <v>16000</v>
      </c>
      <c r="P133" s="16">
        <v>170950</v>
      </c>
      <c r="Q133" s="16">
        <v>156000</v>
      </c>
      <c r="R133" s="16">
        <v>72300</v>
      </c>
      <c r="S133" s="3" t="str">
        <f>VLOOKUP(A133,预测!G:AU,41,0)</f>
        <v>角度传感器</v>
      </c>
      <c r="T133" s="3">
        <f t="shared" si="20"/>
        <v>204821.917808219</v>
      </c>
      <c r="U133" s="3">
        <f t="shared" si="21"/>
        <v>248712.328767123</v>
      </c>
      <c r="V133" s="3">
        <f t="shared" si="22"/>
        <v>268219.178082192</v>
      </c>
      <c r="W133" s="3">
        <f t="shared" si="23"/>
        <v>277972.602739726</v>
      </c>
      <c r="X133" s="3">
        <f t="shared" si="24"/>
        <v>314547.945205479</v>
      </c>
      <c r="Y133" s="3">
        <f t="shared" si="25"/>
        <v>314547.945205479</v>
      </c>
      <c r="Z133" s="3">
        <f t="shared" si="26"/>
        <v>338931.506849315</v>
      </c>
    </row>
    <row r="134" hidden="1" spans="1:26">
      <c r="A134" s="7" t="s">
        <v>391</v>
      </c>
      <c r="B134" s="7" t="s">
        <v>1640</v>
      </c>
      <c r="C134" s="8"/>
      <c r="D134" s="8">
        <f t="shared" si="27"/>
        <v>0</v>
      </c>
      <c r="E134" s="8">
        <f t="shared" si="19"/>
        <v>0</v>
      </c>
      <c r="F134" s="12">
        <v>1.9</v>
      </c>
      <c r="G134" s="8"/>
      <c r="H134" s="8"/>
      <c r="I134" s="8"/>
      <c r="J134" s="8"/>
      <c r="K134" s="8"/>
      <c r="L134" s="8"/>
      <c r="M134" s="8"/>
      <c r="N134" s="16">
        <v>0</v>
      </c>
      <c r="O134" s="16">
        <v>0</v>
      </c>
      <c r="P134" s="16">
        <v>0</v>
      </c>
      <c r="Q134" s="16">
        <v>4000</v>
      </c>
      <c r="R134" s="16">
        <v>386369</v>
      </c>
      <c r="S134" s="3" t="str">
        <f>VLOOKUP(A134,预测!G:AU,41,0)</f>
        <v>角度传感器</v>
      </c>
      <c r="T134" s="3">
        <f t="shared" si="20"/>
        <v>0</v>
      </c>
      <c r="U134" s="3">
        <f t="shared" si="21"/>
        <v>0</v>
      </c>
      <c r="V134" s="3">
        <f t="shared" si="22"/>
        <v>0</v>
      </c>
      <c r="W134" s="3">
        <f t="shared" si="23"/>
        <v>0</v>
      </c>
      <c r="X134" s="3">
        <f t="shared" si="24"/>
        <v>0</v>
      </c>
      <c r="Y134" s="3">
        <f t="shared" si="25"/>
        <v>0</v>
      </c>
      <c r="Z134" s="3">
        <f t="shared" si="26"/>
        <v>0</v>
      </c>
    </row>
    <row r="135" hidden="1" spans="1:26">
      <c r="A135" s="7" t="s">
        <v>393</v>
      </c>
      <c r="B135" s="7" t="s">
        <v>394</v>
      </c>
      <c r="C135" s="8"/>
      <c r="D135" s="8">
        <f t="shared" si="27"/>
        <v>3358493.98203593</v>
      </c>
      <c r="E135" s="8">
        <f t="shared" si="19"/>
        <v>1291000</v>
      </c>
      <c r="F135" s="12">
        <v>2.60146706586826</v>
      </c>
      <c r="G135" s="8">
        <v>228000</v>
      </c>
      <c r="H135" s="8">
        <v>150000</v>
      </c>
      <c r="I135" s="8">
        <v>320000</v>
      </c>
      <c r="J135" s="8">
        <v>148000</v>
      </c>
      <c r="K135" s="8">
        <v>130000</v>
      </c>
      <c r="L135" s="8">
        <v>155000</v>
      </c>
      <c r="M135" s="8">
        <v>160000</v>
      </c>
      <c r="N135" s="16">
        <v>1052</v>
      </c>
      <c r="O135" s="16">
        <v>69864</v>
      </c>
      <c r="P135" s="16">
        <v>89170</v>
      </c>
      <c r="Q135" s="16">
        <v>90026</v>
      </c>
      <c r="R135" s="16">
        <v>7050</v>
      </c>
      <c r="S135" s="3" t="str">
        <f>VLOOKUP(A135,预测!G:AU,41,0)</f>
        <v>角度传感器</v>
      </c>
      <c r="T135" s="3">
        <f t="shared" si="20"/>
        <v>593134.491017964</v>
      </c>
      <c r="U135" s="3">
        <f t="shared" si="21"/>
        <v>390220.059880239</v>
      </c>
      <c r="V135" s="3">
        <f t="shared" si="22"/>
        <v>832469.461077844</v>
      </c>
      <c r="W135" s="3">
        <f t="shared" si="23"/>
        <v>385017.125748503</v>
      </c>
      <c r="X135" s="3">
        <f t="shared" si="24"/>
        <v>338190.718562874</v>
      </c>
      <c r="Y135" s="3">
        <f t="shared" si="25"/>
        <v>403227.395209581</v>
      </c>
      <c r="Z135" s="3">
        <f t="shared" si="26"/>
        <v>416234.730538922</v>
      </c>
    </row>
    <row r="136" hidden="1" spans="1:26">
      <c r="A136" s="7" t="s">
        <v>393</v>
      </c>
      <c r="B136" s="7" t="s">
        <v>395</v>
      </c>
      <c r="C136" s="8"/>
      <c r="D136" s="8">
        <f t="shared" si="27"/>
        <v>8228000</v>
      </c>
      <c r="E136" s="8">
        <f t="shared" si="19"/>
        <v>3400000</v>
      </c>
      <c r="F136" s="12">
        <v>2.42</v>
      </c>
      <c r="G136" s="8">
        <v>450000</v>
      </c>
      <c r="H136" s="8">
        <v>500000</v>
      </c>
      <c r="I136" s="8">
        <v>450000</v>
      </c>
      <c r="J136" s="8">
        <v>500000</v>
      </c>
      <c r="K136" s="8">
        <v>500000</v>
      </c>
      <c r="L136" s="8">
        <v>500000</v>
      </c>
      <c r="M136" s="8">
        <v>500000</v>
      </c>
      <c r="N136" s="16">
        <v>619587</v>
      </c>
      <c r="O136" s="16">
        <v>76100</v>
      </c>
      <c r="P136" s="16">
        <v>215837</v>
      </c>
      <c r="Q136" s="16">
        <v>901489</v>
      </c>
      <c r="R136" s="16">
        <v>586405</v>
      </c>
      <c r="S136" s="3" t="str">
        <f>VLOOKUP(A136,预测!G:AU,41,0)</f>
        <v>角度传感器</v>
      </c>
      <c r="T136" s="3">
        <f t="shared" si="20"/>
        <v>1089000</v>
      </c>
      <c r="U136" s="3">
        <f t="shared" si="21"/>
        <v>1210000</v>
      </c>
      <c r="V136" s="3">
        <f t="shared" si="22"/>
        <v>1089000</v>
      </c>
      <c r="W136" s="3">
        <f t="shared" si="23"/>
        <v>1210000</v>
      </c>
      <c r="X136" s="3">
        <f t="shared" si="24"/>
        <v>1210000</v>
      </c>
      <c r="Y136" s="3">
        <f t="shared" si="25"/>
        <v>1210000</v>
      </c>
      <c r="Z136" s="3">
        <f t="shared" si="26"/>
        <v>1210000</v>
      </c>
    </row>
    <row r="137" hidden="1" spans="1:26">
      <c r="A137" s="7" t="s">
        <v>396</v>
      </c>
      <c r="B137" s="7" t="s">
        <v>397</v>
      </c>
      <c r="C137" s="8"/>
      <c r="D137" s="8">
        <f t="shared" si="27"/>
        <v>4224350</v>
      </c>
      <c r="E137" s="8">
        <f t="shared" si="19"/>
        <v>1640500</v>
      </c>
      <c r="F137" s="12">
        <v>2.57503809814081</v>
      </c>
      <c r="G137" s="8">
        <v>158000</v>
      </c>
      <c r="H137" s="8">
        <v>212500</v>
      </c>
      <c r="I137" s="8">
        <v>212500</v>
      </c>
      <c r="J137" s="8">
        <v>262500</v>
      </c>
      <c r="K137" s="8">
        <v>265000</v>
      </c>
      <c r="L137" s="8">
        <v>265000</v>
      </c>
      <c r="M137" s="8">
        <v>265000</v>
      </c>
      <c r="N137" s="16">
        <v>70000</v>
      </c>
      <c r="O137" s="16">
        <v>112000</v>
      </c>
      <c r="P137" s="16">
        <v>55000</v>
      </c>
      <c r="Q137" s="16">
        <v>170000</v>
      </c>
      <c r="R137" s="16">
        <v>160000</v>
      </c>
      <c r="S137" s="3" t="str">
        <f>VLOOKUP(A137,预测!G:AU,41,0)</f>
        <v>角度传感器</v>
      </c>
      <c r="T137" s="3">
        <f t="shared" si="20"/>
        <v>406856.019506248</v>
      </c>
      <c r="U137" s="3">
        <f t="shared" si="21"/>
        <v>547195.595854922</v>
      </c>
      <c r="V137" s="3">
        <f t="shared" si="22"/>
        <v>547195.595854922</v>
      </c>
      <c r="W137" s="3">
        <f t="shared" si="23"/>
        <v>675947.500761963</v>
      </c>
      <c r="X137" s="3">
        <f t="shared" si="24"/>
        <v>682385.096007315</v>
      </c>
      <c r="Y137" s="3">
        <f t="shared" si="25"/>
        <v>682385.096007315</v>
      </c>
      <c r="Z137" s="3">
        <f t="shared" si="26"/>
        <v>682385.096007315</v>
      </c>
    </row>
    <row r="138" hidden="1" spans="1:26">
      <c r="A138" s="7" t="s">
        <v>398</v>
      </c>
      <c r="B138" s="7" t="s">
        <v>399</v>
      </c>
      <c r="C138" s="8"/>
      <c r="D138" s="8">
        <f t="shared" si="27"/>
        <v>15000000</v>
      </c>
      <c r="E138" s="8">
        <f t="shared" si="19"/>
        <v>30000000</v>
      </c>
      <c r="F138" s="12">
        <v>0.5</v>
      </c>
      <c r="G138" s="8">
        <v>0</v>
      </c>
      <c r="H138" s="8"/>
      <c r="I138" s="8"/>
      <c r="J138" s="8"/>
      <c r="K138" s="8">
        <v>10000000</v>
      </c>
      <c r="L138" s="8">
        <v>10000000</v>
      </c>
      <c r="M138" s="8">
        <v>10000000</v>
      </c>
      <c r="N138" s="16"/>
      <c r="O138" s="16"/>
      <c r="P138" s="16"/>
      <c r="Q138" s="16"/>
      <c r="R138" s="16"/>
      <c r="S138" s="3" t="str">
        <f>VLOOKUP(A138,预测!G:AU,41,0)</f>
        <v>磁性位置传感器</v>
      </c>
      <c r="T138" s="3">
        <f t="shared" si="20"/>
        <v>0</v>
      </c>
      <c r="U138" s="3">
        <f t="shared" si="21"/>
        <v>0</v>
      </c>
      <c r="V138" s="3">
        <f t="shared" si="22"/>
        <v>0</v>
      </c>
      <c r="W138" s="3">
        <f t="shared" si="23"/>
        <v>0</v>
      </c>
      <c r="X138" s="3">
        <f t="shared" si="24"/>
        <v>5000000</v>
      </c>
      <c r="Y138" s="3">
        <f t="shared" si="25"/>
        <v>5000000</v>
      </c>
      <c r="Z138" s="3">
        <f t="shared" si="26"/>
        <v>5000000</v>
      </c>
    </row>
    <row r="139" hidden="1" spans="1:26">
      <c r="A139" s="7" t="s">
        <v>400</v>
      </c>
      <c r="B139" s="7" t="s">
        <v>401</v>
      </c>
      <c r="C139" s="8"/>
      <c r="D139" s="8">
        <f t="shared" si="27"/>
        <v>13600000</v>
      </c>
      <c r="E139" s="8">
        <f t="shared" si="19"/>
        <v>34000000</v>
      </c>
      <c r="F139" s="12">
        <v>0.4</v>
      </c>
      <c r="G139" s="8">
        <v>4000000</v>
      </c>
      <c r="H139" s="8">
        <v>4000000</v>
      </c>
      <c r="I139" s="8">
        <v>4000000</v>
      </c>
      <c r="J139" s="8">
        <v>4000000</v>
      </c>
      <c r="K139" s="8">
        <v>6000000</v>
      </c>
      <c r="L139" s="8">
        <v>6000000</v>
      </c>
      <c r="M139" s="8">
        <v>6000000</v>
      </c>
      <c r="N139" s="16">
        <v>0</v>
      </c>
      <c r="O139" s="16">
        <v>0</v>
      </c>
      <c r="P139" s="16">
        <v>63000</v>
      </c>
      <c r="Q139" s="16">
        <v>1619225</v>
      </c>
      <c r="R139" s="16">
        <v>4128000</v>
      </c>
      <c r="S139" s="3" t="str">
        <f>VLOOKUP(A139,预测!G:AU,41,0)</f>
        <v>磁性位置传感器</v>
      </c>
      <c r="T139" s="3">
        <f t="shared" si="20"/>
        <v>1600000</v>
      </c>
      <c r="U139" s="3">
        <f t="shared" si="21"/>
        <v>1600000</v>
      </c>
      <c r="V139" s="3">
        <f t="shared" si="22"/>
        <v>1600000</v>
      </c>
      <c r="W139" s="3">
        <f t="shared" si="23"/>
        <v>1600000</v>
      </c>
      <c r="X139" s="3">
        <f t="shared" si="24"/>
        <v>2400000</v>
      </c>
      <c r="Y139" s="3">
        <f t="shared" si="25"/>
        <v>2400000</v>
      </c>
      <c r="Z139" s="3">
        <f t="shared" si="26"/>
        <v>2400000</v>
      </c>
    </row>
    <row r="140" hidden="1" spans="1:26">
      <c r="A140" s="7" t="s">
        <v>402</v>
      </c>
      <c r="B140" s="7" t="s">
        <v>402</v>
      </c>
      <c r="C140" s="8"/>
      <c r="D140" s="8">
        <f t="shared" si="27"/>
        <v>358560</v>
      </c>
      <c r="E140" s="8">
        <f t="shared" si="19"/>
        <v>119520</v>
      </c>
      <c r="F140" s="12">
        <v>3</v>
      </c>
      <c r="G140" s="8">
        <v>20000</v>
      </c>
      <c r="H140" s="8">
        <v>20000</v>
      </c>
      <c r="I140" s="8">
        <v>20000</v>
      </c>
      <c r="J140" s="8">
        <v>14880</v>
      </c>
      <c r="K140" s="8">
        <v>14880</v>
      </c>
      <c r="L140" s="8">
        <v>14880</v>
      </c>
      <c r="M140" s="8">
        <v>14880</v>
      </c>
      <c r="N140" s="16">
        <v>30000</v>
      </c>
      <c r="O140" s="16">
        <v>0</v>
      </c>
      <c r="P140" s="16">
        <v>0</v>
      </c>
      <c r="Q140" s="16">
        <v>27723</v>
      </c>
      <c r="R140" s="16">
        <v>19761</v>
      </c>
      <c r="S140" s="3" t="str">
        <f>VLOOKUP(A140,预测!G:AU,41,0)</f>
        <v>电机编码器</v>
      </c>
      <c r="T140" s="3">
        <f t="shared" si="20"/>
        <v>60000</v>
      </c>
      <c r="U140" s="3">
        <f t="shared" si="21"/>
        <v>60000</v>
      </c>
      <c r="V140" s="3">
        <f t="shared" si="22"/>
        <v>60000</v>
      </c>
      <c r="W140" s="3">
        <f t="shared" si="23"/>
        <v>44640</v>
      </c>
      <c r="X140" s="3">
        <f t="shared" si="24"/>
        <v>44640</v>
      </c>
      <c r="Y140" s="3">
        <f t="shared" si="25"/>
        <v>44640</v>
      </c>
      <c r="Z140" s="3">
        <f t="shared" si="26"/>
        <v>44640</v>
      </c>
    </row>
    <row r="141" hidden="1" spans="1:26">
      <c r="A141" s="7" t="s">
        <v>403</v>
      </c>
      <c r="B141" s="7" t="s">
        <v>403</v>
      </c>
      <c r="C141" s="8"/>
      <c r="D141" s="8">
        <f t="shared" si="27"/>
        <v>294000</v>
      </c>
      <c r="E141" s="8">
        <f t="shared" si="19"/>
        <v>91000</v>
      </c>
      <c r="F141" s="12">
        <v>3.23076923076923</v>
      </c>
      <c r="G141" s="8">
        <v>13000</v>
      </c>
      <c r="H141" s="8">
        <v>13000</v>
      </c>
      <c r="I141" s="8">
        <v>13000</v>
      </c>
      <c r="J141" s="8">
        <v>13000</v>
      </c>
      <c r="K141" s="8">
        <v>13000</v>
      </c>
      <c r="L141" s="8">
        <v>13000</v>
      </c>
      <c r="M141" s="8">
        <v>13000</v>
      </c>
      <c r="N141" s="16">
        <v>0</v>
      </c>
      <c r="O141" s="16">
        <v>11000</v>
      </c>
      <c r="P141" s="16">
        <v>0</v>
      </c>
      <c r="Q141" s="16">
        <v>5553</v>
      </c>
      <c r="R141" s="16">
        <v>20000</v>
      </c>
      <c r="S141" s="3" t="str">
        <f>VLOOKUP(A141,预测!G:AU,41,0)</f>
        <v>电机编码器</v>
      </c>
      <c r="T141" s="3">
        <f t="shared" si="20"/>
        <v>42000</v>
      </c>
      <c r="U141" s="3">
        <f t="shared" si="21"/>
        <v>42000</v>
      </c>
      <c r="V141" s="3">
        <f t="shared" si="22"/>
        <v>42000</v>
      </c>
      <c r="W141" s="3">
        <f t="shared" si="23"/>
        <v>42000</v>
      </c>
      <c r="X141" s="3">
        <f t="shared" si="24"/>
        <v>42000</v>
      </c>
      <c r="Y141" s="3">
        <f t="shared" si="25"/>
        <v>42000</v>
      </c>
      <c r="Z141" s="3">
        <f t="shared" si="26"/>
        <v>42000</v>
      </c>
    </row>
    <row r="142" hidden="1" spans="1:26">
      <c r="A142" s="7" t="s">
        <v>406</v>
      </c>
      <c r="B142" s="7" t="s">
        <v>407</v>
      </c>
      <c r="C142" s="8"/>
      <c r="D142" s="8">
        <f t="shared" si="27"/>
        <v>399000</v>
      </c>
      <c r="E142" s="8">
        <f t="shared" si="19"/>
        <v>140000</v>
      </c>
      <c r="F142" s="12">
        <v>2.85</v>
      </c>
      <c r="G142" s="8"/>
      <c r="H142" s="8"/>
      <c r="I142" s="8">
        <v>20000</v>
      </c>
      <c r="J142" s="8">
        <v>30000</v>
      </c>
      <c r="K142" s="8">
        <v>30000</v>
      </c>
      <c r="L142" s="8">
        <v>30000</v>
      </c>
      <c r="M142" s="8">
        <v>30000</v>
      </c>
      <c r="N142" s="16">
        <v>104200</v>
      </c>
      <c r="O142" s="16">
        <v>770</v>
      </c>
      <c r="P142" s="16">
        <v>261</v>
      </c>
      <c r="Q142" s="16">
        <v>32500</v>
      </c>
      <c r="R142" s="16">
        <v>96548</v>
      </c>
      <c r="S142" s="3" t="str">
        <f>VLOOKUP(A142,预测!G:AU,41,0)</f>
        <v>电机编码器</v>
      </c>
      <c r="T142" s="3">
        <f t="shared" si="20"/>
        <v>0</v>
      </c>
      <c r="U142" s="3">
        <f t="shared" si="21"/>
        <v>0</v>
      </c>
      <c r="V142" s="3">
        <f t="shared" si="22"/>
        <v>57000</v>
      </c>
      <c r="W142" s="3">
        <f t="shared" si="23"/>
        <v>85500</v>
      </c>
      <c r="X142" s="3">
        <f t="shared" si="24"/>
        <v>85500</v>
      </c>
      <c r="Y142" s="3">
        <f t="shared" si="25"/>
        <v>85500</v>
      </c>
      <c r="Z142" s="3">
        <f t="shared" si="26"/>
        <v>85500</v>
      </c>
    </row>
    <row r="143" hidden="1" spans="1:26">
      <c r="A143" s="7" t="s">
        <v>406</v>
      </c>
      <c r="B143" s="7" t="s">
        <v>408</v>
      </c>
      <c r="C143" s="8"/>
      <c r="D143" s="8">
        <f t="shared" si="27"/>
        <v>399000</v>
      </c>
      <c r="E143" s="8">
        <f t="shared" si="19"/>
        <v>140000</v>
      </c>
      <c r="F143" s="12">
        <v>2.85</v>
      </c>
      <c r="G143" s="8"/>
      <c r="H143" s="8"/>
      <c r="I143" s="8">
        <v>20000</v>
      </c>
      <c r="J143" s="8">
        <v>30000</v>
      </c>
      <c r="K143" s="8">
        <v>30000</v>
      </c>
      <c r="L143" s="8">
        <v>30000</v>
      </c>
      <c r="M143" s="8">
        <v>30000</v>
      </c>
      <c r="N143" s="16">
        <v>0</v>
      </c>
      <c r="O143" s="16">
        <v>0</v>
      </c>
      <c r="P143" s="16">
        <v>48000</v>
      </c>
      <c r="Q143" s="16">
        <v>0</v>
      </c>
      <c r="R143" s="16">
        <v>104000</v>
      </c>
      <c r="S143" s="3" t="str">
        <f>VLOOKUP(A143,预测!G:AU,41,0)</f>
        <v>电机编码器</v>
      </c>
      <c r="T143" s="3">
        <f t="shared" si="20"/>
        <v>0</v>
      </c>
      <c r="U143" s="3">
        <f t="shared" si="21"/>
        <v>0</v>
      </c>
      <c r="V143" s="3">
        <f t="shared" si="22"/>
        <v>57000</v>
      </c>
      <c r="W143" s="3">
        <f t="shared" si="23"/>
        <v>85500</v>
      </c>
      <c r="X143" s="3">
        <f t="shared" si="24"/>
        <v>85500</v>
      </c>
      <c r="Y143" s="3">
        <f t="shared" si="25"/>
        <v>85500</v>
      </c>
      <c r="Z143" s="3">
        <f t="shared" si="26"/>
        <v>85500</v>
      </c>
    </row>
    <row r="144" hidden="1" spans="1:26">
      <c r="A144" s="7" t="s">
        <v>409</v>
      </c>
      <c r="B144" s="7" t="s">
        <v>410</v>
      </c>
      <c r="C144" s="8"/>
      <c r="D144" s="8">
        <f t="shared" si="27"/>
        <v>425000</v>
      </c>
      <c r="E144" s="8">
        <f t="shared" si="19"/>
        <v>50000</v>
      </c>
      <c r="F144" s="12">
        <v>8.5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8">
        <v>0</v>
      </c>
      <c r="M144" s="8">
        <v>50000</v>
      </c>
      <c r="N144" s="16">
        <v>0</v>
      </c>
      <c r="O144" s="16">
        <v>70</v>
      </c>
      <c r="P144" s="16">
        <v>2480</v>
      </c>
      <c r="Q144" s="16">
        <v>2450</v>
      </c>
      <c r="R144" s="16">
        <v>6000</v>
      </c>
      <c r="S144" s="3" t="str">
        <f>VLOOKUP(A144,预测!G:AU,41,0)</f>
        <v>电机编码器</v>
      </c>
      <c r="T144" s="3">
        <f t="shared" si="20"/>
        <v>0</v>
      </c>
      <c r="U144" s="3">
        <f t="shared" si="21"/>
        <v>0</v>
      </c>
      <c r="V144" s="3">
        <f t="shared" si="22"/>
        <v>0</v>
      </c>
      <c r="W144" s="3">
        <f t="shared" si="23"/>
        <v>0</v>
      </c>
      <c r="X144" s="3">
        <f t="shared" si="24"/>
        <v>0</v>
      </c>
      <c r="Y144" s="3">
        <f t="shared" si="25"/>
        <v>0</v>
      </c>
      <c r="Z144" s="3">
        <f t="shared" si="26"/>
        <v>425000</v>
      </c>
    </row>
    <row r="145" hidden="1" spans="1:26">
      <c r="A145" s="7" t="s">
        <v>411</v>
      </c>
      <c r="B145" s="7" t="s">
        <v>412</v>
      </c>
      <c r="C145" s="8"/>
      <c r="D145" s="8">
        <f t="shared" si="27"/>
        <v>302014.925373134</v>
      </c>
      <c r="E145" s="8">
        <f t="shared" si="19"/>
        <v>71000</v>
      </c>
      <c r="F145" s="12">
        <v>4.25373134328358</v>
      </c>
      <c r="G145" s="8">
        <v>4000</v>
      </c>
      <c r="H145" s="8">
        <v>3000</v>
      </c>
      <c r="I145" s="8">
        <v>3000</v>
      </c>
      <c r="J145" s="8">
        <v>0</v>
      </c>
      <c r="K145" s="8">
        <v>18000</v>
      </c>
      <c r="L145" s="8">
        <v>20000</v>
      </c>
      <c r="M145" s="8">
        <v>23000</v>
      </c>
      <c r="N145" s="16"/>
      <c r="O145" s="16"/>
      <c r="P145" s="16"/>
      <c r="Q145" s="16"/>
      <c r="R145" s="16"/>
      <c r="S145" s="3" t="str">
        <f>VLOOKUP(A145,预测!G:AU,41,0)</f>
        <v>角度传感器</v>
      </c>
      <c r="T145" s="3">
        <f t="shared" si="20"/>
        <v>17014.9253731343</v>
      </c>
      <c r="U145" s="3">
        <f t="shared" si="21"/>
        <v>12761.1940298507</v>
      </c>
      <c r="V145" s="3">
        <f t="shared" si="22"/>
        <v>12761.1940298507</v>
      </c>
      <c r="W145" s="3">
        <f t="shared" si="23"/>
        <v>0</v>
      </c>
      <c r="X145" s="3">
        <f t="shared" si="24"/>
        <v>76567.1641791045</v>
      </c>
      <c r="Y145" s="3">
        <f t="shared" si="25"/>
        <v>85074.6268656716</v>
      </c>
      <c r="Z145" s="3">
        <f t="shared" si="26"/>
        <v>97835.8208955224</v>
      </c>
    </row>
    <row r="146" hidden="1" spans="1:26">
      <c r="A146" s="7" t="s">
        <v>413</v>
      </c>
      <c r="B146" s="7" t="s">
        <v>414</v>
      </c>
      <c r="C146" s="8"/>
      <c r="D146" s="8">
        <f t="shared" si="27"/>
        <v>1137680</v>
      </c>
      <c r="E146" s="8">
        <f t="shared" si="19"/>
        <v>332500</v>
      </c>
      <c r="F146" s="12">
        <v>3.42159398496241</v>
      </c>
      <c r="G146" s="8">
        <v>28000</v>
      </c>
      <c r="H146" s="8">
        <v>28500</v>
      </c>
      <c r="I146" s="8">
        <v>49000</v>
      </c>
      <c r="J146" s="8">
        <v>49500</v>
      </c>
      <c r="K146" s="8">
        <v>59000</v>
      </c>
      <c r="L146" s="8">
        <v>59500</v>
      </c>
      <c r="M146" s="8">
        <v>59000</v>
      </c>
      <c r="N146" s="16">
        <v>220</v>
      </c>
      <c r="O146" s="16">
        <v>251</v>
      </c>
      <c r="P146" s="16">
        <v>17255</v>
      </c>
      <c r="Q146" s="16">
        <v>4823</v>
      </c>
      <c r="R146" s="16">
        <v>41002</v>
      </c>
      <c r="S146" s="3" t="str">
        <f>VLOOKUP(A146,预测!G:AU,41,0)</f>
        <v>角度传感器</v>
      </c>
      <c r="T146" s="3">
        <f t="shared" si="20"/>
        <v>95804.6315789474</v>
      </c>
      <c r="U146" s="3">
        <f t="shared" si="21"/>
        <v>97515.4285714286</v>
      </c>
      <c r="V146" s="3">
        <f t="shared" si="22"/>
        <v>167658.105263158</v>
      </c>
      <c r="W146" s="3">
        <f t="shared" si="23"/>
        <v>169368.902255639</v>
      </c>
      <c r="X146" s="3">
        <f t="shared" si="24"/>
        <v>201874.045112782</v>
      </c>
      <c r="Y146" s="3">
        <f t="shared" si="25"/>
        <v>203584.842105263</v>
      </c>
      <c r="Z146" s="3">
        <f t="shared" si="26"/>
        <v>201874.045112782</v>
      </c>
    </row>
    <row r="147" hidden="1" spans="1:26">
      <c r="A147" s="7" t="s">
        <v>415</v>
      </c>
      <c r="B147" s="7" t="s">
        <v>416</v>
      </c>
      <c r="C147" s="8"/>
      <c r="D147" s="8">
        <f t="shared" si="27"/>
        <v>1279200</v>
      </c>
      <c r="E147" s="8">
        <f t="shared" si="19"/>
        <v>317000</v>
      </c>
      <c r="F147" s="12">
        <v>4.03533123028391</v>
      </c>
      <c r="G147" s="8">
        <v>11000</v>
      </c>
      <c r="H147" s="8">
        <v>12000</v>
      </c>
      <c r="I147" s="8">
        <v>33000</v>
      </c>
      <c r="J147" s="8">
        <v>37000</v>
      </c>
      <c r="K147" s="8">
        <v>58000</v>
      </c>
      <c r="L147" s="8">
        <v>78000</v>
      </c>
      <c r="M147" s="8">
        <v>88000</v>
      </c>
      <c r="N147" s="16">
        <v>8000</v>
      </c>
      <c r="O147" s="16"/>
      <c r="P147" s="16"/>
      <c r="Q147" s="16"/>
      <c r="R147" s="16"/>
      <c r="S147" s="3" t="str">
        <f>VLOOKUP(A147,预测!G:AU,41,0)</f>
        <v>角度传感器</v>
      </c>
      <c r="T147" s="3">
        <f t="shared" si="20"/>
        <v>44388.643533123</v>
      </c>
      <c r="U147" s="3">
        <f t="shared" si="21"/>
        <v>48423.9747634069</v>
      </c>
      <c r="V147" s="3">
        <f t="shared" si="22"/>
        <v>133165.930599369</v>
      </c>
      <c r="W147" s="3">
        <f t="shared" si="23"/>
        <v>149307.255520505</v>
      </c>
      <c r="X147" s="3">
        <f t="shared" si="24"/>
        <v>234049.211356467</v>
      </c>
      <c r="Y147" s="3">
        <f t="shared" si="25"/>
        <v>314755.835962145</v>
      </c>
      <c r="Z147" s="3">
        <f t="shared" si="26"/>
        <v>355109.148264984</v>
      </c>
    </row>
    <row r="148" hidden="1" spans="1:26">
      <c r="A148" s="7" t="s">
        <v>417</v>
      </c>
      <c r="B148" s="7" t="s">
        <v>418</v>
      </c>
      <c r="C148" s="8"/>
      <c r="D148" s="8">
        <f t="shared" si="27"/>
        <v>157500</v>
      </c>
      <c r="E148" s="8">
        <f t="shared" si="19"/>
        <v>21000</v>
      </c>
      <c r="F148" s="12">
        <v>7.5</v>
      </c>
      <c r="G148" s="8">
        <v>3000</v>
      </c>
      <c r="H148" s="8">
        <v>3000</v>
      </c>
      <c r="I148" s="8">
        <v>3000</v>
      </c>
      <c r="J148" s="8">
        <v>3000</v>
      </c>
      <c r="K148" s="8">
        <v>3000</v>
      </c>
      <c r="L148" s="8">
        <v>3000</v>
      </c>
      <c r="M148" s="8">
        <v>3000</v>
      </c>
      <c r="N148" s="16"/>
      <c r="O148" s="16"/>
      <c r="P148" s="16"/>
      <c r="Q148" s="16"/>
      <c r="R148" s="16"/>
      <c r="S148" s="3" t="str">
        <f>VLOOKUP(A148,预测!G:AU,41,0)</f>
        <v>角度传感器</v>
      </c>
      <c r="T148" s="3">
        <f t="shared" si="20"/>
        <v>22500</v>
      </c>
      <c r="U148" s="3">
        <f t="shared" si="21"/>
        <v>22500</v>
      </c>
      <c r="V148" s="3">
        <f t="shared" si="22"/>
        <v>22500</v>
      </c>
      <c r="W148" s="3">
        <f t="shared" si="23"/>
        <v>22500</v>
      </c>
      <c r="X148" s="3">
        <f t="shared" si="24"/>
        <v>22500</v>
      </c>
      <c r="Y148" s="3">
        <f t="shared" si="25"/>
        <v>22500</v>
      </c>
      <c r="Z148" s="3">
        <f t="shared" si="26"/>
        <v>22500</v>
      </c>
    </row>
    <row r="149" hidden="1" spans="1:26">
      <c r="A149" s="7" t="s">
        <v>419</v>
      </c>
      <c r="B149" s="7" t="s">
        <v>420</v>
      </c>
      <c r="C149" s="8"/>
      <c r="D149" s="8">
        <f t="shared" si="27"/>
        <v>630000</v>
      </c>
      <c r="E149" s="8">
        <f t="shared" si="19"/>
        <v>90000</v>
      </c>
      <c r="F149" s="12">
        <v>7</v>
      </c>
      <c r="G149" s="8">
        <v>6000</v>
      </c>
      <c r="H149" s="8">
        <v>6000</v>
      </c>
      <c r="I149" s="8">
        <v>12000</v>
      </c>
      <c r="J149" s="8">
        <v>12000</v>
      </c>
      <c r="K149" s="8">
        <v>18000</v>
      </c>
      <c r="L149" s="8">
        <v>18000</v>
      </c>
      <c r="M149" s="8">
        <v>18000</v>
      </c>
      <c r="N149" s="16">
        <v>35</v>
      </c>
      <c r="O149" s="16">
        <v>205</v>
      </c>
      <c r="P149" s="16">
        <v>500</v>
      </c>
      <c r="Q149" s="16">
        <v>195</v>
      </c>
      <c r="R149" s="16"/>
      <c r="S149" s="3" t="str">
        <f>VLOOKUP(A149,预测!G:AU,41,0)</f>
        <v>角度传感器</v>
      </c>
      <c r="T149" s="3">
        <f t="shared" si="20"/>
        <v>42000</v>
      </c>
      <c r="U149" s="3">
        <f t="shared" si="21"/>
        <v>42000</v>
      </c>
      <c r="V149" s="3">
        <f t="shared" si="22"/>
        <v>84000</v>
      </c>
      <c r="W149" s="3">
        <f t="shared" si="23"/>
        <v>84000</v>
      </c>
      <c r="X149" s="3">
        <f t="shared" si="24"/>
        <v>126000</v>
      </c>
      <c r="Y149" s="3">
        <f t="shared" si="25"/>
        <v>126000</v>
      </c>
      <c r="Z149" s="3">
        <f t="shared" si="26"/>
        <v>126000</v>
      </c>
    </row>
    <row r="150" hidden="1" spans="1:26">
      <c r="A150" s="7" t="s">
        <v>421</v>
      </c>
      <c r="B150" s="7" t="s">
        <v>422</v>
      </c>
      <c r="C150" s="8"/>
      <c r="D150" s="8">
        <f t="shared" si="27"/>
        <v>2358000</v>
      </c>
      <c r="E150" s="8">
        <f t="shared" si="19"/>
        <v>461000</v>
      </c>
      <c r="F150" s="12">
        <v>5.11496746203905</v>
      </c>
      <c r="G150" s="8">
        <v>50000</v>
      </c>
      <c r="H150" s="8">
        <v>51000</v>
      </c>
      <c r="I150" s="8">
        <v>51000</v>
      </c>
      <c r="J150" s="8">
        <v>56000</v>
      </c>
      <c r="K150" s="8">
        <v>71000</v>
      </c>
      <c r="L150" s="8">
        <v>91000</v>
      </c>
      <c r="M150" s="8">
        <v>91000</v>
      </c>
      <c r="N150" s="16">
        <v>3000</v>
      </c>
      <c r="O150" s="16">
        <v>9000</v>
      </c>
      <c r="P150" s="16">
        <v>9000</v>
      </c>
      <c r="Q150" s="16">
        <v>3500</v>
      </c>
      <c r="R150" s="16">
        <v>39500</v>
      </c>
      <c r="S150" s="3" t="str">
        <f>VLOOKUP(A150,预测!G:AU,41,0)</f>
        <v>角度传感器</v>
      </c>
      <c r="T150" s="3">
        <f t="shared" si="20"/>
        <v>255748.373101952</v>
      </c>
      <c r="U150" s="3">
        <f t="shared" si="21"/>
        <v>260863.340563991</v>
      </c>
      <c r="V150" s="3">
        <f t="shared" si="22"/>
        <v>260863.340563991</v>
      </c>
      <c r="W150" s="3">
        <f t="shared" si="23"/>
        <v>286438.177874187</v>
      </c>
      <c r="X150" s="3">
        <f t="shared" si="24"/>
        <v>363162.689804772</v>
      </c>
      <c r="Y150" s="3">
        <f t="shared" si="25"/>
        <v>465462.039045553</v>
      </c>
      <c r="Z150" s="3">
        <f t="shared" si="26"/>
        <v>465462.039045553</v>
      </c>
    </row>
    <row r="151" hidden="1" spans="1:26">
      <c r="A151" s="7" t="s">
        <v>423</v>
      </c>
      <c r="B151" s="7" t="s">
        <v>424</v>
      </c>
      <c r="C151" s="8"/>
      <c r="D151" s="8">
        <f t="shared" si="27"/>
        <v>1120000</v>
      </c>
      <c r="E151" s="8">
        <f t="shared" si="19"/>
        <v>1400000</v>
      </c>
      <c r="F151" s="12">
        <v>0.8</v>
      </c>
      <c r="G151" s="8">
        <v>200000</v>
      </c>
      <c r="H151" s="8">
        <v>200000</v>
      </c>
      <c r="I151" s="8">
        <v>200000</v>
      </c>
      <c r="J151" s="8">
        <v>200000</v>
      </c>
      <c r="K151" s="8">
        <v>200000</v>
      </c>
      <c r="L151" s="8">
        <v>200000</v>
      </c>
      <c r="M151" s="8">
        <v>200000</v>
      </c>
      <c r="N151" s="16">
        <v>0</v>
      </c>
      <c r="O151" s="16">
        <v>0</v>
      </c>
      <c r="P151" s="16">
        <v>79993</v>
      </c>
      <c r="Q151" s="16">
        <v>0</v>
      </c>
      <c r="R151" s="16">
        <v>49995</v>
      </c>
      <c r="S151" s="3" t="str">
        <f>VLOOKUP(A151,预测!G:AU,41,0)</f>
        <v>速度传感器</v>
      </c>
      <c r="T151" s="3">
        <f t="shared" si="20"/>
        <v>160000</v>
      </c>
      <c r="U151" s="3">
        <f t="shared" si="21"/>
        <v>160000</v>
      </c>
      <c r="V151" s="3">
        <f t="shared" si="22"/>
        <v>160000</v>
      </c>
      <c r="W151" s="3">
        <f t="shared" si="23"/>
        <v>160000</v>
      </c>
      <c r="X151" s="3">
        <f t="shared" si="24"/>
        <v>160000</v>
      </c>
      <c r="Y151" s="3">
        <f t="shared" si="25"/>
        <v>160000</v>
      </c>
      <c r="Z151" s="3">
        <f t="shared" si="26"/>
        <v>160000</v>
      </c>
    </row>
    <row r="152" hidden="1" spans="1:26">
      <c r="A152" s="7" t="s">
        <v>1641</v>
      </c>
      <c r="B152" s="7" t="s">
        <v>1642</v>
      </c>
      <c r="C152" s="8"/>
      <c r="D152" s="8">
        <f t="shared" si="27"/>
        <v>784000</v>
      </c>
      <c r="E152" s="8">
        <f t="shared" si="19"/>
        <v>1120000</v>
      </c>
      <c r="F152" s="12">
        <v>0.7</v>
      </c>
      <c r="G152" s="8">
        <v>160000</v>
      </c>
      <c r="H152" s="8">
        <v>160000</v>
      </c>
      <c r="I152" s="8">
        <v>160000</v>
      </c>
      <c r="J152" s="8">
        <v>160000</v>
      </c>
      <c r="K152" s="8">
        <v>160000</v>
      </c>
      <c r="L152" s="8">
        <v>160000</v>
      </c>
      <c r="M152" s="8">
        <v>160000</v>
      </c>
      <c r="N152" s="16">
        <v>196454</v>
      </c>
      <c r="O152" s="16"/>
      <c r="P152" s="16">
        <v>99996</v>
      </c>
      <c r="Q152" s="16">
        <v>119809</v>
      </c>
      <c r="R152" s="16">
        <v>200195</v>
      </c>
      <c r="S152" s="3" t="s">
        <v>688</v>
      </c>
      <c r="T152" s="3">
        <f t="shared" si="20"/>
        <v>112000</v>
      </c>
      <c r="U152" s="3">
        <f t="shared" si="21"/>
        <v>112000</v>
      </c>
      <c r="V152" s="3">
        <f t="shared" si="22"/>
        <v>112000</v>
      </c>
      <c r="W152" s="3">
        <f t="shared" si="23"/>
        <v>112000</v>
      </c>
      <c r="X152" s="3">
        <f t="shared" si="24"/>
        <v>112000</v>
      </c>
      <c r="Y152" s="3">
        <f t="shared" si="25"/>
        <v>112000</v>
      </c>
      <c r="Z152" s="3">
        <f t="shared" si="26"/>
        <v>112000</v>
      </c>
    </row>
    <row r="153" hidden="1" spans="1:26">
      <c r="A153" s="7" t="s">
        <v>1641</v>
      </c>
      <c r="B153" s="7" t="s">
        <v>1643</v>
      </c>
      <c r="C153" s="8"/>
      <c r="D153" s="8">
        <f t="shared" si="27"/>
        <v>274400</v>
      </c>
      <c r="E153" s="8"/>
      <c r="F153" s="12">
        <v>0.98</v>
      </c>
      <c r="G153" s="8">
        <v>40000</v>
      </c>
      <c r="H153" s="8">
        <v>40000</v>
      </c>
      <c r="I153" s="8">
        <v>40000</v>
      </c>
      <c r="J153" s="8">
        <v>40000</v>
      </c>
      <c r="K153" s="8">
        <v>40000</v>
      </c>
      <c r="L153" s="8">
        <v>40000</v>
      </c>
      <c r="M153" s="8">
        <v>40000</v>
      </c>
      <c r="N153" s="16">
        <v>49930</v>
      </c>
      <c r="O153" s="16">
        <v>10298</v>
      </c>
      <c r="P153" s="16">
        <v>55725</v>
      </c>
      <c r="Q153" s="16">
        <v>0</v>
      </c>
      <c r="R153" s="16">
        <v>80000</v>
      </c>
      <c r="S153" s="3" t="s">
        <v>688</v>
      </c>
      <c r="T153" s="3">
        <f t="shared" si="20"/>
        <v>39200</v>
      </c>
      <c r="U153" s="3">
        <f t="shared" si="21"/>
        <v>39200</v>
      </c>
      <c r="V153" s="3">
        <f t="shared" si="22"/>
        <v>39200</v>
      </c>
      <c r="W153" s="3">
        <f t="shared" si="23"/>
        <v>39200</v>
      </c>
      <c r="X153" s="3">
        <f t="shared" si="24"/>
        <v>39200</v>
      </c>
      <c r="Y153" s="3">
        <f t="shared" si="25"/>
        <v>39200</v>
      </c>
      <c r="Z153" s="3">
        <f t="shared" si="26"/>
        <v>39200</v>
      </c>
    </row>
    <row r="154" hidden="1" spans="1:26">
      <c r="A154" s="7" t="s">
        <v>423</v>
      </c>
      <c r="B154" s="7" t="s">
        <v>1644</v>
      </c>
      <c r="C154" s="8"/>
      <c r="D154" s="8">
        <f t="shared" si="27"/>
        <v>196000</v>
      </c>
      <c r="E154" s="8"/>
      <c r="F154" s="12">
        <v>2.8</v>
      </c>
      <c r="G154" s="8">
        <v>10000</v>
      </c>
      <c r="H154" s="8">
        <v>10000</v>
      </c>
      <c r="I154" s="8">
        <v>10000</v>
      </c>
      <c r="J154" s="8">
        <v>10000</v>
      </c>
      <c r="K154" s="8">
        <v>10000</v>
      </c>
      <c r="L154" s="8">
        <v>10000</v>
      </c>
      <c r="M154" s="8">
        <v>10000</v>
      </c>
      <c r="N154" s="16">
        <v>6995</v>
      </c>
      <c r="O154" s="16">
        <v>0</v>
      </c>
      <c r="P154" s="16">
        <v>0</v>
      </c>
      <c r="Q154" s="16">
        <v>10000</v>
      </c>
      <c r="R154" s="16">
        <v>10000</v>
      </c>
      <c r="S154" s="3" t="str">
        <f>VLOOKUP(A154,预测!G:AU,41,0)</f>
        <v>速度传感器</v>
      </c>
      <c r="T154" s="3">
        <f t="shared" si="20"/>
        <v>28000</v>
      </c>
      <c r="U154" s="3">
        <f t="shared" si="21"/>
        <v>28000</v>
      </c>
      <c r="V154" s="3">
        <f t="shared" si="22"/>
        <v>28000</v>
      </c>
      <c r="W154" s="3">
        <f t="shared" si="23"/>
        <v>28000</v>
      </c>
      <c r="X154" s="3">
        <f t="shared" si="24"/>
        <v>28000</v>
      </c>
      <c r="Y154" s="3">
        <f t="shared" si="25"/>
        <v>28000</v>
      </c>
      <c r="Z154" s="3">
        <f t="shared" si="26"/>
        <v>28000</v>
      </c>
    </row>
    <row r="155" hidden="1" spans="1:26">
      <c r="A155" s="7" t="s">
        <v>423</v>
      </c>
      <c r="B155" s="7" t="s">
        <v>426</v>
      </c>
      <c r="C155" s="8"/>
      <c r="D155" s="8">
        <f t="shared" si="27"/>
        <v>922785.294117647</v>
      </c>
      <c r="E155" s="8">
        <f t="shared" si="19"/>
        <v>798000</v>
      </c>
      <c r="F155" s="12">
        <v>1.15637254901961</v>
      </c>
      <c r="G155" s="8">
        <v>130000</v>
      </c>
      <c r="H155" s="8">
        <v>130000</v>
      </c>
      <c r="I155" s="8">
        <v>130000</v>
      </c>
      <c r="J155" s="8">
        <v>102000</v>
      </c>
      <c r="K155" s="8">
        <v>102000</v>
      </c>
      <c r="L155" s="8">
        <v>102000</v>
      </c>
      <c r="M155" s="8">
        <v>102000</v>
      </c>
      <c r="N155" s="16">
        <v>55036</v>
      </c>
      <c r="O155" s="16">
        <v>49139</v>
      </c>
      <c r="P155" s="16">
        <v>66000</v>
      </c>
      <c r="Q155" s="16">
        <v>130383</v>
      </c>
      <c r="R155" s="16">
        <v>130957</v>
      </c>
      <c r="S155" s="3" t="str">
        <f>VLOOKUP(A155,预测!G:AU,41,0)</f>
        <v>速度传感器</v>
      </c>
      <c r="T155" s="3">
        <f t="shared" si="20"/>
        <v>150328.431372549</v>
      </c>
      <c r="U155" s="3">
        <f t="shared" si="21"/>
        <v>150328.431372549</v>
      </c>
      <c r="V155" s="3">
        <f t="shared" si="22"/>
        <v>150328.431372549</v>
      </c>
      <c r="W155" s="3">
        <f t="shared" si="23"/>
        <v>117950</v>
      </c>
      <c r="X155" s="3">
        <f t="shared" si="24"/>
        <v>117950</v>
      </c>
      <c r="Y155" s="3">
        <f t="shared" si="25"/>
        <v>117950</v>
      </c>
      <c r="Z155" s="3">
        <f t="shared" si="26"/>
        <v>117950</v>
      </c>
    </row>
    <row r="156" ht="13.2" hidden="1" customHeight="1" spans="1:26">
      <c r="A156" s="7" t="s">
        <v>427</v>
      </c>
      <c r="B156" s="7" t="s">
        <v>428</v>
      </c>
      <c r="C156" s="8"/>
      <c r="D156" s="8">
        <f t="shared" si="27"/>
        <v>240400</v>
      </c>
      <c r="E156" s="8">
        <f t="shared" si="19"/>
        <v>159000</v>
      </c>
      <c r="F156" s="12">
        <v>1.51194968553459</v>
      </c>
      <c r="G156" s="8">
        <v>22000</v>
      </c>
      <c r="H156" s="8">
        <v>22000</v>
      </c>
      <c r="I156" s="8">
        <v>23000</v>
      </c>
      <c r="J156" s="8">
        <v>23000</v>
      </c>
      <c r="K156" s="8">
        <v>23000</v>
      </c>
      <c r="L156" s="8">
        <v>23000</v>
      </c>
      <c r="M156" s="8">
        <v>23000</v>
      </c>
      <c r="N156" s="16"/>
      <c r="O156" s="16"/>
      <c r="P156" s="16"/>
      <c r="Q156" s="16"/>
      <c r="R156" s="16"/>
      <c r="S156" s="3" t="str">
        <f>VLOOKUP(A156,预测!G:AU,41,0)</f>
        <v>速度传感器</v>
      </c>
      <c r="T156" s="3">
        <f t="shared" si="20"/>
        <v>33262.893081761</v>
      </c>
      <c r="U156" s="3">
        <f t="shared" si="21"/>
        <v>33262.893081761</v>
      </c>
      <c r="V156" s="3">
        <f t="shared" si="22"/>
        <v>34774.8427672956</v>
      </c>
      <c r="W156" s="3">
        <f t="shared" si="23"/>
        <v>34774.8427672956</v>
      </c>
      <c r="X156" s="3">
        <f t="shared" si="24"/>
        <v>34774.8427672956</v>
      </c>
      <c r="Y156" s="3">
        <f t="shared" si="25"/>
        <v>34774.8427672956</v>
      </c>
      <c r="Z156" s="3">
        <f t="shared" si="26"/>
        <v>34774.8427672956</v>
      </c>
    </row>
    <row r="157" hidden="1" spans="1:26">
      <c r="A157" s="7" t="s">
        <v>429</v>
      </c>
      <c r="B157" s="7" t="s">
        <v>430</v>
      </c>
      <c r="C157" s="8"/>
      <c r="D157" s="8">
        <f t="shared" si="27"/>
        <v>521050</v>
      </c>
      <c r="E157" s="8">
        <f t="shared" si="19"/>
        <v>287000</v>
      </c>
      <c r="F157" s="12">
        <v>1.81550522648084</v>
      </c>
      <c r="G157" s="8">
        <v>34000</v>
      </c>
      <c r="H157" s="8">
        <v>36000</v>
      </c>
      <c r="I157" s="8">
        <v>46000</v>
      </c>
      <c r="J157" s="8">
        <v>42000</v>
      </c>
      <c r="K157" s="8">
        <v>41000</v>
      </c>
      <c r="L157" s="8">
        <v>41000</v>
      </c>
      <c r="M157" s="8">
        <v>47000</v>
      </c>
      <c r="N157" s="16">
        <v>15300</v>
      </c>
      <c r="O157" s="16">
        <v>45000</v>
      </c>
      <c r="P157" s="16">
        <v>28000</v>
      </c>
      <c r="Q157" s="16">
        <v>35005</v>
      </c>
      <c r="R157" s="16">
        <v>50000</v>
      </c>
      <c r="S157" s="3" t="str">
        <f>VLOOKUP(A157,预测!G:AU,41,0)</f>
        <v>速度传感器</v>
      </c>
      <c r="T157" s="3">
        <f t="shared" si="20"/>
        <v>61727.1777003484</v>
      </c>
      <c r="U157" s="3">
        <f t="shared" si="21"/>
        <v>65358.1881533101</v>
      </c>
      <c r="V157" s="3">
        <f t="shared" si="22"/>
        <v>83513.2404181185</v>
      </c>
      <c r="W157" s="3">
        <f t="shared" si="23"/>
        <v>76251.2195121951</v>
      </c>
      <c r="X157" s="3">
        <f t="shared" si="24"/>
        <v>74435.7142857143</v>
      </c>
      <c r="Y157" s="3">
        <f t="shared" si="25"/>
        <v>74435.7142857143</v>
      </c>
      <c r="Z157" s="3">
        <f t="shared" si="26"/>
        <v>85328.7456445993</v>
      </c>
    </row>
    <row r="158" hidden="1" spans="1:26">
      <c r="A158" s="7" t="s">
        <v>431</v>
      </c>
      <c r="B158" s="7" t="s">
        <v>432</v>
      </c>
      <c r="C158" s="8"/>
      <c r="D158" s="8">
        <f t="shared" si="27"/>
        <v>14700</v>
      </c>
      <c r="E158" s="8">
        <f t="shared" si="19"/>
        <v>7000</v>
      </c>
      <c r="F158" s="12">
        <v>2.1</v>
      </c>
      <c r="G158" s="8">
        <v>1000</v>
      </c>
      <c r="H158" s="8">
        <v>1000</v>
      </c>
      <c r="I158" s="8">
        <v>1000</v>
      </c>
      <c r="J158" s="8">
        <v>1000</v>
      </c>
      <c r="K158" s="8">
        <v>1000</v>
      </c>
      <c r="L158" s="8">
        <v>1000</v>
      </c>
      <c r="M158" s="8">
        <v>1000</v>
      </c>
      <c r="N158" s="16"/>
      <c r="O158" s="16"/>
      <c r="P158" s="16"/>
      <c r="Q158" s="16"/>
      <c r="R158" s="16"/>
      <c r="S158" s="3" t="str">
        <f>VLOOKUP(A158,预测!G:AU,41,0)</f>
        <v>速度传感器</v>
      </c>
      <c r="T158" s="3">
        <f t="shared" si="20"/>
        <v>2100</v>
      </c>
      <c r="U158" s="3">
        <f t="shared" si="21"/>
        <v>2100</v>
      </c>
      <c r="V158" s="3">
        <f t="shared" si="22"/>
        <v>2100</v>
      </c>
      <c r="W158" s="3">
        <f t="shared" si="23"/>
        <v>2100</v>
      </c>
      <c r="X158" s="3">
        <f t="shared" si="24"/>
        <v>2100</v>
      </c>
      <c r="Y158" s="3">
        <f t="shared" si="25"/>
        <v>2100</v>
      </c>
      <c r="Z158" s="3">
        <f t="shared" si="26"/>
        <v>2100</v>
      </c>
    </row>
    <row r="159" hidden="1" spans="1:26">
      <c r="A159" s="7" t="s">
        <v>433</v>
      </c>
      <c r="B159" s="7" t="s">
        <v>434</v>
      </c>
      <c r="C159" s="8"/>
      <c r="D159" s="8">
        <f t="shared" si="27"/>
        <v>3845946.39227202</v>
      </c>
      <c r="E159" s="8">
        <f t="shared" si="19"/>
        <v>2056129</v>
      </c>
      <c r="F159" s="12">
        <v>1.87047913446677</v>
      </c>
      <c r="G159" s="8">
        <v>439129</v>
      </c>
      <c r="H159" s="8">
        <v>284500</v>
      </c>
      <c r="I159" s="8">
        <v>284500</v>
      </c>
      <c r="J159" s="8">
        <v>284500</v>
      </c>
      <c r="K159" s="8">
        <v>254500</v>
      </c>
      <c r="L159" s="8">
        <v>254500</v>
      </c>
      <c r="M159" s="8">
        <v>254500</v>
      </c>
      <c r="N159" s="16">
        <v>229500</v>
      </c>
      <c r="O159" s="16">
        <v>226500</v>
      </c>
      <c r="P159" s="16">
        <v>42119</v>
      </c>
      <c r="Q159" s="16">
        <v>187572</v>
      </c>
      <c r="R159" s="16">
        <v>123349</v>
      </c>
      <c r="S159" s="3" t="str">
        <f>VLOOKUP(A159,预测!G:AU,41,0)</f>
        <v>速度传感器</v>
      </c>
      <c r="T159" s="3">
        <f t="shared" si="20"/>
        <v>821381.631839258</v>
      </c>
      <c r="U159" s="3">
        <f t="shared" si="21"/>
        <v>532151.313755796</v>
      </c>
      <c r="V159" s="3">
        <f t="shared" si="22"/>
        <v>532151.313755796</v>
      </c>
      <c r="W159" s="3">
        <f t="shared" si="23"/>
        <v>532151.313755796</v>
      </c>
      <c r="X159" s="3">
        <f t="shared" si="24"/>
        <v>476036.939721793</v>
      </c>
      <c r="Y159" s="3">
        <f t="shared" si="25"/>
        <v>476036.939721793</v>
      </c>
      <c r="Z159" s="3">
        <f t="shared" si="26"/>
        <v>476036.939721793</v>
      </c>
    </row>
    <row r="160" s="2" customFormat="1" hidden="1" spans="1:26">
      <c r="A160" s="9" t="s">
        <v>435</v>
      </c>
      <c r="B160" s="9" t="s">
        <v>436</v>
      </c>
      <c r="C160" s="10"/>
      <c r="D160" s="10">
        <f t="shared" si="27"/>
        <v>0</v>
      </c>
      <c r="E160" s="10">
        <f t="shared" si="19"/>
        <v>0</v>
      </c>
      <c r="F160" s="13">
        <v>1.6283378746594</v>
      </c>
      <c r="G160" s="10"/>
      <c r="H160" s="10"/>
      <c r="I160" s="10"/>
      <c r="J160" s="10"/>
      <c r="K160" s="10"/>
      <c r="L160" s="10"/>
      <c r="M160" s="10"/>
      <c r="N160" s="17"/>
      <c r="O160" s="17"/>
      <c r="P160" s="17"/>
      <c r="Q160" s="17"/>
      <c r="R160" s="17"/>
      <c r="S160" s="3" t="str">
        <f>VLOOKUP(A160,预测!G:AU,41,0)</f>
        <v>速度传感器</v>
      </c>
      <c r="T160" s="3">
        <f t="shared" si="20"/>
        <v>0</v>
      </c>
      <c r="U160" s="3">
        <f t="shared" si="21"/>
        <v>0</v>
      </c>
      <c r="V160" s="3">
        <f t="shared" si="22"/>
        <v>0</v>
      </c>
      <c r="W160" s="3">
        <f t="shared" si="23"/>
        <v>0</v>
      </c>
      <c r="X160" s="3">
        <f t="shared" si="24"/>
        <v>0</v>
      </c>
      <c r="Y160" s="3">
        <f t="shared" si="25"/>
        <v>0</v>
      </c>
      <c r="Z160" s="3">
        <f t="shared" si="26"/>
        <v>0</v>
      </c>
    </row>
    <row r="161" hidden="1" spans="1:26">
      <c r="A161" s="7" t="s">
        <v>437</v>
      </c>
      <c r="B161" s="7" t="s">
        <v>438</v>
      </c>
      <c r="C161" s="8"/>
      <c r="D161" s="8">
        <f t="shared" si="27"/>
        <v>3438000</v>
      </c>
      <c r="E161" s="10">
        <f t="shared" si="19"/>
        <v>660000</v>
      </c>
      <c r="F161" s="12">
        <v>5.20909090909091</v>
      </c>
      <c r="G161" s="8">
        <v>100000</v>
      </c>
      <c r="H161" s="8">
        <v>100000</v>
      </c>
      <c r="I161" s="8">
        <v>100000</v>
      </c>
      <c r="J161" s="8">
        <v>90000</v>
      </c>
      <c r="K161" s="8">
        <v>90000</v>
      </c>
      <c r="L161" s="8">
        <v>90000</v>
      </c>
      <c r="M161" s="8">
        <v>90000</v>
      </c>
      <c r="N161" s="16">
        <v>70200</v>
      </c>
      <c r="O161" s="16">
        <v>68000</v>
      </c>
      <c r="P161" s="16">
        <v>79500</v>
      </c>
      <c r="Q161" s="16">
        <v>88536</v>
      </c>
      <c r="R161" s="16">
        <v>78041</v>
      </c>
      <c r="S161" s="3" t="str">
        <f>VLOOKUP(A161,预测!G:AU,41,0)</f>
        <v>速度传感器</v>
      </c>
      <c r="T161" s="3">
        <f t="shared" si="20"/>
        <v>520909.090909091</v>
      </c>
      <c r="U161" s="3">
        <f t="shared" si="21"/>
        <v>520909.090909091</v>
      </c>
      <c r="V161" s="3">
        <f t="shared" si="22"/>
        <v>520909.090909091</v>
      </c>
      <c r="W161" s="3">
        <f t="shared" si="23"/>
        <v>468818.181818182</v>
      </c>
      <c r="X161" s="3">
        <f t="shared" si="24"/>
        <v>468818.181818182</v>
      </c>
      <c r="Y161" s="3">
        <f t="shared" si="25"/>
        <v>468818.181818182</v>
      </c>
      <c r="Z161" s="3">
        <f t="shared" si="26"/>
        <v>468818.181818182</v>
      </c>
    </row>
    <row r="162" hidden="1" spans="1:26">
      <c r="A162" s="7" t="s">
        <v>1645</v>
      </c>
      <c r="B162" s="7" t="s">
        <v>1646</v>
      </c>
      <c r="C162" s="8"/>
      <c r="D162" s="8">
        <f t="shared" si="27"/>
        <v>1081500</v>
      </c>
      <c r="E162" s="10">
        <f t="shared" si="19"/>
        <v>210000</v>
      </c>
      <c r="F162" s="12">
        <v>5.15</v>
      </c>
      <c r="G162" s="8">
        <v>30000</v>
      </c>
      <c r="H162" s="8">
        <v>30000</v>
      </c>
      <c r="I162" s="8">
        <v>30000</v>
      </c>
      <c r="J162" s="8">
        <v>30000</v>
      </c>
      <c r="K162" s="8">
        <v>30000</v>
      </c>
      <c r="L162" s="8">
        <v>30000</v>
      </c>
      <c r="M162" s="8">
        <v>30000</v>
      </c>
      <c r="N162" s="16">
        <v>20000</v>
      </c>
      <c r="O162" s="16">
        <v>20000</v>
      </c>
      <c r="P162" s="16">
        <v>35011</v>
      </c>
      <c r="Q162" s="16">
        <v>41023</v>
      </c>
      <c r="R162" s="16">
        <v>30000</v>
      </c>
      <c r="S162" s="3" t="s">
        <v>688</v>
      </c>
      <c r="T162" s="3">
        <f t="shared" si="20"/>
        <v>154500</v>
      </c>
      <c r="U162" s="3">
        <f t="shared" si="21"/>
        <v>154500</v>
      </c>
      <c r="V162" s="3">
        <f t="shared" si="22"/>
        <v>154500</v>
      </c>
      <c r="W162" s="3">
        <f t="shared" si="23"/>
        <v>154500</v>
      </c>
      <c r="X162" s="3">
        <f t="shared" si="24"/>
        <v>154500</v>
      </c>
      <c r="Y162" s="3">
        <f t="shared" si="25"/>
        <v>154500</v>
      </c>
      <c r="Z162" s="3">
        <f t="shared" si="26"/>
        <v>154500</v>
      </c>
    </row>
    <row r="163" hidden="1" spans="1:26">
      <c r="A163" s="7" t="s">
        <v>1647</v>
      </c>
      <c r="B163" s="7" t="s">
        <v>1648</v>
      </c>
      <c r="C163" s="8"/>
      <c r="D163" s="8">
        <f t="shared" si="27"/>
        <v>441000</v>
      </c>
      <c r="E163" s="10">
        <f t="shared" si="19"/>
        <v>70000</v>
      </c>
      <c r="F163" s="12">
        <v>6.3</v>
      </c>
      <c r="G163" s="8">
        <v>10000</v>
      </c>
      <c r="H163" s="8">
        <v>10000</v>
      </c>
      <c r="I163" s="8">
        <v>10000</v>
      </c>
      <c r="J163" s="8">
        <v>10000</v>
      </c>
      <c r="K163" s="8">
        <v>10000</v>
      </c>
      <c r="L163" s="8">
        <v>10000</v>
      </c>
      <c r="M163" s="8">
        <v>10000</v>
      </c>
      <c r="N163" s="16">
        <v>64798</v>
      </c>
      <c r="O163" s="16">
        <v>58336</v>
      </c>
      <c r="P163" s="16">
        <v>105866</v>
      </c>
      <c r="Q163" s="16">
        <v>21352</v>
      </c>
      <c r="R163" s="16">
        <v>5500</v>
      </c>
      <c r="S163" s="3" t="s">
        <v>688</v>
      </c>
      <c r="T163" s="3">
        <f t="shared" si="20"/>
        <v>63000</v>
      </c>
      <c r="U163" s="3">
        <f t="shared" si="21"/>
        <v>63000</v>
      </c>
      <c r="V163" s="3">
        <f t="shared" si="22"/>
        <v>63000</v>
      </c>
      <c r="W163" s="3">
        <f t="shared" si="23"/>
        <v>63000</v>
      </c>
      <c r="X163" s="3">
        <f t="shared" si="24"/>
        <v>63000</v>
      </c>
      <c r="Y163" s="3">
        <f t="shared" si="25"/>
        <v>63000</v>
      </c>
      <c r="Z163" s="3">
        <f t="shared" si="26"/>
        <v>63000</v>
      </c>
    </row>
    <row r="164" hidden="1" spans="1:26">
      <c r="A164" s="7" t="s">
        <v>439</v>
      </c>
      <c r="B164" s="7" t="s">
        <v>440</v>
      </c>
      <c r="C164" s="8"/>
      <c r="D164" s="8">
        <f t="shared" si="27"/>
        <v>13801182.7</v>
      </c>
      <c r="E164" s="10">
        <f t="shared" si="19"/>
        <v>6440090</v>
      </c>
      <c r="F164" s="12">
        <v>2.14301084301617</v>
      </c>
      <c r="G164" s="8">
        <v>884000</v>
      </c>
      <c r="H164" s="8">
        <v>894000</v>
      </c>
      <c r="I164" s="8">
        <v>857570</v>
      </c>
      <c r="J164" s="8">
        <v>937970</v>
      </c>
      <c r="K164" s="8">
        <v>950370</v>
      </c>
      <c r="L164" s="8">
        <v>958850</v>
      </c>
      <c r="M164" s="8">
        <v>957330</v>
      </c>
      <c r="N164" s="16">
        <v>1101000</v>
      </c>
      <c r="O164" s="16">
        <v>99000</v>
      </c>
      <c r="P164" s="16">
        <v>1197000</v>
      </c>
      <c r="Q164" s="16">
        <v>686000</v>
      </c>
      <c r="R164" s="16">
        <v>1219550</v>
      </c>
      <c r="S164" s="3" t="str">
        <f>VLOOKUP(A164,预测!G:AU,41,0)</f>
        <v>速度传感器</v>
      </c>
      <c r="T164" s="3">
        <f t="shared" si="20"/>
        <v>1894421.58522629</v>
      </c>
      <c r="U164" s="3">
        <f t="shared" si="21"/>
        <v>1915851.69365645</v>
      </c>
      <c r="V164" s="3">
        <f t="shared" si="22"/>
        <v>1837781.80864538</v>
      </c>
      <c r="W164" s="3">
        <f t="shared" si="23"/>
        <v>2010079.88042388</v>
      </c>
      <c r="X164" s="3">
        <f t="shared" si="24"/>
        <v>2036653.21487728</v>
      </c>
      <c r="Y164" s="3">
        <f t="shared" si="25"/>
        <v>2054825.94682605</v>
      </c>
      <c r="Z164" s="3">
        <f t="shared" si="26"/>
        <v>2051568.57034467</v>
      </c>
    </row>
    <row r="165" hidden="1" spans="1:26">
      <c r="A165" s="7" t="s">
        <v>441</v>
      </c>
      <c r="B165" s="7" t="s">
        <v>442</v>
      </c>
      <c r="C165" s="20"/>
      <c r="D165" s="20">
        <f t="shared" si="27"/>
        <v>10906611.8047673</v>
      </c>
      <c r="E165" s="20">
        <f t="shared" si="19"/>
        <v>7000000</v>
      </c>
      <c r="F165" s="22">
        <v>1.55808740068104</v>
      </c>
      <c r="G165" s="20">
        <v>1000000</v>
      </c>
      <c r="H165" s="20">
        <v>1000000</v>
      </c>
      <c r="I165" s="20">
        <v>1000000</v>
      </c>
      <c r="J165" s="20">
        <v>1000000</v>
      </c>
      <c r="K165" s="20">
        <v>1000000</v>
      </c>
      <c r="L165" s="20">
        <v>1000000</v>
      </c>
      <c r="M165" s="20">
        <v>1000000</v>
      </c>
      <c r="N165" s="20">
        <v>655520</v>
      </c>
      <c r="O165" s="20">
        <v>210000</v>
      </c>
      <c r="P165" s="20">
        <v>1069053</v>
      </c>
      <c r="Q165" s="20">
        <v>420010</v>
      </c>
      <c r="R165" s="20">
        <v>1150600</v>
      </c>
      <c r="S165" s="3" t="str">
        <f>VLOOKUP(A165,预测!G:AU,41,0)</f>
        <v>速度传感器</v>
      </c>
      <c r="T165" s="3">
        <f t="shared" si="20"/>
        <v>1558087.40068104</v>
      </c>
      <c r="U165" s="3">
        <f t="shared" si="21"/>
        <v>1558087.40068104</v>
      </c>
      <c r="V165" s="3">
        <f t="shared" si="22"/>
        <v>1558087.40068104</v>
      </c>
      <c r="W165" s="3">
        <f t="shared" si="23"/>
        <v>1558087.40068104</v>
      </c>
      <c r="X165" s="3">
        <f t="shared" si="24"/>
        <v>1558087.40068104</v>
      </c>
      <c r="Y165" s="3">
        <f t="shared" si="25"/>
        <v>1558087.40068104</v>
      </c>
      <c r="Z165" s="3">
        <f t="shared" si="26"/>
        <v>1558087.40068104</v>
      </c>
    </row>
    <row r="166" hidden="1" spans="1:26">
      <c r="A166" s="7" t="s">
        <v>443</v>
      </c>
      <c r="B166" s="7" t="s">
        <v>444</v>
      </c>
      <c r="C166" s="8"/>
      <c r="D166" s="8">
        <f t="shared" si="27"/>
        <v>240000</v>
      </c>
      <c r="E166" s="8">
        <f t="shared" si="19"/>
        <v>150000</v>
      </c>
      <c r="F166" s="12">
        <v>1.6</v>
      </c>
      <c r="G166" s="8">
        <v>30000</v>
      </c>
      <c r="H166" s="8">
        <v>20000</v>
      </c>
      <c r="I166" s="8">
        <v>20000</v>
      </c>
      <c r="J166" s="8">
        <v>20000</v>
      </c>
      <c r="K166" s="8">
        <v>20000</v>
      </c>
      <c r="L166" s="8">
        <v>20000</v>
      </c>
      <c r="M166" s="8">
        <v>20000</v>
      </c>
      <c r="N166" s="16"/>
      <c r="O166" s="16"/>
      <c r="P166" s="16"/>
      <c r="Q166" s="16"/>
      <c r="R166" s="16"/>
      <c r="S166" s="3" t="str">
        <f>VLOOKUP(A166,预测!G:AU,41,0)</f>
        <v>速度传感器</v>
      </c>
      <c r="T166" s="3">
        <f t="shared" si="20"/>
        <v>48000</v>
      </c>
      <c r="U166" s="3">
        <f t="shared" si="21"/>
        <v>32000</v>
      </c>
      <c r="V166" s="3">
        <f t="shared" si="22"/>
        <v>32000</v>
      </c>
      <c r="W166" s="3">
        <f t="shared" si="23"/>
        <v>32000</v>
      </c>
      <c r="X166" s="3">
        <f t="shared" si="24"/>
        <v>32000</v>
      </c>
      <c r="Y166" s="3">
        <f t="shared" si="25"/>
        <v>32000</v>
      </c>
      <c r="Z166" s="3">
        <f t="shared" si="26"/>
        <v>32000</v>
      </c>
    </row>
    <row r="167" hidden="1" spans="1:26">
      <c r="A167" s="7" t="s">
        <v>445</v>
      </c>
      <c r="B167" s="7" t="s">
        <v>446</v>
      </c>
      <c r="C167" s="8"/>
      <c r="D167" s="8">
        <f t="shared" ref="D167" si="28">SUM(G167:M167)*F167</f>
        <v>4076869.60846831</v>
      </c>
      <c r="E167" s="8">
        <f t="shared" ref="E167" si="29">SUM(G167:M167)</f>
        <v>2020500</v>
      </c>
      <c r="F167" s="12">
        <v>2.01775283764826</v>
      </c>
      <c r="G167" s="8">
        <v>300000</v>
      </c>
      <c r="H167" s="8">
        <v>300000</v>
      </c>
      <c r="I167" s="8">
        <v>330000</v>
      </c>
      <c r="J167" s="8">
        <v>340500</v>
      </c>
      <c r="K167" s="8">
        <v>240000</v>
      </c>
      <c r="L167" s="8">
        <v>240000</v>
      </c>
      <c r="M167" s="8">
        <v>270000</v>
      </c>
      <c r="N167" s="16">
        <v>330000</v>
      </c>
      <c r="O167" s="16">
        <v>459000</v>
      </c>
      <c r="P167" s="16">
        <v>620592</v>
      </c>
      <c r="Q167" s="16">
        <v>469426</v>
      </c>
      <c r="R167" s="16">
        <v>429074</v>
      </c>
      <c r="S167" s="3" t="str">
        <f>VLOOKUP(A167,预测!G:AU,41,0)</f>
        <v>速度传感器</v>
      </c>
      <c r="T167" s="3">
        <f t="shared" si="20"/>
        <v>605325.851294478</v>
      </c>
      <c r="U167" s="3">
        <f t="shared" si="21"/>
        <v>605325.851294478</v>
      </c>
      <c r="V167" s="3">
        <f t="shared" si="22"/>
        <v>665858.436423925</v>
      </c>
      <c r="W167" s="3">
        <f t="shared" si="23"/>
        <v>687044.841219232</v>
      </c>
      <c r="X167" s="3">
        <f t="shared" si="24"/>
        <v>484260.681035582</v>
      </c>
      <c r="Y167" s="3">
        <f t="shared" si="25"/>
        <v>484260.681035582</v>
      </c>
      <c r="Z167" s="3">
        <f t="shared" si="26"/>
        <v>544793.26616503</v>
      </c>
    </row>
    <row r="168" hidden="1" spans="1:26">
      <c r="A168" s="7" t="s">
        <v>445</v>
      </c>
      <c r="B168" s="7" t="s">
        <v>447</v>
      </c>
      <c r="C168" s="8"/>
      <c r="D168" s="8">
        <f t="shared" si="27"/>
        <v>3833730.39153169</v>
      </c>
      <c r="E168" s="8">
        <f t="shared" si="19"/>
        <v>1900000</v>
      </c>
      <c r="F168" s="12">
        <v>2.01775283764826</v>
      </c>
      <c r="G168" s="8">
        <v>200000</v>
      </c>
      <c r="H168" s="8">
        <v>200000</v>
      </c>
      <c r="I168" s="8">
        <v>200000</v>
      </c>
      <c r="J168" s="8">
        <v>300000</v>
      </c>
      <c r="K168" s="8">
        <v>300000</v>
      </c>
      <c r="L168" s="8">
        <v>300000</v>
      </c>
      <c r="M168" s="8">
        <v>400000</v>
      </c>
      <c r="N168" s="16">
        <v>330000</v>
      </c>
      <c r="O168" s="16">
        <v>459000</v>
      </c>
      <c r="P168" s="16">
        <v>620592</v>
      </c>
      <c r="Q168" s="16">
        <v>469426</v>
      </c>
      <c r="R168" s="16">
        <v>429074</v>
      </c>
      <c r="S168" s="3" t="str">
        <f>VLOOKUP(A168,预测!G:AU,41,0)</f>
        <v>速度传感器</v>
      </c>
      <c r="T168" s="3">
        <f t="shared" si="20"/>
        <v>403550.567529652</v>
      </c>
      <c r="U168" s="3">
        <f t="shared" si="21"/>
        <v>403550.567529652</v>
      </c>
      <c r="V168" s="3">
        <f t="shared" si="22"/>
        <v>403550.567529652</v>
      </c>
      <c r="W168" s="3">
        <f t="shared" si="23"/>
        <v>605325.851294478</v>
      </c>
      <c r="X168" s="3">
        <f t="shared" si="24"/>
        <v>605325.851294478</v>
      </c>
      <c r="Y168" s="3">
        <f t="shared" si="25"/>
        <v>605325.851294478</v>
      </c>
      <c r="Z168" s="3">
        <f t="shared" si="26"/>
        <v>807101.135059304</v>
      </c>
    </row>
    <row r="169" hidden="1" spans="1:26">
      <c r="A169" s="7" t="s">
        <v>448</v>
      </c>
      <c r="B169" s="7" t="s">
        <v>449</v>
      </c>
      <c r="C169" s="8"/>
      <c r="D169" s="8">
        <f t="shared" si="27"/>
        <v>3052187.99758611</v>
      </c>
      <c r="E169" s="8">
        <f t="shared" si="19"/>
        <v>1400000</v>
      </c>
      <c r="F169" s="12">
        <v>2.18013428399008</v>
      </c>
      <c r="G169" s="8">
        <v>200000</v>
      </c>
      <c r="H169" s="8">
        <v>200000</v>
      </c>
      <c r="I169" s="8">
        <v>200000</v>
      </c>
      <c r="J169" s="8">
        <v>200000</v>
      </c>
      <c r="K169" s="8">
        <v>200000</v>
      </c>
      <c r="L169" s="8">
        <v>200000</v>
      </c>
      <c r="M169" s="8">
        <v>200000</v>
      </c>
      <c r="N169" s="16">
        <v>48000</v>
      </c>
      <c r="O169" s="16">
        <v>42000</v>
      </c>
      <c r="P169" s="16">
        <v>91550</v>
      </c>
      <c r="Q169" s="16">
        <v>214500</v>
      </c>
      <c r="R169" s="16">
        <v>162000</v>
      </c>
      <c r="S169" s="3" t="str">
        <f>VLOOKUP(A169,预测!G:AU,41,0)</f>
        <v>速度传感器</v>
      </c>
      <c r="T169" s="3">
        <f t="shared" si="20"/>
        <v>436026.856798015</v>
      </c>
      <c r="U169" s="3">
        <f t="shared" si="21"/>
        <v>436026.856798015</v>
      </c>
      <c r="V169" s="3">
        <f t="shared" si="22"/>
        <v>436026.856798015</v>
      </c>
      <c r="W169" s="3">
        <f t="shared" si="23"/>
        <v>436026.856798015</v>
      </c>
      <c r="X169" s="3">
        <f t="shared" si="24"/>
        <v>436026.856798015</v>
      </c>
      <c r="Y169" s="3">
        <f t="shared" si="25"/>
        <v>436026.856798015</v>
      </c>
      <c r="Z169" s="3">
        <f t="shared" si="26"/>
        <v>436026.856798015</v>
      </c>
    </row>
    <row r="170" hidden="1" spans="1:26">
      <c r="A170" s="7" t="s">
        <v>450</v>
      </c>
      <c r="B170" s="7" t="s">
        <v>451</v>
      </c>
      <c r="C170" s="8"/>
      <c r="D170" s="8">
        <f t="shared" si="27"/>
        <v>623000</v>
      </c>
      <c r="E170" s="8">
        <f t="shared" si="19"/>
        <v>322000</v>
      </c>
      <c r="F170" s="12">
        <v>1.93478260869565</v>
      </c>
      <c r="G170" s="8">
        <v>46000</v>
      </c>
      <c r="H170" s="8">
        <v>46000</v>
      </c>
      <c r="I170" s="8">
        <v>46000</v>
      </c>
      <c r="J170" s="8">
        <v>46000</v>
      </c>
      <c r="K170" s="8">
        <v>46000</v>
      </c>
      <c r="L170" s="8">
        <v>46000</v>
      </c>
      <c r="M170" s="8">
        <v>46000</v>
      </c>
      <c r="N170" s="16"/>
      <c r="O170" s="16"/>
      <c r="P170" s="16"/>
      <c r="Q170" s="16"/>
      <c r="R170" s="16"/>
      <c r="S170" s="3" t="str">
        <f>VLOOKUP(A170,预测!G:AU,41,0)</f>
        <v>速度传感器</v>
      </c>
      <c r="T170" s="3">
        <f t="shared" si="20"/>
        <v>89000</v>
      </c>
      <c r="U170" s="3">
        <f t="shared" si="21"/>
        <v>89000</v>
      </c>
      <c r="V170" s="3">
        <f t="shared" si="22"/>
        <v>89000</v>
      </c>
      <c r="W170" s="3">
        <f t="shared" si="23"/>
        <v>89000</v>
      </c>
      <c r="X170" s="3">
        <f t="shared" si="24"/>
        <v>89000</v>
      </c>
      <c r="Y170" s="3">
        <f t="shared" si="25"/>
        <v>89000</v>
      </c>
      <c r="Z170" s="3">
        <f t="shared" si="26"/>
        <v>89000</v>
      </c>
    </row>
    <row r="171" hidden="1" spans="1:26">
      <c r="A171" s="7" t="s">
        <v>452</v>
      </c>
      <c r="B171" s="7" t="s">
        <v>453</v>
      </c>
      <c r="C171" s="8"/>
      <c r="D171" s="8">
        <f t="shared" si="27"/>
        <v>2752600</v>
      </c>
      <c r="E171" s="8">
        <f t="shared" si="19"/>
        <v>1300000</v>
      </c>
      <c r="F171" s="12">
        <v>2.11738461538462</v>
      </c>
      <c r="G171" s="8">
        <v>180000</v>
      </c>
      <c r="H171" s="8">
        <v>180000</v>
      </c>
      <c r="I171" s="8">
        <v>180000</v>
      </c>
      <c r="J171" s="8">
        <v>190000</v>
      </c>
      <c r="K171" s="8">
        <v>190000</v>
      </c>
      <c r="L171" s="8">
        <v>190000</v>
      </c>
      <c r="M171" s="8">
        <v>190000</v>
      </c>
      <c r="N171" s="16"/>
      <c r="O171" s="16"/>
      <c r="P171" s="16"/>
      <c r="Q171" s="16"/>
      <c r="R171" s="16"/>
      <c r="S171" s="3" t="str">
        <f>VLOOKUP(A171,预测!G:AU,41,0)</f>
        <v>速度传感器</v>
      </c>
      <c r="T171" s="3">
        <f t="shared" si="20"/>
        <v>381129.230769231</v>
      </c>
      <c r="U171" s="3">
        <f t="shared" si="21"/>
        <v>381129.230769231</v>
      </c>
      <c r="V171" s="3">
        <f t="shared" si="22"/>
        <v>381129.230769231</v>
      </c>
      <c r="W171" s="3">
        <f t="shared" si="23"/>
        <v>402303.076923077</v>
      </c>
      <c r="X171" s="3">
        <f t="shared" si="24"/>
        <v>402303.076923077</v>
      </c>
      <c r="Y171" s="3">
        <f t="shared" si="25"/>
        <v>402303.076923077</v>
      </c>
      <c r="Z171" s="3">
        <f t="shared" si="26"/>
        <v>402303.076923077</v>
      </c>
    </row>
    <row r="172" hidden="1" spans="1:26">
      <c r="A172" s="7" t="s">
        <v>452</v>
      </c>
      <c r="B172" s="7" t="s">
        <v>454</v>
      </c>
      <c r="C172" s="8"/>
      <c r="D172" s="8">
        <f t="shared" si="27"/>
        <v>2139390</v>
      </c>
      <c r="E172" s="8">
        <f t="shared" si="19"/>
        <v>1043000</v>
      </c>
      <c r="F172" s="12">
        <v>2.05118887823586</v>
      </c>
      <c r="G172" s="8">
        <v>136000</v>
      </c>
      <c r="H172" s="8">
        <v>136000</v>
      </c>
      <c r="I172" s="8">
        <v>136000</v>
      </c>
      <c r="J172" s="8">
        <v>158000</v>
      </c>
      <c r="K172" s="8">
        <v>158000</v>
      </c>
      <c r="L172" s="8">
        <v>158000</v>
      </c>
      <c r="M172" s="8">
        <v>161000</v>
      </c>
      <c r="N172" s="16">
        <v>198291</v>
      </c>
      <c r="O172" s="16">
        <v>471154</v>
      </c>
      <c r="P172" s="16">
        <v>555000</v>
      </c>
      <c r="Q172" s="16">
        <v>105000</v>
      </c>
      <c r="R172" s="16">
        <v>102032</v>
      </c>
      <c r="S172" s="3" t="str">
        <f>VLOOKUP(A172,预测!G:AU,41,0)</f>
        <v>速度传感器</v>
      </c>
      <c r="T172" s="3">
        <f t="shared" si="20"/>
        <v>278961.687440077</v>
      </c>
      <c r="U172" s="3">
        <f t="shared" si="21"/>
        <v>278961.687440077</v>
      </c>
      <c r="V172" s="3">
        <f t="shared" si="22"/>
        <v>278961.687440077</v>
      </c>
      <c r="W172" s="3">
        <f t="shared" si="23"/>
        <v>324087.842761266</v>
      </c>
      <c r="X172" s="3">
        <f t="shared" si="24"/>
        <v>324087.842761266</v>
      </c>
      <c r="Y172" s="3">
        <f t="shared" si="25"/>
        <v>324087.842761266</v>
      </c>
      <c r="Z172" s="3">
        <f t="shared" si="26"/>
        <v>330241.409395973</v>
      </c>
    </row>
    <row r="173" hidden="1" spans="1:26">
      <c r="A173" s="7" t="s">
        <v>455</v>
      </c>
      <c r="B173" s="7" t="s">
        <v>456</v>
      </c>
      <c r="C173" s="8"/>
      <c r="D173" s="8">
        <f t="shared" si="27"/>
        <v>3871457.5</v>
      </c>
      <c r="E173" s="8">
        <f t="shared" si="19"/>
        <v>1796500</v>
      </c>
      <c r="F173" s="12">
        <v>2.155</v>
      </c>
      <c r="G173" s="8">
        <v>196500</v>
      </c>
      <c r="H173" s="8">
        <v>200000</v>
      </c>
      <c r="I173" s="8">
        <v>200000</v>
      </c>
      <c r="J173" s="8">
        <v>300000</v>
      </c>
      <c r="K173" s="8">
        <v>300000</v>
      </c>
      <c r="L173" s="8">
        <v>300000</v>
      </c>
      <c r="M173" s="8">
        <v>300000</v>
      </c>
      <c r="N173" s="16">
        <v>597000</v>
      </c>
      <c r="O173" s="16">
        <v>540000</v>
      </c>
      <c r="P173" s="16">
        <v>366000</v>
      </c>
      <c r="Q173" s="16">
        <v>555000</v>
      </c>
      <c r="R173" s="16">
        <v>189000</v>
      </c>
      <c r="S173" s="3" t="str">
        <f>VLOOKUP(A173,预测!G:AU,41,0)</f>
        <v>速度传感器</v>
      </c>
      <c r="T173" s="3">
        <f t="shared" si="20"/>
        <v>423457.5</v>
      </c>
      <c r="U173" s="3">
        <f t="shared" si="21"/>
        <v>431000</v>
      </c>
      <c r="V173" s="3">
        <f t="shared" si="22"/>
        <v>431000</v>
      </c>
      <c r="W173" s="3">
        <f t="shared" si="23"/>
        <v>646500</v>
      </c>
      <c r="X173" s="3">
        <f t="shared" si="24"/>
        <v>646500</v>
      </c>
      <c r="Y173" s="3">
        <f t="shared" si="25"/>
        <v>646500</v>
      </c>
      <c r="Z173" s="3">
        <f t="shared" si="26"/>
        <v>646500</v>
      </c>
    </row>
    <row r="174" hidden="1" spans="1:26">
      <c r="A174" s="7" t="s">
        <v>457</v>
      </c>
      <c r="B174" s="7" t="s">
        <v>458</v>
      </c>
      <c r="C174" s="8"/>
      <c r="D174" s="8">
        <f t="shared" si="27"/>
        <v>10137060</v>
      </c>
      <c r="E174" s="8">
        <f t="shared" si="19"/>
        <v>7835000</v>
      </c>
      <c r="F174" s="12">
        <v>1.29381748564135</v>
      </c>
      <c r="G174" s="8">
        <v>705000</v>
      </c>
      <c r="H174" s="8">
        <v>765000</v>
      </c>
      <c r="I174" s="8">
        <v>1243000</v>
      </c>
      <c r="J174" s="8">
        <v>1243000</v>
      </c>
      <c r="K174" s="8">
        <v>1293000</v>
      </c>
      <c r="L174" s="8">
        <v>1293000</v>
      </c>
      <c r="M174" s="8">
        <v>1293000</v>
      </c>
      <c r="N174" s="16">
        <v>673500</v>
      </c>
      <c r="O174" s="16">
        <v>970500</v>
      </c>
      <c r="P174" s="16">
        <v>319500</v>
      </c>
      <c r="Q174" s="16">
        <v>775500</v>
      </c>
      <c r="R174" s="16">
        <v>300000</v>
      </c>
      <c r="S174" s="3" t="str">
        <f>VLOOKUP(A174,预测!G:AU,41,0)</f>
        <v>速度传感器</v>
      </c>
      <c r="T174" s="3">
        <f t="shared" si="20"/>
        <v>912141.327377154</v>
      </c>
      <c r="U174" s="3">
        <f t="shared" si="21"/>
        <v>989770.376515635</v>
      </c>
      <c r="V174" s="3">
        <f t="shared" si="22"/>
        <v>1608215.1346522</v>
      </c>
      <c r="W174" s="3">
        <f t="shared" si="23"/>
        <v>1608215.1346522</v>
      </c>
      <c r="X174" s="3">
        <f t="shared" si="24"/>
        <v>1672906.00893427</v>
      </c>
      <c r="Y174" s="3">
        <f t="shared" si="25"/>
        <v>1672906.00893427</v>
      </c>
      <c r="Z174" s="3">
        <f t="shared" si="26"/>
        <v>1672906.00893427</v>
      </c>
    </row>
    <row r="175" hidden="1" spans="1:26">
      <c r="A175" s="7" t="s">
        <v>460</v>
      </c>
      <c r="B175" s="7" t="s">
        <v>461</v>
      </c>
      <c r="C175" s="8"/>
      <c r="D175" s="8">
        <f t="shared" si="27"/>
        <v>423500</v>
      </c>
      <c r="E175" s="8">
        <f t="shared" si="19"/>
        <v>70000</v>
      </c>
      <c r="F175" s="12">
        <v>6.05</v>
      </c>
      <c r="G175" s="8">
        <v>10000</v>
      </c>
      <c r="H175" s="8">
        <v>10000</v>
      </c>
      <c r="I175" s="8">
        <v>10000</v>
      </c>
      <c r="J175" s="8">
        <v>10000</v>
      </c>
      <c r="K175" s="8">
        <v>10000</v>
      </c>
      <c r="L175" s="8">
        <v>10000</v>
      </c>
      <c r="M175" s="8">
        <v>10000</v>
      </c>
      <c r="N175" s="16">
        <v>0</v>
      </c>
      <c r="O175" s="16">
        <v>11620</v>
      </c>
      <c r="P175" s="16">
        <v>8621</v>
      </c>
      <c r="Q175" s="16">
        <v>-8759</v>
      </c>
      <c r="R175" s="16">
        <v>18518</v>
      </c>
      <c r="S175" s="3" t="str">
        <f>VLOOKUP(A175,预测!G:AU,41,0)</f>
        <v>速度传感器</v>
      </c>
      <c r="T175" s="3">
        <f t="shared" si="20"/>
        <v>60500</v>
      </c>
      <c r="U175" s="3">
        <f t="shared" si="21"/>
        <v>60500</v>
      </c>
      <c r="V175" s="3">
        <f t="shared" si="22"/>
        <v>60500</v>
      </c>
      <c r="W175" s="3">
        <f t="shared" si="23"/>
        <v>60500</v>
      </c>
      <c r="X175" s="3">
        <f t="shared" si="24"/>
        <v>60500</v>
      </c>
      <c r="Y175" s="3">
        <f t="shared" si="25"/>
        <v>60500</v>
      </c>
      <c r="Z175" s="3">
        <f t="shared" si="26"/>
        <v>60500</v>
      </c>
    </row>
    <row r="176" hidden="1" spans="1:26">
      <c r="A176" s="7" t="s">
        <v>464</v>
      </c>
      <c r="B176" s="7" t="s">
        <v>1649</v>
      </c>
      <c r="C176" s="8"/>
      <c r="D176" s="8">
        <f t="shared" si="27"/>
        <v>455000</v>
      </c>
      <c r="E176" s="8"/>
      <c r="F176" s="12">
        <v>6.5</v>
      </c>
      <c r="G176" s="8">
        <v>10000</v>
      </c>
      <c r="H176" s="8">
        <v>10000</v>
      </c>
      <c r="I176" s="8">
        <v>10000</v>
      </c>
      <c r="J176" s="8">
        <v>10000</v>
      </c>
      <c r="K176" s="8">
        <v>10000</v>
      </c>
      <c r="L176" s="8">
        <v>10000</v>
      </c>
      <c r="M176" s="8">
        <v>10000</v>
      </c>
      <c r="N176" s="16">
        <v>2500</v>
      </c>
      <c r="O176" s="16">
        <v>-19118</v>
      </c>
      <c r="P176" s="16">
        <v>22320</v>
      </c>
      <c r="Q176" s="16">
        <v>1196</v>
      </c>
      <c r="R176" s="16">
        <v>18804</v>
      </c>
      <c r="S176" s="3" t="str">
        <f>VLOOKUP(A176,预测!G:AU,41,0)</f>
        <v>速度传感器</v>
      </c>
      <c r="T176" s="3">
        <f t="shared" si="20"/>
        <v>65000</v>
      </c>
      <c r="U176" s="3">
        <f t="shared" si="21"/>
        <v>65000</v>
      </c>
      <c r="V176" s="3">
        <f t="shared" si="22"/>
        <v>65000</v>
      </c>
      <c r="W176" s="3">
        <f t="shared" si="23"/>
        <v>65000</v>
      </c>
      <c r="X176" s="3">
        <f t="shared" si="24"/>
        <v>65000</v>
      </c>
      <c r="Y176" s="3">
        <f t="shared" si="25"/>
        <v>65000</v>
      </c>
      <c r="Z176" s="3">
        <f t="shared" si="26"/>
        <v>65000</v>
      </c>
    </row>
    <row r="177" hidden="1" spans="1:26">
      <c r="A177" s="7" t="s">
        <v>462</v>
      </c>
      <c r="B177" s="7" t="s">
        <v>463</v>
      </c>
      <c r="C177" s="8"/>
      <c r="D177" s="8">
        <f t="shared" si="27"/>
        <v>138460</v>
      </c>
      <c r="E177" s="8">
        <f t="shared" si="19"/>
        <v>23000</v>
      </c>
      <c r="F177" s="12">
        <v>6.02</v>
      </c>
      <c r="G177" s="8">
        <v>2000</v>
      </c>
      <c r="H177" s="8">
        <v>3000</v>
      </c>
      <c r="I177" s="8">
        <v>3000</v>
      </c>
      <c r="J177" s="8">
        <v>3000</v>
      </c>
      <c r="K177" s="8">
        <v>4000</v>
      </c>
      <c r="L177" s="8">
        <v>4000</v>
      </c>
      <c r="M177" s="8">
        <v>4000</v>
      </c>
      <c r="N177" s="16"/>
      <c r="O177" s="16"/>
      <c r="P177" s="16"/>
      <c r="Q177" s="16"/>
      <c r="R177" s="16"/>
      <c r="S177" s="3" t="str">
        <f>VLOOKUP(A177,预测!G:AU,41,0)</f>
        <v>速度传感器</v>
      </c>
      <c r="T177" s="3">
        <f t="shared" si="20"/>
        <v>12040</v>
      </c>
      <c r="U177" s="3">
        <f t="shared" si="21"/>
        <v>18060</v>
      </c>
      <c r="V177" s="3">
        <f t="shared" si="22"/>
        <v>18060</v>
      </c>
      <c r="W177" s="3">
        <f t="shared" si="23"/>
        <v>18060</v>
      </c>
      <c r="X177" s="3">
        <f t="shared" si="24"/>
        <v>24080</v>
      </c>
      <c r="Y177" s="3">
        <f t="shared" si="25"/>
        <v>24080</v>
      </c>
      <c r="Z177" s="3">
        <f t="shared" si="26"/>
        <v>24080</v>
      </c>
    </row>
    <row r="178" hidden="1" spans="1:26">
      <c r="A178" s="7" t="s">
        <v>465</v>
      </c>
      <c r="B178" s="7" t="s">
        <v>466</v>
      </c>
      <c r="C178" s="8"/>
      <c r="D178" s="8">
        <f t="shared" si="27"/>
        <v>435600</v>
      </c>
      <c r="E178" s="8">
        <f t="shared" si="19"/>
        <v>72000</v>
      </c>
      <c r="F178" s="12">
        <v>6.05</v>
      </c>
      <c r="G178" s="8">
        <v>10000</v>
      </c>
      <c r="H178" s="8">
        <v>10000</v>
      </c>
      <c r="I178" s="8">
        <v>10000</v>
      </c>
      <c r="J178" s="8">
        <v>10000</v>
      </c>
      <c r="K178" s="8">
        <v>10000</v>
      </c>
      <c r="L178" s="8">
        <v>10000</v>
      </c>
      <c r="M178" s="8">
        <v>12000</v>
      </c>
      <c r="N178" s="16">
        <v>0</v>
      </c>
      <c r="O178" s="16">
        <v>9781</v>
      </c>
      <c r="P178" s="16">
        <v>0</v>
      </c>
      <c r="Q178" s="16">
        <v>-31744</v>
      </c>
      <c r="R178" s="16">
        <v>26485</v>
      </c>
      <c r="S178" s="3" t="str">
        <f>VLOOKUP(A178,预测!G:AU,41,0)</f>
        <v>速度传感器</v>
      </c>
      <c r="T178" s="3">
        <f t="shared" si="20"/>
        <v>60500</v>
      </c>
      <c r="U178" s="3">
        <f t="shared" si="21"/>
        <v>60500</v>
      </c>
      <c r="V178" s="3">
        <f t="shared" si="22"/>
        <v>60500</v>
      </c>
      <c r="W178" s="3">
        <f t="shared" si="23"/>
        <v>60500</v>
      </c>
      <c r="X178" s="3">
        <f t="shared" si="24"/>
        <v>60500</v>
      </c>
      <c r="Y178" s="3">
        <f t="shared" si="25"/>
        <v>60500</v>
      </c>
      <c r="Z178" s="3">
        <f t="shared" si="26"/>
        <v>72600</v>
      </c>
    </row>
    <row r="179" hidden="1" spans="1:26">
      <c r="A179" s="7" t="s">
        <v>467</v>
      </c>
      <c r="B179" s="7" t="s">
        <v>468</v>
      </c>
      <c r="C179" s="8"/>
      <c r="D179" s="8">
        <f t="shared" si="27"/>
        <v>1207200</v>
      </c>
      <c r="E179" s="8">
        <f t="shared" si="19"/>
        <v>198000</v>
      </c>
      <c r="F179" s="12">
        <v>6.0969696969697</v>
      </c>
      <c r="G179" s="8">
        <v>26000</v>
      </c>
      <c r="H179" s="8">
        <v>27000</v>
      </c>
      <c r="I179" s="8">
        <v>27000</v>
      </c>
      <c r="J179" s="8">
        <v>27000</v>
      </c>
      <c r="K179" s="8">
        <v>27000</v>
      </c>
      <c r="L179" s="8">
        <v>32000</v>
      </c>
      <c r="M179" s="8">
        <v>32000</v>
      </c>
      <c r="N179" s="16"/>
      <c r="O179" s="16"/>
      <c r="P179" s="16"/>
      <c r="Q179" s="16"/>
      <c r="R179" s="16"/>
      <c r="S179" s="3" t="str">
        <f>VLOOKUP(A179,预测!G:AU,41,0)</f>
        <v>速度传感器</v>
      </c>
      <c r="T179" s="3">
        <f t="shared" si="20"/>
        <v>158521.212121212</v>
      </c>
      <c r="U179" s="3">
        <f t="shared" si="21"/>
        <v>164618.181818182</v>
      </c>
      <c r="V179" s="3">
        <f t="shared" si="22"/>
        <v>164618.181818182</v>
      </c>
      <c r="W179" s="3">
        <f t="shared" si="23"/>
        <v>164618.181818182</v>
      </c>
      <c r="X179" s="3">
        <f t="shared" si="24"/>
        <v>164618.181818182</v>
      </c>
      <c r="Y179" s="3">
        <f t="shared" si="25"/>
        <v>195103.03030303</v>
      </c>
      <c r="Z179" s="3">
        <f t="shared" si="26"/>
        <v>195103.03030303</v>
      </c>
    </row>
    <row r="180" hidden="1" spans="1:26">
      <c r="A180" s="7" t="s">
        <v>469</v>
      </c>
      <c r="B180" s="7" t="s">
        <v>470</v>
      </c>
      <c r="C180" s="8"/>
      <c r="D180" s="8">
        <f t="shared" si="27"/>
        <v>0</v>
      </c>
      <c r="E180" s="8">
        <f t="shared" si="19"/>
        <v>0</v>
      </c>
      <c r="F180" s="12">
        <v>3.41</v>
      </c>
      <c r="G180" s="8">
        <v>0</v>
      </c>
      <c r="H180" s="8">
        <v>0</v>
      </c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16"/>
      <c r="O180" s="16">
        <v>1281</v>
      </c>
      <c r="P180" s="16"/>
      <c r="Q180" s="16"/>
      <c r="R180" s="16">
        <v>100</v>
      </c>
      <c r="S180" s="3" t="str">
        <f>VLOOKUP(A180,预测!G:AU,41,0)</f>
        <v>速度传感器</v>
      </c>
      <c r="T180" s="3">
        <f t="shared" si="20"/>
        <v>0</v>
      </c>
      <c r="U180" s="3">
        <f t="shared" si="21"/>
        <v>0</v>
      </c>
      <c r="V180" s="3">
        <f t="shared" si="22"/>
        <v>0</v>
      </c>
      <c r="W180" s="3">
        <f t="shared" si="23"/>
        <v>0</v>
      </c>
      <c r="X180" s="3">
        <f t="shared" si="24"/>
        <v>0</v>
      </c>
      <c r="Y180" s="3">
        <f t="shared" si="25"/>
        <v>0</v>
      </c>
      <c r="Z180" s="3">
        <f t="shared" si="26"/>
        <v>0</v>
      </c>
    </row>
    <row r="181" hidden="1" spans="1:26">
      <c r="A181" s="7" t="s">
        <v>471</v>
      </c>
      <c r="B181" s="7" t="s">
        <v>472</v>
      </c>
      <c r="C181" s="8"/>
      <c r="D181" s="8">
        <f t="shared" si="27"/>
        <v>0</v>
      </c>
      <c r="E181" s="8">
        <f t="shared" si="19"/>
        <v>0</v>
      </c>
      <c r="F181" s="12">
        <v>2.55</v>
      </c>
      <c r="G181" s="8"/>
      <c r="H181" s="8"/>
      <c r="I181" s="8"/>
      <c r="J181" s="8"/>
      <c r="K181" s="8"/>
      <c r="L181" s="8"/>
      <c r="M181" s="8"/>
      <c r="N181" s="16"/>
      <c r="O181" s="16"/>
      <c r="P181" s="16">
        <v>650</v>
      </c>
      <c r="Q181" s="16"/>
      <c r="R181" s="16">
        <v>58</v>
      </c>
      <c r="S181" s="3" t="str">
        <f>VLOOKUP(A181,预测!G:AU,41,0)</f>
        <v>速度传感器</v>
      </c>
      <c r="T181" s="3">
        <f t="shared" si="20"/>
        <v>0</v>
      </c>
      <c r="U181" s="3">
        <f t="shared" si="21"/>
        <v>0</v>
      </c>
      <c r="V181" s="3">
        <f t="shared" si="22"/>
        <v>0</v>
      </c>
      <c r="W181" s="3">
        <f t="shared" si="23"/>
        <v>0</v>
      </c>
      <c r="X181" s="3">
        <f t="shared" si="24"/>
        <v>0</v>
      </c>
      <c r="Y181" s="3">
        <f t="shared" si="25"/>
        <v>0</v>
      </c>
      <c r="Z181" s="3">
        <f t="shared" si="26"/>
        <v>0</v>
      </c>
    </row>
    <row r="182" hidden="1" spans="1:26">
      <c r="A182" s="7" t="s">
        <v>473</v>
      </c>
      <c r="B182" s="7" t="s">
        <v>474</v>
      </c>
      <c r="C182" s="8"/>
      <c r="D182" s="8">
        <f t="shared" si="27"/>
        <v>0</v>
      </c>
      <c r="E182" s="8">
        <f t="shared" si="19"/>
        <v>0</v>
      </c>
      <c r="F182" s="12">
        <v>2.05</v>
      </c>
      <c r="G182" s="8"/>
      <c r="H182" s="8"/>
      <c r="I182" s="8"/>
      <c r="J182" s="8"/>
      <c r="K182" s="8"/>
      <c r="L182" s="8"/>
      <c r="M182" s="8"/>
      <c r="N182" s="16"/>
      <c r="O182" s="16"/>
      <c r="P182" s="16"/>
      <c r="Q182" s="16">
        <v>3000</v>
      </c>
      <c r="R182" s="16"/>
      <c r="S182" s="3" t="str">
        <f>VLOOKUP(A182,预测!G:AU,41,0)</f>
        <v>速度传感器</v>
      </c>
      <c r="T182" s="3">
        <f t="shared" si="20"/>
        <v>0</v>
      </c>
      <c r="U182" s="3">
        <f t="shared" si="21"/>
        <v>0</v>
      </c>
      <c r="V182" s="3">
        <f t="shared" si="22"/>
        <v>0</v>
      </c>
      <c r="W182" s="3">
        <f t="shared" si="23"/>
        <v>0</v>
      </c>
      <c r="X182" s="3">
        <f t="shared" si="24"/>
        <v>0</v>
      </c>
      <c r="Y182" s="3">
        <f t="shared" si="25"/>
        <v>0</v>
      </c>
      <c r="Z182" s="3">
        <f t="shared" si="26"/>
        <v>0</v>
      </c>
    </row>
    <row r="183" hidden="1" spans="1:26">
      <c r="A183" s="7" t="s">
        <v>475</v>
      </c>
      <c r="B183" s="7" t="s">
        <v>476</v>
      </c>
      <c r="C183" s="8"/>
      <c r="D183" s="8">
        <f t="shared" si="27"/>
        <v>0</v>
      </c>
      <c r="E183" s="8">
        <f t="shared" si="19"/>
        <v>0</v>
      </c>
      <c r="F183" s="12">
        <v>3.98</v>
      </c>
      <c r="G183" s="8"/>
      <c r="H183" s="8"/>
      <c r="I183" s="8"/>
      <c r="J183" s="8"/>
      <c r="K183" s="8"/>
      <c r="L183" s="8"/>
      <c r="M183" s="8"/>
      <c r="N183" s="16"/>
      <c r="O183" s="16"/>
      <c r="P183" s="16"/>
      <c r="Q183" s="16"/>
      <c r="R183" s="16">
        <v>782</v>
      </c>
      <c r="S183" s="3" t="str">
        <f>VLOOKUP(A183,预测!G:AU,41,0)</f>
        <v>速度传感器</v>
      </c>
      <c r="T183" s="3">
        <f t="shared" si="20"/>
        <v>0</v>
      </c>
      <c r="U183" s="3">
        <f t="shared" si="21"/>
        <v>0</v>
      </c>
      <c r="V183" s="3">
        <f t="shared" si="22"/>
        <v>0</v>
      </c>
      <c r="W183" s="3">
        <f t="shared" si="23"/>
        <v>0</v>
      </c>
      <c r="X183" s="3">
        <f t="shared" si="24"/>
        <v>0</v>
      </c>
      <c r="Y183" s="3">
        <f t="shared" si="25"/>
        <v>0</v>
      </c>
      <c r="Z183" s="3">
        <f t="shared" si="26"/>
        <v>0</v>
      </c>
    </row>
    <row r="184" hidden="1" spans="1:26">
      <c r="A184" s="7" t="s">
        <v>1650</v>
      </c>
      <c r="B184" s="7" t="s">
        <v>1651</v>
      </c>
      <c r="C184" s="8"/>
      <c r="D184" s="8">
        <f t="shared" si="27"/>
        <v>0</v>
      </c>
      <c r="E184" s="8"/>
      <c r="F184" s="12">
        <v>3.98</v>
      </c>
      <c r="G184" s="8"/>
      <c r="H184" s="8"/>
      <c r="I184" s="8"/>
      <c r="J184" s="8"/>
      <c r="K184" s="8"/>
      <c r="L184" s="8"/>
      <c r="M184" s="8"/>
      <c r="N184" s="16"/>
      <c r="O184" s="16"/>
      <c r="P184" s="16"/>
      <c r="Q184" s="16"/>
      <c r="R184" s="16">
        <v>789</v>
      </c>
      <c r="S184" s="3" t="s">
        <v>688</v>
      </c>
      <c r="T184" s="3">
        <f t="shared" si="20"/>
        <v>0</v>
      </c>
      <c r="U184" s="3">
        <f t="shared" si="21"/>
        <v>0</v>
      </c>
      <c r="V184" s="3">
        <f t="shared" si="22"/>
        <v>0</v>
      </c>
      <c r="W184" s="3">
        <f t="shared" si="23"/>
        <v>0</v>
      </c>
      <c r="X184" s="3">
        <f t="shared" si="24"/>
        <v>0</v>
      </c>
      <c r="Y184" s="3">
        <f t="shared" si="25"/>
        <v>0</v>
      </c>
      <c r="Z184" s="3">
        <f t="shared" si="26"/>
        <v>0</v>
      </c>
    </row>
    <row r="185" hidden="1" spans="1:26">
      <c r="A185" s="7" t="s">
        <v>477</v>
      </c>
      <c r="B185" s="7" t="s">
        <v>478</v>
      </c>
      <c r="C185" s="8"/>
      <c r="D185" s="8">
        <f t="shared" si="27"/>
        <v>1260000</v>
      </c>
      <c r="E185" s="8">
        <f t="shared" si="19"/>
        <v>9000000</v>
      </c>
      <c r="F185" s="12">
        <v>0.14</v>
      </c>
      <c r="G185" s="8">
        <v>600000</v>
      </c>
      <c r="H185" s="8">
        <v>1000000</v>
      </c>
      <c r="I185" s="8">
        <v>1000000</v>
      </c>
      <c r="J185" s="8">
        <v>1200000</v>
      </c>
      <c r="K185" s="8">
        <v>2000000</v>
      </c>
      <c r="L185" s="8">
        <v>1200000</v>
      </c>
      <c r="M185" s="8">
        <v>2000000</v>
      </c>
      <c r="N185" s="16">
        <v>3012975</v>
      </c>
      <c r="O185" s="16">
        <v>0</v>
      </c>
      <c r="P185" s="16">
        <v>1716312</v>
      </c>
      <c r="Q185" s="16">
        <v>2011166</v>
      </c>
      <c r="R185" s="16">
        <v>991719</v>
      </c>
      <c r="S185" s="3" t="str">
        <f>VLOOKUP(A185,预测!G:AU,41,0)</f>
        <v>电机驱动</v>
      </c>
      <c r="T185" s="3">
        <f t="shared" si="20"/>
        <v>84000</v>
      </c>
      <c r="U185" s="3">
        <f t="shared" si="21"/>
        <v>140000</v>
      </c>
      <c r="V185" s="3">
        <f t="shared" si="22"/>
        <v>140000</v>
      </c>
      <c r="W185" s="3">
        <f t="shared" si="23"/>
        <v>168000</v>
      </c>
      <c r="X185" s="3">
        <f t="shared" si="24"/>
        <v>280000</v>
      </c>
      <c r="Y185" s="3">
        <f t="shared" si="25"/>
        <v>168000</v>
      </c>
      <c r="Z185" s="3">
        <f t="shared" si="26"/>
        <v>280000</v>
      </c>
    </row>
    <row r="186" hidden="1" spans="1:26">
      <c r="A186" s="7" t="s">
        <v>477</v>
      </c>
      <c r="B186" s="7" t="s">
        <v>479</v>
      </c>
      <c r="C186" s="8"/>
      <c r="D186" s="8">
        <f t="shared" si="27"/>
        <v>714000</v>
      </c>
      <c r="E186" s="8">
        <f t="shared" si="19"/>
        <v>5100000</v>
      </c>
      <c r="F186" s="12">
        <v>0.14</v>
      </c>
      <c r="G186" s="8">
        <v>1000000</v>
      </c>
      <c r="H186" s="8">
        <v>600000</v>
      </c>
      <c r="I186" s="8">
        <v>600000</v>
      </c>
      <c r="J186" s="8">
        <v>1000000</v>
      </c>
      <c r="K186" s="8">
        <v>500000</v>
      </c>
      <c r="L186" s="8">
        <v>600000</v>
      </c>
      <c r="M186" s="8">
        <v>800000</v>
      </c>
      <c r="N186" s="16">
        <v>0</v>
      </c>
      <c r="O186" s="16">
        <v>0</v>
      </c>
      <c r="P186" s="16">
        <v>366746</v>
      </c>
      <c r="Q186" s="16">
        <v>365830</v>
      </c>
      <c r="R186" s="16">
        <v>2004748</v>
      </c>
      <c r="S186" s="3" t="str">
        <f>VLOOKUP(A186,预测!G:AU,41,0)</f>
        <v>电机驱动</v>
      </c>
      <c r="T186" s="3">
        <f t="shared" si="20"/>
        <v>140000</v>
      </c>
      <c r="U186" s="3">
        <f t="shared" si="21"/>
        <v>84000</v>
      </c>
      <c r="V186" s="3">
        <f t="shared" si="22"/>
        <v>84000</v>
      </c>
      <c r="W186" s="3">
        <f t="shared" si="23"/>
        <v>140000</v>
      </c>
      <c r="X186" s="3">
        <f t="shared" si="24"/>
        <v>70000</v>
      </c>
      <c r="Y186" s="3">
        <f t="shared" si="25"/>
        <v>84000</v>
      </c>
      <c r="Z186" s="3">
        <f t="shared" si="26"/>
        <v>112000</v>
      </c>
    </row>
    <row r="187" hidden="1" spans="1:26">
      <c r="A187" s="7" t="s">
        <v>480</v>
      </c>
      <c r="B187" s="7" t="s">
        <v>481</v>
      </c>
      <c r="C187" s="8"/>
      <c r="D187" s="8">
        <f t="shared" si="27"/>
        <v>2377500</v>
      </c>
      <c r="E187" s="8">
        <f t="shared" si="19"/>
        <v>18900000</v>
      </c>
      <c r="F187" s="12">
        <v>0.125793650793651</v>
      </c>
      <c r="G187" s="8">
        <v>2400000</v>
      </c>
      <c r="H187" s="8">
        <v>2200000</v>
      </c>
      <c r="I187" s="8">
        <v>2400000</v>
      </c>
      <c r="J187" s="8">
        <v>3600000</v>
      </c>
      <c r="K187" s="8">
        <v>2100000</v>
      </c>
      <c r="L187" s="8">
        <v>2400000</v>
      </c>
      <c r="M187" s="8">
        <v>3800000</v>
      </c>
      <c r="N187" s="16">
        <v>0</v>
      </c>
      <c r="O187" s="16">
        <v>2351630</v>
      </c>
      <c r="P187" s="16">
        <v>3720115</v>
      </c>
      <c r="Q187" s="16">
        <v>2728598</v>
      </c>
      <c r="R187" s="16">
        <v>4703370</v>
      </c>
      <c r="S187" s="3" t="str">
        <f>VLOOKUP(A187,预测!G:AU,41,0)</f>
        <v>电机驱动</v>
      </c>
      <c r="T187" s="3">
        <f t="shared" si="20"/>
        <v>301904.761904762</v>
      </c>
      <c r="U187" s="3">
        <f t="shared" si="21"/>
        <v>276746.031746032</v>
      </c>
      <c r="V187" s="3">
        <f t="shared" si="22"/>
        <v>301904.761904762</v>
      </c>
      <c r="W187" s="3">
        <f t="shared" si="23"/>
        <v>452857.142857143</v>
      </c>
      <c r="X187" s="3">
        <f t="shared" si="24"/>
        <v>264166.666666667</v>
      </c>
      <c r="Y187" s="3">
        <f t="shared" si="25"/>
        <v>301904.761904762</v>
      </c>
      <c r="Z187" s="3">
        <f t="shared" si="26"/>
        <v>478015.873015873</v>
      </c>
    </row>
    <row r="188" hidden="1" spans="1:26">
      <c r="A188" s="7" t="s">
        <v>480</v>
      </c>
      <c r="B188" s="7" t="s">
        <v>482</v>
      </c>
      <c r="C188" s="8"/>
      <c r="D188" s="8">
        <f t="shared" si="27"/>
        <v>624000</v>
      </c>
      <c r="E188" s="8">
        <f t="shared" si="19"/>
        <v>4800000</v>
      </c>
      <c r="F188" s="12">
        <v>0.13</v>
      </c>
      <c r="G188" s="8">
        <v>800000</v>
      </c>
      <c r="H188" s="8">
        <v>800000</v>
      </c>
      <c r="I188" s="8">
        <v>800000</v>
      </c>
      <c r="J188" s="8">
        <v>800000</v>
      </c>
      <c r="K188" s="8">
        <v>400000</v>
      </c>
      <c r="L188" s="8">
        <v>400000</v>
      </c>
      <c r="M188" s="8">
        <v>800000</v>
      </c>
      <c r="N188" s="16">
        <v>0</v>
      </c>
      <c r="O188" s="16">
        <v>90000</v>
      </c>
      <c r="P188" s="16">
        <v>1209030</v>
      </c>
      <c r="Q188" s="16">
        <v>729246</v>
      </c>
      <c r="R188" s="16">
        <v>1789111</v>
      </c>
      <c r="S188" s="3" t="str">
        <f>VLOOKUP(A188,预测!G:AU,41,0)</f>
        <v>电机驱动</v>
      </c>
      <c r="T188" s="3">
        <f t="shared" si="20"/>
        <v>104000</v>
      </c>
      <c r="U188" s="3">
        <f t="shared" si="21"/>
        <v>104000</v>
      </c>
      <c r="V188" s="3">
        <f t="shared" si="22"/>
        <v>104000</v>
      </c>
      <c r="W188" s="3">
        <f t="shared" si="23"/>
        <v>104000</v>
      </c>
      <c r="X188" s="3">
        <f t="shared" si="24"/>
        <v>52000</v>
      </c>
      <c r="Y188" s="3">
        <f t="shared" si="25"/>
        <v>52000</v>
      </c>
      <c r="Z188" s="3">
        <f t="shared" si="26"/>
        <v>104000</v>
      </c>
    </row>
    <row r="189" hidden="1" spans="1:26">
      <c r="A189" s="7" t="s">
        <v>483</v>
      </c>
      <c r="B189" s="7" t="s">
        <v>484</v>
      </c>
      <c r="C189" s="8"/>
      <c r="D189" s="8">
        <f t="shared" si="27"/>
        <v>432000</v>
      </c>
      <c r="E189" s="8">
        <f t="shared" si="19"/>
        <v>2400000</v>
      </c>
      <c r="F189" s="12">
        <v>0.18</v>
      </c>
      <c r="G189" s="8">
        <v>400000</v>
      </c>
      <c r="H189" s="8">
        <v>0</v>
      </c>
      <c r="I189" s="8">
        <v>400000</v>
      </c>
      <c r="J189" s="8">
        <v>400000</v>
      </c>
      <c r="K189" s="8">
        <v>400000</v>
      </c>
      <c r="L189" s="8">
        <v>400000</v>
      </c>
      <c r="M189" s="8">
        <v>400000</v>
      </c>
      <c r="N189" s="16">
        <v>0</v>
      </c>
      <c r="O189" s="16">
        <v>0</v>
      </c>
      <c r="P189" s="16">
        <v>0</v>
      </c>
      <c r="Q189" s="16">
        <v>504000</v>
      </c>
      <c r="R189" s="16">
        <v>907105</v>
      </c>
      <c r="S189" s="3" t="str">
        <f>VLOOKUP(A189,预测!G:AU,41,0)</f>
        <v>电机驱动</v>
      </c>
      <c r="T189" s="3">
        <f t="shared" si="20"/>
        <v>72000</v>
      </c>
      <c r="U189" s="3">
        <f t="shared" si="21"/>
        <v>0</v>
      </c>
      <c r="V189" s="3">
        <f t="shared" si="22"/>
        <v>72000</v>
      </c>
      <c r="W189" s="3">
        <f t="shared" si="23"/>
        <v>72000</v>
      </c>
      <c r="X189" s="3">
        <f t="shared" si="24"/>
        <v>72000</v>
      </c>
      <c r="Y189" s="3">
        <f t="shared" si="25"/>
        <v>72000</v>
      </c>
      <c r="Z189" s="3">
        <f t="shared" si="26"/>
        <v>72000</v>
      </c>
    </row>
    <row r="190" hidden="1" spans="1:26">
      <c r="A190" s="7" t="s">
        <v>483</v>
      </c>
      <c r="B190" s="7" t="s">
        <v>485</v>
      </c>
      <c r="C190" s="8"/>
      <c r="D190" s="8">
        <f t="shared" si="27"/>
        <v>327344.94</v>
      </c>
      <c r="E190" s="8">
        <f t="shared" si="19"/>
        <v>1818583</v>
      </c>
      <c r="F190" s="12">
        <v>0.18</v>
      </c>
      <c r="G190" s="8">
        <v>900000</v>
      </c>
      <c r="H190" s="8">
        <v>118583</v>
      </c>
      <c r="I190" s="8">
        <v>0</v>
      </c>
      <c r="J190" s="8">
        <v>200000</v>
      </c>
      <c r="K190" s="8">
        <v>200000</v>
      </c>
      <c r="L190" s="8">
        <v>200000</v>
      </c>
      <c r="M190" s="8">
        <v>200000</v>
      </c>
      <c r="N190" s="16"/>
      <c r="O190" s="16"/>
      <c r="P190" s="16"/>
      <c r="Q190" s="16"/>
      <c r="R190" s="16"/>
      <c r="S190" s="3" t="str">
        <f>VLOOKUP(A190,预测!G:AU,41,0)</f>
        <v>电机驱动</v>
      </c>
      <c r="T190" s="3">
        <f t="shared" si="20"/>
        <v>162000</v>
      </c>
      <c r="U190" s="3">
        <f t="shared" si="21"/>
        <v>21344.94</v>
      </c>
      <c r="V190" s="3">
        <f t="shared" si="22"/>
        <v>0</v>
      </c>
      <c r="W190" s="3">
        <f t="shared" si="23"/>
        <v>36000</v>
      </c>
      <c r="X190" s="3">
        <f t="shared" si="24"/>
        <v>36000</v>
      </c>
      <c r="Y190" s="3">
        <f t="shared" si="25"/>
        <v>36000</v>
      </c>
      <c r="Z190" s="3">
        <f t="shared" si="26"/>
        <v>36000</v>
      </c>
    </row>
    <row r="191" hidden="1" spans="1:26">
      <c r="A191" s="7" t="s">
        <v>486</v>
      </c>
      <c r="B191" s="7" t="s">
        <v>487</v>
      </c>
      <c r="C191" s="8"/>
      <c r="D191" s="8">
        <f t="shared" si="27"/>
        <v>238000</v>
      </c>
      <c r="E191" s="8">
        <f t="shared" si="19"/>
        <v>680000</v>
      </c>
      <c r="F191" s="12">
        <v>0.35</v>
      </c>
      <c r="G191" s="8">
        <v>100000</v>
      </c>
      <c r="H191" s="8">
        <v>50000</v>
      </c>
      <c r="I191" s="8">
        <v>50000</v>
      </c>
      <c r="J191" s="8">
        <v>80000</v>
      </c>
      <c r="K191" s="8">
        <v>100000</v>
      </c>
      <c r="L191" s="8">
        <v>100000</v>
      </c>
      <c r="M191" s="8">
        <v>200000</v>
      </c>
      <c r="N191" s="16">
        <v>0</v>
      </c>
      <c r="O191" s="16">
        <v>0</v>
      </c>
      <c r="P191" s="16">
        <v>20000</v>
      </c>
      <c r="Q191" s="16">
        <v>0</v>
      </c>
      <c r="R191" s="16">
        <v>40000</v>
      </c>
      <c r="S191" s="3" t="str">
        <f>VLOOKUP(A191,预测!G:AU,41,0)</f>
        <v>电流传感器</v>
      </c>
      <c r="T191" s="3">
        <f t="shared" si="20"/>
        <v>35000</v>
      </c>
      <c r="U191" s="3">
        <f t="shared" si="21"/>
        <v>17500</v>
      </c>
      <c r="V191" s="3">
        <f t="shared" si="22"/>
        <v>17500</v>
      </c>
      <c r="W191" s="3">
        <f t="shared" si="23"/>
        <v>28000</v>
      </c>
      <c r="X191" s="3">
        <f t="shared" si="24"/>
        <v>35000</v>
      </c>
      <c r="Y191" s="3">
        <f t="shared" si="25"/>
        <v>35000</v>
      </c>
      <c r="Z191" s="3">
        <f t="shared" si="26"/>
        <v>70000</v>
      </c>
    </row>
    <row r="192" hidden="1" spans="1:26">
      <c r="A192" s="7" t="s">
        <v>488</v>
      </c>
      <c r="B192" s="7" t="s">
        <v>489</v>
      </c>
      <c r="C192" s="8"/>
      <c r="D192" s="8">
        <f t="shared" si="27"/>
        <v>550800</v>
      </c>
      <c r="E192" s="8">
        <f t="shared" si="19"/>
        <v>3240000</v>
      </c>
      <c r="F192" s="12">
        <v>0.17</v>
      </c>
      <c r="G192" s="8">
        <v>200000</v>
      </c>
      <c r="H192" s="8">
        <v>160000</v>
      </c>
      <c r="I192" s="8">
        <v>180000</v>
      </c>
      <c r="J192" s="8">
        <v>500000</v>
      </c>
      <c r="K192" s="8">
        <v>600000</v>
      </c>
      <c r="L192" s="8">
        <v>600000</v>
      </c>
      <c r="M192" s="8">
        <v>1000000</v>
      </c>
      <c r="N192" s="16">
        <v>0</v>
      </c>
      <c r="O192" s="16">
        <v>0</v>
      </c>
      <c r="P192" s="16">
        <v>755669</v>
      </c>
      <c r="Q192" s="16">
        <v>296005</v>
      </c>
      <c r="R192" s="16">
        <v>5</v>
      </c>
      <c r="S192" s="3" t="str">
        <f>VLOOKUP(A192,预测!G:AU,41,0)</f>
        <v>电流传感器</v>
      </c>
      <c r="T192" s="3">
        <f t="shared" si="20"/>
        <v>34000</v>
      </c>
      <c r="U192" s="3">
        <f t="shared" si="21"/>
        <v>27200</v>
      </c>
      <c r="V192" s="3">
        <f t="shared" si="22"/>
        <v>30600</v>
      </c>
      <c r="W192" s="3">
        <f t="shared" si="23"/>
        <v>85000</v>
      </c>
      <c r="X192" s="3">
        <f t="shared" si="24"/>
        <v>102000</v>
      </c>
      <c r="Y192" s="3">
        <f t="shared" si="25"/>
        <v>102000</v>
      </c>
      <c r="Z192" s="3">
        <f t="shared" si="26"/>
        <v>170000</v>
      </c>
    </row>
    <row r="193" hidden="1" spans="1:26">
      <c r="A193" s="7" t="s">
        <v>490</v>
      </c>
      <c r="B193" s="7" t="s">
        <v>491</v>
      </c>
      <c r="C193" s="8"/>
      <c r="D193" s="8">
        <f t="shared" si="27"/>
        <v>0</v>
      </c>
      <c r="E193" s="8">
        <f t="shared" si="19"/>
        <v>0</v>
      </c>
      <c r="F193" s="12"/>
      <c r="G193" s="8"/>
      <c r="H193" s="8"/>
      <c r="I193" s="8"/>
      <c r="J193" s="8"/>
      <c r="K193" s="8"/>
      <c r="L193" s="8"/>
      <c r="M193" s="8"/>
      <c r="N193" s="16"/>
      <c r="O193" s="16"/>
      <c r="P193" s="16"/>
      <c r="Q193" s="16"/>
      <c r="R193" s="16"/>
      <c r="S193" s="3">
        <f>VLOOKUP(A193,预测!G:AU,41,0)</f>
        <v>0</v>
      </c>
      <c r="T193" s="3">
        <f t="shared" si="20"/>
        <v>0</v>
      </c>
      <c r="U193" s="3">
        <f t="shared" si="21"/>
        <v>0</v>
      </c>
      <c r="V193" s="3">
        <f t="shared" si="22"/>
        <v>0</v>
      </c>
      <c r="W193" s="3">
        <f t="shared" si="23"/>
        <v>0</v>
      </c>
      <c r="X193" s="3">
        <f t="shared" si="24"/>
        <v>0</v>
      </c>
      <c r="Y193" s="3">
        <f t="shared" si="25"/>
        <v>0</v>
      </c>
      <c r="Z193" s="3">
        <f t="shared" si="26"/>
        <v>0</v>
      </c>
    </row>
    <row r="194" hidden="1" spans="1:26">
      <c r="A194" s="7" t="s">
        <v>492</v>
      </c>
      <c r="B194" s="7" t="s">
        <v>492</v>
      </c>
      <c r="C194" s="8"/>
      <c r="D194" s="8">
        <f t="shared" si="27"/>
        <v>1456875</v>
      </c>
      <c r="E194" s="8">
        <f t="shared" si="19"/>
        <v>875</v>
      </c>
      <c r="F194" s="12">
        <v>1665</v>
      </c>
      <c r="G194" s="8">
        <v>125</v>
      </c>
      <c r="H194" s="8">
        <v>125</v>
      </c>
      <c r="I194" s="8">
        <v>125</v>
      </c>
      <c r="J194" s="8">
        <v>125</v>
      </c>
      <c r="K194" s="8">
        <v>125</v>
      </c>
      <c r="L194" s="8">
        <v>125</v>
      </c>
      <c r="M194" s="8">
        <v>125</v>
      </c>
      <c r="N194" s="16">
        <v>0</v>
      </c>
      <c r="O194" s="16">
        <v>24.91581</v>
      </c>
      <c r="P194" s="16">
        <v>72</v>
      </c>
      <c r="Q194" s="16">
        <v>240</v>
      </c>
      <c r="R194" s="16">
        <v>240</v>
      </c>
      <c r="S194" s="3" t="str">
        <f>VLOOKUP(A194,预测!G:AU,41,0)</f>
        <v>磁性位置传感器</v>
      </c>
      <c r="T194" s="3">
        <f t="shared" si="20"/>
        <v>208125</v>
      </c>
      <c r="U194" s="3">
        <f t="shared" si="21"/>
        <v>208125</v>
      </c>
      <c r="V194" s="3">
        <f t="shared" si="22"/>
        <v>208125</v>
      </c>
      <c r="W194" s="3">
        <f t="shared" si="23"/>
        <v>208125</v>
      </c>
      <c r="X194" s="3">
        <f t="shared" si="24"/>
        <v>208125</v>
      </c>
      <c r="Y194" s="3">
        <f t="shared" si="25"/>
        <v>208125</v>
      </c>
      <c r="Z194" s="3">
        <f t="shared" si="26"/>
        <v>208125</v>
      </c>
    </row>
    <row r="195" hidden="1" spans="1:26">
      <c r="A195" s="7" t="s">
        <v>493</v>
      </c>
      <c r="B195" s="7" t="s">
        <v>494</v>
      </c>
      <c r="C195" s="8"/>
      <c r="D195" s="8">
        <f t="shared" si="27"/>
        <v>42500</v>
      </c>
      <c r="E195" s="8">
        <f t="shared" si="19"/>
        <v>50000</v>
      </c>
      <c r="F195" s="12">
        <v>0.85</v>
      </c>
      <c r="G195" s="8"/>
      <c r="H195" s="8"/>
      <c r="I195" s="8"/>
      <c r="J195" s="8"/>
      <c r="K195" s="8">
        <v>15000</v>
      </c>
      <c r="L195" s="8">
        <v>15000</v>
      </c>
      <c r="M195" s="8">
        <v>20000</v>
      </c>
      <c r="N195" s="16"/>
      <c r="O195" s="16"/>
      <c r="P195" s="16"/>
      <c r="Q195" s="16"/>
      <c r="R195" s="16"/>
      <c r="S195" s="3" t="str">
        <f>VLOOKUP(A195,预测!G:AU,41,0)</f>
        <v>电源管理</v>
      </c>
      <c r="T195" s="3">
        <f t="shared" ref="T195:T204" si="30">G195*$F195</f>
        <v>0</v>
      </c>
      <c r="U195" s="3">
        <f t="shared" ref="U195:U204" si="31">H195*$F195</f>
        <v>0</v>
      </c>
      <c r="V195" s="3">
        <f t="shared" ref="V195:V204" si="32">I195*$F195</f>
        <v>0</v>
      </c>
      <c r="W195" s="3">
        <f t="shared" ref="W195:W204" si="33">J195*$F195</f>
        <v>0</v>
      </c>
      <c r="X195" s="3">
        <f t="shared" ref="X195:X204" si="34">K195*$F195</f>
        <v>12750</v>
      </c>
      <c r="Y195" s="3">
        <f t="shared" ref="Y195:Y204" si="35">L195*$F195</f>
        <v>12750</v>
      </c>
      <c r="Z195" s="3">
        <f t="shared" ref="Z195:Z204" si="36">M195*$F195</f>
        <v>17000</v>
      </c>
    </row>
    <row r="196" hidden="1" spans="1:26">
      <c r="A196" s="7" t="s">
        <v>495</v>
      </c>
      <c r="B196" s="7" t="s">
        <v>496</v>
      </c>
      <c r="C196" s="8"/>
      <c r="D196" s="8">
        <f t="shared" si="27"/>
        <v>14500</v>
      </c>
      <c r="E196" s="8">
        <f t="shared" si="19"/>
        <v>25000</v>
      </c>
      <c r="F196" s="12">
        <v>0.58</v>
      </c>
      <c r="G196" s="8"/>
      <c r="H196" s="8"/>
      <c r="I196" s="8"/>
      <c r="J196" s="8"/>
      <c r="K196" s="8">
        <v>5000</v>
      </c>
      <c r="L196" s="8">
        <v>10000</v>
      </c>
      <c r="M196" s="8">
        <v>10000</v>
      </c>
      <c r="N196" s="16"/>
      <c r="O196" s="16"/>
      <c r="P196" s="16"/>
      <c r="Q196" s="16"/>
      <c r="R196" s="16"/>
      <c r="S196" s="3" t="str">
        <f>VLOOKUP(A196,预测!G:AU,41,0)</f>
        <v>电源管理</v>
      </c>
      <c r="T196" s="3">
        <f t="shared" si="30"/>
        <v>0</v>
      </c>
      <c r="U196" s="3">
        <f t="shared" si="31"/>
        <v>0</v>
      </c>
      <c r="V196" s="3">
        <f t="shared" si="32"/>
        <v>0</v>
      </c>
      <c r="W196" s="3">
        <f t="shared" si="33"/>
        <v>0</v>
      </c>
      <c r="X196" s="3">
        <f t="shared" si="34"/>
        <v>2900</v>
      </c>
      <c r="Y196" s="3">
        <f t="shared" si="35"/>
        <v>5800</v>
      </c>
      <c r="Z196" s="3">
        <f t="shared" si="36"/>
        <v>5800</v>
      </c>
    </row>
    <row r="197" hidden="1" spans="1:26">
      <c r="A197" s="7" t="s">
        <v>497</v>
      </c>
      <c r="B197" s="7" t="s">
        <v>498</v>
      </c>
      <c r="C197" s="8"/>
      <c r="D197" s="8">
        <f t="shared" ref="D197:D204" si="37">SUM(G197:M197)*F197</f>
        <v>429600</v>
      </c>
      <c r="E197" s="8">
        <f t="shared" si="19"/>
        <v>528000</v>
      </c>
      <c r="F197" s="12">
        <v>0.813636363636364</v>
      </c>
      <c r="G197" s="8">
        <v>10000</v>
      </c>
      <c r="H197" s="8">
        <v>51000</v>
      </c>
      <c r="I197" s="8">
        <v>51000</v>
      </c>
      <c r="J197" s="8">
        <v>101000</v>
      </c>
      <c r="K197" s="8">
        <v>105000</v>
      </c>
      <c r="L197" s="8">
        <v>105000</v>
      </c>
      <c r="M197" s="8">
        <v>105000</v>
      </c>
      <c r="N197" s="16"/>
      <c r="O197" s="16"/>
      <c r="P197" s="16"/>
      <c r="Q197" s="16"/>
      <c r="R197" s="16"/>
      <c r="S197" s="3" t="str">
        <f>VLOOKUP(A197,预测!G:AU,41,0)</f>
        <v>电源管理</v>
      </c>
      <c r="T197" s="3">
        <f t="shared" si="30"/>
        <v>8136.36363636364</v>
      </c>
      <c r="U197" s="3">
        <f t="shared" si="31"/>
        <v>41495.4545454545</v>
      </c>
      <c r="V197" s="3">
        <f t="shared" si="32"/>
        <v>41495.4545454545</v>
      </c>
      <c r="W197" s="3">
        <f t="shared" si="33"/>
        <v>82177.2727272727</v>
      </c>
      <c r="X197" s="3">
        <f t="shared" si="34"/>
        <v>85431.8181818182</v>
      </c>
      <c r="Y197" s="3">
        <f t="shared" si="35"/>
        <v>85431.8181818182</v>
      </c>
      <c r="Z197" s="3">
        <f t="shared" si="36"/>
        <v>85431.8181818182</v>
      </c>
    </row>
    <row r="198" hidden="1" spans="1:26">
      <c r="A198" s="7" t="s">
        <v>499</v>
      </c>
      <c r="B198" s="7" t="s">
        <v>500</v>
      </c>
      <c r="C198" s="8"/>
      <c r="D198" s="8">
        <f t="shared" si="37"/>
        <v>17400</v>
      </c>
      <c r="E198" s="8">
        <f t="shared" si="19"/>
        <v>30000</v>
      </c>
      <c r="F198" s="12">
        <v>0.58</v>
      </c>
      <c r="G198" s="8"/>
      <c r="H198" s="8"/>
      <c r="I198" s="8"/>
      <c r="J198" s="8"/>
      <c r="K198" s="8">
        <v>10000</v>
      </c>
      <c r="L198" s="8">
        <v>10000</v>
      </c>
      <c r="M198" s="8">
        <v>10000</v>
      </c>
      <c r="N198" s="16"/>
      <c r="O198" s="16"/>
      <c r="P198" s="16"/>
      <c r="Q198" s="16"/>
      <c r="R198" s="16"/>
      <c r="S198" s="3" t="str">
        <f>VLOOKUP(A198,预测!G:AU,41,0)</f>
        <v>电源管理</v>
      </c>
      <c r="T198" s="3">
        <f t="shared" si="30"/>
        <v>0</v>
      </c>
      <c r="U198" s="3">
        <f t="shared" si="31"/>
        <v>0</v>
      </c>
      <c r="V198" s="3">
        <f t="shared" si="32"/>
        <v>0</v>
      </c>
      <c r="W198" s="3">
        <f t="shared" si="33"/>
        <v>0</v>
      </c>
      <c r="X198" s="3">
        <f t="shared" si="34"/>
        <v>5800</v>
      </c>
      <c r="Y198" s="3">
        <f t="shared" si="35"/>
        <v>5800</v>
      </c>
      <c r="Z198" s="3">
        <f t="shared" si="36"/>
        <v>5800</v>
      </c>
    </row>
    <row r="199" hidden="1" spans="1:26">
      <c r="A199" s="7" t="s">
        <v>503</v>
      </c>
      <c r="B199" s="7" t="s">
        <v>504</v>
      </c>
      <c r="C199" s="8"/>
      <c r="D199" s="8">
        <f t="shared" si="37"/>
        <v>1029500</v>
      </c>
      <c r="E199" s="8">
        <f t="shared" si="19"/>
        <v>408000</v>
      </c>
      <c r="F199" s="12">
        <v>2.52328431372549</v>
      </c>
      <c r="G199" s="8">
        <v>0</v>
      </c>
      <c r="H199" s="8">
        <v>10000</v>
      </c>
      <c r="I199" s="8">
        <v>27000</v>
      </c>
      <c r="J199" s="8">
        <v>56000</v>
      </c>
      <c r="K199" s="8">
        <v>105000</v>
      </c>
      <c r="L199" s="8">
        <v>105000</v>
      </c>
      <c r="M199" s="8">
        <v>105000</v>
      </c>
      <c r="N199" s="16"/>
      <c r="O199" s="16"/>
      <c r="P199" s="16"/>
      <c r="Q199" s="16"/>
      <c r="R199" s="16"/>
      <c r="S199" s="3" t="str">
        <f>VLOOKUP(A199,预测!G:AU,41,0)</f>
        <v>电源管理</v>
      </c>
      <c r="T199" s="3">
        <f t="shared" si="30"/>
        <v>0</v>
      </c>
      <c r="U199" s="3">
        <f t="shared" si="31"/>
        <v>25232.8431372549</v>
      </c>
      <c r="V199" s="3">
        <f t="shared" si="32"/>
        <v>68128.6764705882</v>
      </c>
      <c r="W199" s="3">
        <f t="shared" si="33"/>
        <v>141303.921568627</v>
      </c>
      <c r="X199" s="3">
        <f t="shared" si="34"/>
        <v>264944.852941177</v>
      </c>
      <c r="Y199" s="3">
        <f t="shared" si="35"/>
        <v>264944.852941177</v>
      </c>
      <c r="Z199" s="3">
        <f t="shared" si="36"/>
        <v>264944.852941177</v>
      </c>
    </row>
    <row r="200" hidden="1" spans="1:26">
      <c r="A200" s="7" t="s">
        <v>505</v>
      </c>
      <c r="B200" s="7" t="s">
        <v>506</v>
      </c>
      <c r="C200" s="8"/>
      <c r="D200" s="8">
        <f t="shared" si="37"/>
        <v>240000</v>
      </c>
      <c r="E200" s="8">
        <f t="shared" ref="E200:E204" si="38">SUM(G200:M200)</f>
        <v>80000</v>
      </c>
      <c r="F200" s="12">
        <v>3</v>
      </c>
      <c r="G200" s="8">
        <v>2000</v>
      </c>
      <c r="H200" s="8">
        <v>4000</v>
      </c>
      <c r="I200" s="8">
        <v>4000</v>
      </c>
      <c r="J200" s="8">
        <v>10000</v>
      </c>
      <c r="K200" s="8">
        <v>20000</v>
      </c>
      <c r="L200" s="8">
        <v>20000</v>
      </c>
      <c r="M200" s="8">
        <v>20000</v>
      </c>
      <c r="N200" s="16"/>
      <c r="O200" s="16"/>
      <c r="P200" s="16"/>
      <c r="Q200" s="16"/>
      <c r="R200" s="16"/>
      <c r="S200" s="3" t="str">
        <f>VLOOKUP(A200,预测!G:AU,41,0)</f>
        <v>电源管理</v>
      </c>
      <c r="T200" s="3">
        <f t="shared" si="30"/>
        <v>6000</v>
      </c>
      <c r="U200" s="3">
        <f t="shared" si="31"/>
        <v>12000</v>
      </c>
      <c r="V200" s="3">
        <f t="shared" si="32"/>
        <v>12000</v>
      </c>
      <c r="W200" s="3">
        <f t="shared" si="33"/>
        <v>30000</v>
      </c>
      <c r="X200" s="3">
        <f t="shared" si="34"/>
        <v>60000</v>
      </c>
      <c r="Y200" s="3">
        <f t="shared" si="35"/>
        <v>60000</v>
      </c>
      <c r="Z200" s="3">
        <f t="shared" si="36"/>
        <v>60000</v>
      </c>
    </row>
    <row r="201" hidden="1" spans="1:26">
      <c r="A201" s="7" t="s">
        <v>509</v>
      </c>
      <c r="B201" s="7" t="s">
        <v>509</v>
      </c>
      <c r="C201" s="8"/>
      <c r="D201" s="8">
        <f t="shared" si="37"/>
        <v>140800</v>
      </c>
      <c r="E201" s="8">
        <f t="shared" si="38"/>
        <v>256000</v>
      </c>
      <c r="F201" s="12">
        <v>0.55</v>
      </c>
      <c r="G201" s="8">
        <v>12000</v>
      </c>
      <c r="H201" s="8">
        <v>12000</v>
      </c>
      <c r="I201" s="8">
        <v>12000</v>
      </c>
      <c r="J201" s="8">
        <v>20000</v>
      </c>
      <c r="K201" s="8">
        <v>20000</v>
      </c>
      <c r="L201" s="8">
        <v>60000</v>
      </c>
      <c r="M201" s="8">
        <v>120000</v>
      </c>
      <c r="N201" s="16"/>
      <c r="O201" s="16"/>
      <c r="P201" s="16"/>
      <c r="Q201" s="16"/>
      <c r="R201" s="16"/>
      <c r="S201" s="3" t="str">
        <f>VLOOKUP(A201,预测!G:AU,41,0)</f>
        <v>电机驱动</v>
      </c>
      <c r="T201" s="3">
        <f t="shared" si="30"/>
        <v>6600</v>
      </c>
      <c r="U201" s="3">
        <f t="shared" si="31"/>
        <v>6600</v>
      </c>
      <c r="V201" s="3">
        <f t="shared" si="32"/>
        <v>6600</v>
      </c>
      <c r="W201" s="3">
        <f t="shared" si="33"/>
        <v>11000</v>
      </c>
      <c r="X201" s="3">
        <f t="shared" si="34"/>
        <v>11000</v>
      </c>
      <c r="Y201" s="3">
        <f t="shared" si="35"/>
        <v>33000</v>
      </c>
      <c r="Z201" s="3">
        <f t="shared" si="36"/>
        <v>66000</v>
      </c>
    </row>
    <row r="202" hidden="1" spans="1:26">
      <c r="A202" s="7" t="s">
        <v>510</v>
      </c>
      <c r="B202" s="7" t="s">
        <v>510</v>
      </c>
      <c r="C202" s="8"/>
      <c r="D202" s="8">
        <f t="shared" si="37"/>
        <v>0</v>
      </c>
      <c r="E202" s="8">
        <f t="shared" si="38"/>
        <v>0</v>
      </c>
      <c r="F202" s="12"/>
      <c r="G202" s="8"/>
      <c r="H202" s="8"/>
      <c r="I202" s="8"/>
      <c r="J202" s="8"/>
      <c r="K202" s="8"/>
      <c r="L202" s="8"/>
      <c r="M202" s="8"/>
      <c r="N202" s="16"/>
      <c r="O202" s="16"/>
      <c r="P202" s="16"/>
      <c r="Q202" s="16"/>
      <c r="R202" s="16"/>
      <c r="S202" s="3" t="str">
        <f>VLOOKUP(A202,预测!G:AU,41,0)</f>
        <v>电机驱动</v>
      </c>
      <c r="T202" s="3">
        <f t="shared" si="30"/>
        <v>0</v>
      </c>
      <c r="U202" s="3">
        <f t="shared" si="31"/>
        <v>0</v>
      </c>
      <c r="V202" s="3">
        <f t="shared" si="32"/>
        <v>0</v>
      </c>
      <c r="W202" s="3">
        <f t="shared" si="33"/>
        <v>0</v>
      </c>
      <c r="X202" s="3">
        <f t="shared" si="34"/>
        <v>0</v>
      </c>
      <c r="Y202" s="3">
        <f t="shared" si="35"/>
        <v>0</v>
      </c>
      <c r="Z202" s="3">
        <f t="shared" si="36"/>
        <v>0</v>
      </c>
    </row>
    <row r="203" hidden="1" spans="1:26">
      <c r="A203" s="7" t="s">
        <v>512</v>
      </c>
      <c r="B203" s="7" t="s">
        <v>513</v>
      </c>
      <c r="C203" s="8"/>
      <c r="D203" s="8">
        <f t="shared" si="37"/>
        <v>480000</v>
      </c>
      <c r="E203" s="8">
        <f t="shared" si="38"/>
        <v>160000</v>
      </c>
      <c r="F203" s="12">
        <v>3</v>
      </c>
      <c r="G203" s="8"/>
      <c r="H203" s="8">
        <v>10000</v>
      </c>
      <c r="I203" s="8">
        <v>30000</v>
      </c>
      <c r="J203" s="8">
        <v>30000</v>
      </c>
      <c r="K203" s="8">
        <v>30000</v>
      </c>
      <c r="L203" s="8">
        <v>30000</v>
      </c>
      <c r="M203" s="8">
        <v>30000</v>
      </c>
      <c r="N203" s="16">
        <v>16423</v>
      </c>
      <c r="O203" s="16">
        <v>0</v>
      </c>
      <c r="P203" s="16">
        <v>58645</v>
      </c>
      <c r="Q203" s="16">
        <v>0</v>
      </c>
      <c r="R203" s="16">
        <v>72273</v>
      </c>
      <c r="S203" s="3" t="str">
        <f>VLOOKUP(A203,预测!G:AU,41,0)</f>
        <v>磁性电机编码器</v>
      </c>
      <c r="T203" s="3">
        <f t="shared" si="30"/>
        <v>0</v>
      </c>
      <c r="U203" s="3">
        <f t="shared" si="31"/>
        <v>30000</v>
      </c>
      <c r="V203" s="3">
        <f t="shared" si="32"/>
        <v>90000</v>
      </c>
      <c r="W203" s="3">
        <f t="shared" si="33"/>
        <v>90000</v>
      </c>
      <c r="X203" s="3">
        <f t="shared" si="34"/>
        <v>90000</v>
      </c>
      <c r="Y203" s="3">
        <f t="shared" si="35"/>
        <v>90000</v>
      </c>
      <c r="Z203" s="3">
        <f t="shared" si="36"/>
        <v>90000</v>
      </c>
    </row>
    <row r="204" hidden="1" spans="1:26">
      <c r="A204" s="7" t="s">
        <v>514</v>
      </c>
      <c r="B204" s="7" t="s">
        <v>515</v>
      </c>
      <c r="C204" s="8"/>
      <c r="D204" s="8">
        <f t="shared" si="37"/>
        <v>2940000</v>
      </c>
      <c r="E204" s="8">
        <f t="shared" si="38"/>
        <v>980000</v>
      </c>
      <c r="F204" s="12">
        <v>3</v>
      </c>
      <c r="G204" s="8">
        <v>100000</v>
      </c>
      <c r="H204" s="8">
        <v>130000</v>
      </c>
      <c r="I204" s="8">
        <v>150000</v>
      </c>
      <c r="J204" s="8">
        <v>150000</v>
      </c>
      <c r="K204" s="8">
        <v>150000</v>
      </c>
      <c r="L204" s="8">
        <v>150000</v>
      </c>
      <c r="M204" s="8">
        <v>150000</v>
      </c>
      <c r="N204" s="16">
        <v>52082</v>
      </c>
      <c r="O204" s="16">
        <v>40828</v>
      </c>
      <c r="P204" s="16">
        <v>63052</v>
      </c>
      <c r="Q204" s="16">
        <v>76828</v>
      </c>
      <c r="R204" s="16">
        <v>187652</v>
      </c>
      <c r="S204" s="3" t="str">
        <f>VLOOKUP(A204,预测!G:AU,41,0)</f>
        <v>磁性电机编码器</v>
      </c>
      <c r="T204" s="3">
        <f t="shared" si="30"/>
        <v>300000</v>
      </c>
      <c r="U204" s="3">
        <f t="shared" si="31"/>
        <v>390000</v>
      </c>
      <c r="V204" s="3">
        <f t="shared" si="32"/>
        <v>450000</v>
      </c>
      <c r="W204" s="3">
        <f t="shared" si="33"/>
        <v>450000</v>
      </c>
      <c r="X204" s="3">
        <f t="shared" si="34"/>
        <v>450000</v>
      </c>
      <c r="Y204" s="3">
        <f t="shared" si="35"/>
        <v>450000</v>
      </c>
      <c r="Z204" s="3">
        <f t="shared" si="36"/>
        <v>450000</v>
      </c>
    </row>
  </sheetData>
  <autoFilter ref="A1:U204">
    <filterColumn colId="1">
      <filters>
        <filter val="SC2442SO-N-Q-DB-60CR-2442"/>
        <filter val="SC2442SO-N-Q-CP-10CR-2662"/>
        <filter val="SC2442SO-N-CP-10CR-2442"/>
      </filters>
    </filterColumn>
    <extLst/>
  </autoFilter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4" master=""/>
  <rangeList sheetStid="15" master=""/>
  <rangeList sheetStid="16" master=""/>
  <rangeList sheetStid="17" master=""/>
  <rangeList sheetStid="18" master=""/>
  <rangeList sheetStid="19" master=""/>
  <rangeList sheetStid="10" master=""/>
  <rangeList sheetStid="13" master=""/>
  <rangeList sheetStid="9" master="">
    <arrUserId title="区域1_13_7_1_15_1" rangeCreator="" othersAccessPermission="edit"/>
    <arrUserId title="区域1_16_4_1_17_1" rangeCreator="" othersAccessPermission="edit"/>
    <arrUserId title="区域1_9_1_3_1_18_1" rangeCreator="" othersAccessPermission="edit"/>
    <arrUserId title="区域1_10_1_3_1_18_1" rangeCreator="" othersAccessPermission="edit"/>
    <arrUserId title="区域1_15_2_3_1_16_1" rangeCreator="" othersAccessPermission="edit"/>
    <arrUserId title="区域1_9_1_3_1_19_1" rangeCreator="" othersAccessPermission="edit"/>
    <arrUserId title="区域1_10_1_3_1_19_1" rangeCreator="" othersAccessPermission="edit"/>
    <arrUserId title="区域1_10_1_4_1_18_1" rangeCreator="" othersAccessPermission="edit"/>
    <arrUserId title="区域1_15_2_3_1_17_1" rangeCreator="" othersAccessPermission="edit"/>
    <arrUserId title="区域1_13_5_1_17_1" rangeCreator="" othersAccessPermission="edit"/>
    <arrUserId title="区域1_13_6_1_17_1" rangeCreator="" othersAccessPermission="edit"/>
    <arrUserId title="区域1_13_7_1_17_1" rangeCreator="" othersAccessPermission="edit"/>
    <arrUserId title="区域1_32_1_1" rangeCreator="" othersAccessPermission="edit"/>
    <arrUserId title="区域1_21_4_1_1" rangeCreator="" othersAccessPermission="edit"/>
    <arrUserId title="区域1_10_1_3_1_20_1" rangeCreator="" othersAccessPermission="edit"/>
    <arrUserId title="区域1_10_1_4_1_19_1" rangeCreator="" othersAccessPermission="edit"/>
    <arrUserId title="区域1_15_2_3_1_18_1" rangeCreator="" othersAccessPermission="edit"/>
    <arrUserId title="区域1_1_1_20_1_1" rangeCreator="" othersAccessPermission="edit"/>
    <arrUserId title="区域1_25_1" rangeCreator="" othersAccessPermission="edit"/>
    <arrUserId title="区域1_17_1" rangeCreator="" othersAccessPermission="edit"/>
    <arrUserId title="区域1_13_4_2_3_1" rangeCreator="" othersAccessPermission="edit"/>
    <arrUserId title="区域1_13_4_2_1_1" rangeCreator="" othersAccessPermission="edit"/>
    <arrUserId title="区域1_5_1_2" rangeCreator="" othersAccessPermission="edit"/>
    <arrUserId title="区域1_5_1_1_1" rangeCreator="" othersAccessPermission="edit"/>
    <arrUserId title="区域1_5_2_1" rangeCreator="" othersAccessPermission="edit"/>
    <arrUserId title="区域1_15_2_1_1_2_1_1" rangeCreator="" othersAccessPermission="edit"/>
    <arrUserId title="区域1_11_6_1_1" rangeCreator="" othersAccessPermission="edit"/>
    <arrUserId title="区域1_5_3_1" rangeCreator="" othersAccessPermission="edit"/>
    <arrUserId title="区域1_5_4_1" rangeCreator="" othersAccessPermission="edit"/>
    <arrUserId title="区域1_5_5_1" rangeCreator="" othersAccessPermission="edit"/>
    <arrUserId title="区域1_5_6_1" rangeCreator="" othersAccessPermission="edit"/>
    <arrUserId title="区域1_16_2_1" rangeCreator="" othersAccessPermission="edit"/>
    <arrUserId title="区域1_20_2_12_1" rangeCreator="" othersAccessPermission="edit"/>
    <arrUserId title="区域1_21_3_13_1" rangeCreator="" othersAccessPermission="edit"/>
    <arrUserId title="区域1_6_1_1_1_8_1" rangeCreator="" othersAccessPermission="edit"/>
    <arrUserId title="区域1_19_1_1_13_1" rangeCreator="" othersAccessPermission="edit"/>
    <arrUserId title="区域1_3_3_2_2_1" rangeCreator="" othersAccessPermission="edit"/>
    <arrUserId title="区域1_20_2_22_1" rangeCreator="" othersAccessPermission="edit"/>
    <arrUserId title="区域1_21_3_23_1" rangeCreator="" othersAccessPermission="edit"/>
    <arrUserId title="区域1_19_1_1_23_1" rangeCreator="" othersAccessPermission="edit"/>
    <arrUserId title="区域1_1_3_2" rangeCreator="" othersAccessPermission="edit"/>
    <arrUserId title="区域1_4_2_1" rangeCreator="" othersAccessPermission="edit"/>
    <arrUserId title="区域1_6_1_2" rangeCreator="" othersAccessPermission="edit"/>
    <arrUserId title="区域1_22_1_1_1" rangeCreator="" othersAccessPermission="edit"/>
    <arrUserId title="区域1_3_2_1_2_1_4" rangeCreator="" othersAccessPermission="edit"/>
    <arrUserId title="区域1_16_1_1_1_2_1_2" rangeCreator="" othersAccessPermission="edit"/>
    <arrUserId title="区域1_10_1_1_2_2_1_1_1" rangeCreator="" othersAccessPermission="edit"/>
    <arrUserId title="区域1_3_2_1_2_1_1_1" rangeCreator="" othersAccessPermission="edit"/>
    <arrUserId title="区域1_3_2_1_2_1_2_1" rangeCreator="" othersAccessPermission="edit"/>
    <arrUserId title="区域1_16_1_1_1_2_1_3_1" rangeCreator="" othersAccessPermission="edit"/>
    <arrUserId title="区域1_3_2_1_2_1_3_1" rangeCreator="" othersAccessPermission="edit"/>
    <arrUserId title="区域1_16_1_1_1_2_1_4_1" rangeCreator="" othersAccessPermission="edit"/>
    <arrUserId title="区域1_10_1_4_2" rangeCreator="" othersAccessPermission="edit"/>
    <arrUserId title="区域1_10_1_1_2_2_1_5_1" rangeCreator="" othersAccessPermission="edit"/>
    <arrUserId title="区域1_3_2_1_2_1_5_1" rangeCreator="" othersAccessPermission="edit"/>
    <arrUserId title="区域1_16_1_1_1_2_1_6_1" rangeCreator="" othersAccessPermission="edit"/>
    <arrUserId title="区域1_3_2_1_2_1_6_1" rangeCreator="" othersAccessPermission="edit"/>
    <arrUserId title="区域1_16_1_1_1_2_1_7_1" rangeCreator="" othersAccessPermission="edit"/>
    <arrUserId title="区域1_3_2_1_2_1_7_1" rangeCreator="" othersAccessPermission="edit"/>
    <arrUserId title="区域1_16_1_1_1_2_1_8_2" rangeCreator="" othersAccessPermission="edit"/>
    <arrUserId title="区域1_9_4_1_12_1" rangeCreator="" othersAccessPermission="edit"/>
    <arrUserId title="区域1_16_1_1_1_1" rangeCreator="" othersAccessPermission="edit"/>
    <arrUserId title="区域1_16_1_1_1_2_1_11_1" rangeCreator="" othersAccessPermission="edit"/>
    <arrUserId title="区域1_16_1_2_1" rangeCreator="" othersAccessPermission="edit"/>
    <arrUserId title="区域1_16_1_1_1_2_1_14_1" rangeCreator="" othersAccessPermission="edit"/>
    <arrUserId title="区域1_3_2_1_2_1_9_1" rangeCreator="" othersAccessPermission="edit"/>
    <arrUserId title="区域1_16_1_1_1_2_1_15_1" rangeCreator="" othersAccessPermission="edit"/>
    <arrUserId title="区域1_3_2_1_1" rangeCreator="" othersAccessPermission="edit"/>
    <arrUserId title="区域1_2_2" rangeCreator="" othersAccessPermission="edit"/>
    <arrUserId title="区域1_1_2_2" rangeCreator="" othersAccessPermission="edit"/>
    <arrUserId title="区域1_4_3" rangeCreator="" othersAccessPermission="edit"/>
    <arrUserId title="区域1_5_7" rangeCreator="" othersAccessPermission="edit"/>
    <arrUserId title="区域1_6_3" rangeCreator="" othersAccessPermission="edit"/>
    <arrUserId title="区域1_3_2_2" rangeCreator="" othersAccessPermission="edit"/>
    <arrUserId title="区域1_4_4_1" rangeCreator="" othersAccessPermission="edit"/>
    <arrUserId title="区域1_4_5_1" rangeCreator="" othersAccessPermission="edit"/>
    <arrUserId title="区域1_1_1_22_7_1" rangeCreator="" othersAccessPermission="edit"/>
    <arrUserId title="区域1_10_1_4_1_1_1" rangeCreator="" othersAccessPermission="edit"/>
    <arrUserId title="区域1_10_1_4_1_2_1_1" rangeCreator="" othersAccessPermission="edit"/>
    <arrUserId title="区域1_10_1_4_1_3_1_1" rangeCreator="" othersAccessPermission="edit"/>
    <arrUserId title="区域1_9_1_3_1_4_1_1" rangeCreator="" othersAccessPermission="edit"/>
    <arrUserId title="区域1_13_1_2_1_16_1_1" rangeCreator="" othersAccessPermission="edit"/>
    <arrUserId title="区域1_1_3_1_1" rangeCreator="" othersAccessPermission="edit"/>
    <arrUserId title="区域1_1_2_1_1" rangeCreator="" othersAccessPermission="edit"/>
    <arrUserId title="区域1_2_5_1_1" rangeCreator="" othersAccessPermission="edit"/>
    <arrUserId title="区域1_9_1_3_1_4_2_1" rangeCreator="" othersAccessPermission="edit"/>
    <arrUserId title="区域1_16_1_1_1_2_1_1_1" rangeCreator="" othersAccessPermission="edit"/>
    <arrUserId title="区域1_16_1_1_1_2_1_8_1_1" rangeCreator="" othersAccessPermission="edit"/>
    <arrUserId title="区域1_2_1_1" rangeCreator="" othersAccessPermission="edit"/>
    <arrUserId title="区域1_3_2_1_2_1_7_2_1_1" rangeCreator="" othersAccessPermission="edit"/>
    <arrUserId title="区域1_2_3_1_1" rangeCreator="" othersAccessPermission="edit"/>
    <arrUserId title="区域1_16_1_1_1_2_1_5_1_1" rangeCreator="" othersAccessPermission="edit"/>
    <arrUserId title="区域1_3_2_1_2_1_7_3_1_1" rangeCreator="" othersAccessPermission="edit"/>
    <arrUserId title="区域1_16_1_1_1_2_1_8_3_1_1" rangeCreator="" othersAccessPermission="edit"/>
    <arrUserId title="区域1_2_4_1_1" rangeCreator="" othersAccessPermission="edit"/>
    <arrUserId title="区域1_4_1_1" rangeCreator="" othersAccessPermission="edit"/>
    <arrUserId title="区域1_3_4_4" rangeCreator="" othersAccessPermission="edit"/>
    <arrUserId title="区域1_3_4_2_2" rangeCreator="" othersAccessPermission="edit"/>
    <arrUserId title="区域1_3_4_3_2" rangeCreator="" othersAccessPermission="edit"/>
    <arrUserId title="区域1_3_1_3_1_1" rangeCreator="" othersAccessPermission="edit"/>
    <arrUserId title="区域1_1_17_3_1" rangeCreator="" othersAccessPermission="edit"/>
    <arrUserId title="区域1_3_4_1_1_1" rangeCreator="" othersAccessPermission="edit"/>
    <arrUserId title="区域1_1_1_1" rangeCreator="" othersAccessPermission="edit"/>
    <arrUserId title="区域1_3_4_2_2_2" rangeCreator="" othersAccessPermission="edit"/>
    <arrUserId title="区域1_4_5_1_16_2_1_2" rangeCreator="" othersAccessPermission="edit"/>
    <arrUserId title="区域1_3_4_1_1_1_4" rangeCreator="" othersAccessPermission="edit"/>
    <arrUserId title="区域1_9_1_3_1_4_2_1_1_1" rangeCreator="" othersAccessPermission="edit"/>
    <arrUserId title="区域1_1_1_4_3_1_1" rangeCreator="" othersAccessPermission="edit"/>
    <arrUserId title="区域1_3_4_3" rangeCreator="" othersAccessPermission="edit"/>
    <arrUserId title="区域1_3_4_2_2_1_1" rangeCreator="" othersAccessPermission="edit"/>
    <arrUserId title="区域1_1_1_7_1_1" rangeCreator="" othersAccessPermission="edit"/>
    <arrUserId title="区域1_1_1_5_1_1_1" rangeCreator="" othersAccessPermission="edit"/>
    <arrUserId title="区域1_3_4_3_1" rangeCreator="" othersAccessPermission="edit"/>
    <arrUserId title="区域1_1_1_20_1_1_1" rangeCreator="" othersAccessPermission="edit"/>
    <arrUserId title="区域1_3_4_2" rangeCreator="" othersAccessPermission="edit"/>
    <arrUserId title="区域1_3_4_3_2_1" rangeCreator="" othersAccessPermission="edit"/>
    <arrUserId title="区域1_3_4_2_2_1" rangeCreator="" othersAccessPermission="edit"/>
    <arrUserId title="区域1_16_1_3_1_25_1" rangeCreator="" othersAccessPermission="edit"/>
    <arrUserId title="区域1_9_5_3_1_2_1" rangeCreator="" othersAccessPermission="edit"/>
    <arrUserId title="区域1_3_4_1" rangeCreator="" othersAccessPermission="edit"/>
    <arrUserId title="区域1_3_4_2_1" rangeCreator="" othersAccessPermission="edit"/>
    <arrUserId title="区域1_1_1_2" rangeCreator="" othersAccessPermission="edit"/>
    <arrUserId title="区域1_3_4_5" rangeCreator="" othersAccessPermission="edit"/>
    <arrUserId title="区域1_3_4_5_2_1" rangeCreator="" othersAccessPermission="edit"/>
    <arrUserId title="区域1_3_4_2_16_1" rangeCreator="" othersAccessPermission="edit"/>
    <arrUserId title="区域1_3_4_1_1" rangeCreator="" othersAccessPermission="edit"/>
    <arrUserId title="区域1_2_2_1" rangeCreator="" othersAccessPermission="edit"/>
    <arrUserId title="区域1_27_2_2" rangeCreator="" othersAccessPermission="edit"/>
    <arrUserId title="区域1_27_3_6" rangeCreator="" othersAccessPermission="edit"/>
    <arrUserId title="区域1_27_3_8" rangeCreator="" othersAccessPermission="edit"/>
    <arrUserId title="区域1_16_1_3_1_3" rangeCreator="" othersAccessPermission="edit"/>
    <arrUserId title="区域1_27_2_3" rangeCreator="" othersAccessPermission="edit"/>
    <arrUserId title="区域1_27_3_9" rangeCreator="" othersAccessPermission="edit"/>
    <arrUserId title="区域1_27_3_10" rangeCreator="" othersAccessPermission="edit"/>
    <arrUserId title="区域1_27_3_11" rangeCreator="" othersAccessPermission="edit"/>
    <arrUserId title="区域1_16_1_3_1_4" rangeCreator="" othersAccessPermission="edit"/>
    <arrUserId title="区域1_27_2_4" rangeCreator="" othersAccessPermission="edit"/>
    <arrUserId title="区域1_27_3_12" rangeCreator="" othersAccessPermission="edit"/>
    <arrUserId title="区域1_27_3_13" rangeCreator="" othersAccessPermission="edit"/>
    <arrUserId title="区域1_27_3_14" rangeCreator="" othersAccessPermission="edit"/>
    <arrUserId title="区域1_16_1_3_1_5" rangeCreator="" othersAccessPermission="edit"/>
    <arrUserId title="区域1_27_2_5" rangeCreator="" othersAccessPermission="edit"/>
    <arrUserId title="区域1_27_3_15" rangeCreator="" othersAccessPermission="edit"/>
    <arrUserId title="区域1_27_3_16" rangeCreator="" othersAccessPermission="edit"/>
    <arrUserId title="区域1_27_3_17" rangeCreator="" othersAccessPermission="edit"/>
    <arrUserId title="区域1_16_1_3_1_6" rangeCreator="" othersAccessPermission="edit"/>
    <arrUserId title="区域1_27_2_6" rangeCreator="" othersAccessPermission="edit"/>
    <arrUserId title="区域1_27_3_18" rangeCreator="" othersAccessPermission="edit"/>
    <arrUserId title="区域1_27_3_19" rangeCreator="" othersAccessPermission="edit"/>
    <arrUserId title="区域1_27_3_20" rangeCreator="" othersAccessPermission="edit"/>
    <arrUserId title="区域1_10_1_2_3" rangeCreator="" othersAccessPermission="edit"/>
    <arrUserId title="区域1_10_1_2_4" rangeCreator="" othersAccessPermission="edit"/>
    <arrUserId title="区域1_10_1_2_5" rangeCreator="" othersAccessPermission="edit"/>
    <arrUserId title="区域1_10_1_3_4" rangeCreator="" othersAccessPermission="edit"/>
    <arrUserId title="区域1_10_1_3_5" rangeCreator="" othersAccessPermission="edit"/>
    <arrUserId title="区域1_10_1_3_6" rangeCreator="" othersAccessPermission="edit"/>
    <arrUserId title="区域1_16_1_3_1_9" rangeCreator="" othersAccessPermission="edit"/>
    <arrUserId title="区域1_27_2_9" rangeCreator="" othersAccessPermission="edit"/>
    <arrUserId title="区域1_27_3_27" rangeCreator="" othersAccessPermission="edit"/>
    <arrUserId title="区域1_27_3_28" rangeCreator="" othersAccessPermission="edit"/>
    <arrUserId title="区域1_27_3_29" rangeCreator="" othersAccessPermission="edit"/>
    <arrUserId title="区域1_16_1_3_1_10" rangeCreator="" othersAccessPermission="edit"/>
    <arrUserId title="区域1_27_2_10" rangeCreator="" othersAccessPermission="edit"/>
    <arrUserId title="区域1_27_3_30" rangeCreator="" othersAccessPermission="edit"/>
    <arrUserId title="区域1_27_3_31" rangeCreator="" othersAccessPermission="edit"/>
    <arrUserId title="区域1_27_3_32" rangeCreator="" othersAccessPermission="edit"/>
    <arrUserId title="区域1_16_1_3_1_17" rangeCreator="" othersAccessPermission="edit"/>
    <arrUserId title="区域1_27_2_12" rangeCreator="" othersAccessPermission="edit"/>
    <arrUserId title="区域1_27_3_37" rangeCreator="" othersAccessPermission="edit"/>
    <arrUserId title="区域1_27_3_38" rangeCreator="" othersAccessPermission="edit"/>
    <arrUserId title="区域1_16_1_3_1_23" rangeCreator="" othersAccessPermission="edit"/>
    <arrUserId title="区域1_17_2_3" rangeCreator="" othersAccessPermission="edit"/>
    <arrUserId title="区域1_10_1_4_1" rangeCreator="" othersAccessPermission="edit"/>
    <arrUserId title="区域1_1_2_3_2_1" rangeCreator="" othersAccessPermission="edit"/>
    <arrUserId title="区域1_9_5_3_1" rangeCreator="" othersAccessPermission="edit"/>
    <arrUserId title="区域1_16_1_3_1_24" rangeCreator="" othersAccessPermission="edit"/>
    <arrUserId title="区域1_17_2_3_1" rangeCreator="" othersAccessPermission="edit"/>
    <arrUserId title="区域1_10_1_4_1_1" rangeCreator="" othersAccessPermission="edit"/>
    <arrUserId title="区域1_1_2_3_2_1_1" rangeCreator="" othersAccessPermission="edit"/>
    <arrUserId title="区域1_9_5_3_1_1" rangeCreator="" othersAccessPermission="edit"/>
    <arrUserId title="区域1_16_1_3_1_25" rangeCreator="" othersAccessPermission="edit"/>
    <arrUserId title="区域1_17_2_3_2" rangeCreator="" othersAccessPermission="edit"/>
    <arrUserId title="区域1_10_1_4_1_2" rangeCreator="" othersAccessPermission="edit"/>
    <arrUserId title="区域1_1_2_3_2_1_2" rangeCreator="" othersAccessPermission="edit"/>
    <arrUserId title="区域1_9_5_3_1_2" rangeCreator="" othersAccessPermission="edit"/>
    <arrUserId title="区域1_11_1_2_1" rangeCreator="" othersAccessPermission="edit"/>
    <arrUserId title="区域1_16_1_3_1_26" rangeCreator="" othersAccessPermission="edit"/>
    <arrUserId title="区域1_17_2_3_3" rangeCreator="" othersAccessPermission="edit"/>
    <arrUserId title="区域1_10_1_4_1_3" rangeCreator="" othersAccessPermission="edit"/>
    <arrUserId title="区域1_1_2_3_2_1_3" rangeCreator="" othersAccessPermission="edit"/>
    <arrUserId title="区域1_11_1_2_1_1" rangeCreator="" othersAccessPermission="edit"/>
    <arrUserId title="区域1_10_1_2_6" rangeCreator="" othersAccessPermission="edit"/>
    <arrUserId title="区域1_18_1_1_2" rangeCreator="" othersAccessPermission="edit"/>
    <arrUserId title="区域1_18_1_1_3" rangeCreator="" othersAccessPermission="edit"/>
    <arrUserId title="区域1_16_1_3_1_27" rangeCreator="" othersAccessPermission="edit"/>
    <arrUserId title="区域1_17_2_3_4" rangeCreator="" othersAccessPermission="edit"/>
    <arrUserId title="区域1_10_1_4_1_4" rangeCreator="" othersAccessPermission="edit"/>
    <arrUserId title="区域1_1_2_3_2_1_4" rangeCreator="" othersAccessPermission="edit"/>
    <arrUserId title="区域1_9_5_3_1_3" rangeCreator="" othersAccessPermission="edit"/>
    <arrUserId title="区域1_16_1_3_1_29" rangeCreator="" othersAccessPermission="edit"/>
    <arrUserId title="区域1_1_2_3_2_1_6" rangeCreator="" othersAccessPermission="edit"/>
    <arrUserId title="区域1_9_5_3_1_5" rangeCreator="" othersAccessPermission="edit"/>
    <arrUserId title="区域1_16_2_1_1" rangeCreator="" othersAccessPermission="edit"/>
    <arrUserId title="区域1_8_4_1" rangeCreator="" othersAccessPermission="edit"/>
    <arrUserId title="区域1_16_2_1_1_1" rangeCreator="" othersAccessPermission="edit"/>
    <arrUserId title="区域1_4_1_3_1" rangeCreator="" othersAccessPermission="edit"/>
    <arrUserId title="区域1_16_2_1_2" rangeCreator="" othersAccessPermission="edit"/>
    <arrUserId title="区域1_8_4_1_1" rangeCreator="" othersAccessPermission="edit"/>
    <arrUserId title="区域1_16_2_1_3" rangeCreator="" othersAccessPermission="edit"/>
    <arrUserId title="区域1_16_2_1_4" rangeCreator="" othersAccessPermission="edit"/>
    <arrUserId title="区域1_8_4_1_2" rangeCreator="" othersAccessPermission="edit"/>
    <arrUserId title="区域1_16_2_1_5" rangeCreator="" othersAccessPermission="edit"/>
    <arrUserId title="区域1_6_1_3_2_2" rangeCreator="" othersAccessPermission="edit"/>
    <arrUserId title="区域1_8_4_1_3" rangeCreator="" othersAccessPermission="edit"/>
    <arrUserId title="区域1_8_4_1_4" rangeCreator="" othersAccessPermission="edit"/>
    <arrUserId title="区域1_16_1_3_1_30" rangeCreator="" othersAccessPermission="edit"/>
    <arrUserId title="区域1_22_2_1" rangeCreator="" othersAccessPermission="edit"/>
    <arrUserId title="区域1_27_2_13" rangeCreator="" othersAccessPermission="edit"/>
    <arrUserId title="区域1_27_3_39" rangeCreator="" othersAccessPermission="edit"/>
    <arrUserId title="区域1_16_1_3_1_31" rangeCreator="" othersAccessPermission="edit"/>
    <arrUserId title="区域1_22_2_1_1" rangeCreator="" othersAccessPermission="edit"/>
    <arrUserId title="区域1_27_2_14" rangeCreator="" othersAccessPermission="edit"/>
    <arrUserId title="区域1_27_3_40" rangeCreator="" othersAccessPermission="edit"/>
    <arrUserId title="区域1_16_1_3_1_32" rangeCreator="" othersAccessPermission="edit"/>
    <arrUserId title="区域1_22_2_1_2" rangeCreator="" othersAccessPermission="edit"/>
    <arrUserId title="区域1_27_2_15" rangeCreator="" othersAccessPermission="edit"/>
    <arrUserId title="区域1_27_3_41" rangeCreator="" othersAccessPermission="edit"/>
    <arrUserId title="区域1_10_1_2_7" rangeCreator="" othersAccessPermission="edit"/>
    <arrUserId title="区域1_16_1_3_1_33" rangeCreator="" othersAccessPermission="edit"/>
    <arrUserId title="区域1_22_2_1_3" rangeCreator="" othersAccessPermission="edit"/>
    <arrUserId title="区域1_10_1_2_8" rangeCreator="" othersAccessPermission="edit"/>
    <arrUserId title="区域1_27_2_16" rangeCreator="" othersAccessPermission="edit"/>
    <arrUserId title="区域1_27_3_42" rangeCreator="" othersAccessPermission="edit"/>
    <arrUserId title="区域1_27_3_43" rangeCreator="" othersAccessPermission="edit"/>
    <arrUserId title="区域1_16_1_3_1_34" rangeCreator="" othersAccessPermission="edit"/>
    <arrUserId title="区域1_22_2_1_4" rangeCreator="" othersAccessPermission="edit"/>
    <arrUserId title="区域1_27_2_17" rangeCreator="" othersAccessPermission="edit"/>
    <arrUserId title="区域1_27_3_44" rangeCreator="" othersAccessPermission="edit"/>
    <arrUserId title="区域1_10_4_1" rangeCreator="" othersAccessPermission="edit"/>
    <arrUserId title="区域1_12_3_1" rangeCreator="" othersAccessPermission="edit"/>
    <arrUserId title="区域1_1_3_1" rangeCreator="" othersAccessPermission="edit"/>
    <arrUserId title="区域1_27_2" rangeCreator="" othersAccessPermission="edit"/>
    <arrUserId title="区域1_27_3" rangeCreator="" othersAccessPermission="edit"/>
    <arrUserId title="区域1_7_2_1" rangeCreator="" othersAccessPermission="edit"/>
    <arrUserId title="区域1_15_2_3_1" rangeCreator="" othersAccessPermission="edit"/>
    <arrUserId title="区域1_27_3_1" rangeCreator="" othersAccessPermission="edit"/>
    <arrUserId title="区域1_15_2_1_1_2_1_2_1" rangeCreator="" othersAccessPermission="edit"/>
    <arrUserId title="区域1_17_2_2" rangeCreator="" othersAccessPermission="edit"/>
    <arrUserId title="区域1_18_2_2_1" rangeCreator="" othersAccessPermission="edit"/>
    <arrUserId title="区域1_10_6_1" rangeCreator="" othersAccessPermission="edit"/>
    <arrUserId title="区域1_13_5_2_1" rangeCreator="" othersAccessPermission="edit"/>
    <arrUserId title="区域1_1_13_5_1" rangeCreator="" othersAccessPermission="edit"/>
    <arrUserId title="区域1_10_1_2" rangeCreator="" othersAccessPermission="edit"/>
    <arrUserId title="区域1_27_2_1" rangeCreator="" othersAccessPermission="edit"/>
    <arrUserId title="区域1_10_1_3" rangeCreator="" othersAccessPermission="edit"/>
    <arrUserId title="区域1_10_1_3_1" rangeCreator="" othersAccessPermission="edit"/>
    <arrUserId title="区域1_15_2_1_1_2_1_2_1_1" rangeCreator="" othersAccessPermission="edit"/>
    <arrUserId title="区域1_12_3_1_1" rangeCreator="" othersAccessPermission="edit"/>
    <arrUserId title="区域1_1_3_1_1_1" rangeCreator="" othersAccessPermission="edit"/>
    <arrUserId title="区域1_27_2_7" rangeCreator="" othersAccessPermission="edit"/>
    <arrUserId title="区域1_27_3_2" rangeCreator="" othersAccessPermission="edit"/>
    <arrUserId title="区域1_7_2_1_1" rangeCreator="" othersAccessPermission="edit"/>
    <arrUserId title="区域1_15_2_3_1_1" rangeCreator="" othersAccessPermission="edit"/>
    <arrUserId title="区域1_27_3_3" rangeCreator="" othersAccessPermission="edit"/>
    <arrUserId title="区域1_15_2_1_1_2_1_2_1_2" rangeCreator="" othersAccessPermission="edit"/>
    <arrUserId title="区域1_18_2_2_1_1" rangeCreator="" othersAccessPermission="edit"/>
    <arrUserId title="区域1_10_6_1_1" rangeCreator="" othersAccessPermission="edit"/>
    <arrUserId title="区域1_1_14_5_1" rangeCreator="" othersAccessPermission="edit"/>
    <arrUserId title="区域1_12_3_1_3" rangeCreator="" othersAccessPermission="edit"/>
    <arrUserId title="区域1_1_3_1_5" rangeCreator="" othersAccessPermission="edit"/>
    <arrUserId title="区域1_27_2_11" rangeCreator="" othersAccessPermission="edit"/>
    <arrUserId title="区域1_27_3_21" rangeCreator="" othersAccessPermission="edit"/>
    <arrUserId title="区域1_7_2_1_3" rangeCreator="" othersAccessPermission="edit"/>
    <arrUserId title="区域1_15_2_3_1_3" rangeCreator="" othersAccessPermission="edit"/>
    <arrUserId title="区域1_27_3_22" rangeCreator="" othersAccessPermission="edit"/>
    <arrUserId title="区域1_15_2_1_1_2_1_2_1_4" rangeCreator="" othersAccessPermission="edit"/>
    <arrUserId title="区域1_18_2_2_1_3" rangeCreator="" othersAccessPermission="edit"/>
    <arrUserId title="区域1_10_6_1_3" rangeCreator="" othersAccessPermission="edit"/>
    <arrUserId title="区域1_13_5_2_1_3" rangeCreator="" othersAccessPermission="edit"/>
    <arrUserId title="区域1_3_4_1_2" rangeCreator="" othersAccessPermission="edit"/>
    <arrUserId title="区域1_3_4_1_3_1_1" rangeCreator="" othersAccessPermission="edit"/>
    <arrUserId title="区域1_3_4_2_3_1_2" rangeCreator="" othersAccessPermission="edit"/>
    <arrUserId title="区域1_3_4_5_1_1" rangeCreator="" othersAccessPermission="edit"/>
    <arrUserId title="区域1_3_4_2_3_1_3" rangeCreator="" othersAccessPermission="edit"/>
    <arrUserId title="区域1_3_4_4_1_1" rangeCreator="" othersAccessPermission="edit"/>
    <arrUserId title="区域1_3_4_2_2_2_2" rangeCreator="" othersAccessPermission="edit"/>
    <arrUserId title="区域1_3_4_3_2_1_1" rangeCreator="" othersAccessPermission="edit"/>
    <arrUserId title="区域1_3_1_3_1_1_1_1" rangeCreator="" othersAccessPermission="edit"/>
    <arrUserId title="区域1_1_17_3_1_1_1" rangeCreator="" othersAccessPermission="edit"/>
    <arrUserId title="区域1_3_4_1_1_1_1_1" rangeCreator="" othersAccessPermission="edit"/>
    <arrUserId title="区域1_3_4_6" rangeCreator="" othersAccessPermission="edit"/>
    <arrUserId title="区域1_3_4_1_4" rangeCreator="" othersAccessPermission="edit"/>
    <arrUserId title="区域1_3_4_7" rangeCreator="" othersAccessPermission="edit"/>
    <arrUserId title="区域1_3_4_1_5" rangeCreator="" othersAccessPermission="edit"/>
    <arrUserId title="区域1_3_4_8" rangeCreator="" othersAccessPermission="edit"/>
    <arrUserId title="区域1_3_4_1_6" rangeCreator="" othersAccessPermission="edit"/>
    <arrUserId title="区域1_3_4_8_1_1" rangeCreator="" othersAccessPermission="edit"/>
    <arrUserId title="区域1_3_4_1_1_2_2_1_1" rangeCreator="" othersAccessPermission="edit"/>
    <arrUserId title="区域1_3_4_9_1_1" rangeCreator="" othersAccessPermission="edit"/>
    <arrUserId title="区域1_3_4_1_7_1_1" rangeCreator="" othersAccessPermission="edit"/>
    <arrUserId title="区域1_1_1_22_1" rangeCreator="" othersAccessPermission="edit"/>
    <arrUserId title="区域1_1_5_3_1" rangeCreator="" othersAccessPermission="edit"/>
    <arrUserId title="区域1_3_4_5_1" rangeCreator="" othersAccessPermission="edit"/>
    <arrUserId title="区域1_1_5_1_3_1" rangeCreator="" othersAccessPermission="edit"/>
    <arrUserId title="区域1_3_4_1_3_1" rangeCreator="" othersAccessPermission="edit"/>
    <arrUserId title="区域1_3_4_2_3_1" rangeCreator="" othersAccessPermission="edit"/>
    <arrUserId title="区域1_3_4_3_1_1" rangeCreator="" othersAccessPermission="edit"/>
    <arrUserId title="区域1_3_4_1_1_2_1" rangeCreator="" othersAccessPermission="edit"/>
    <arrUserId title="区域1_3_4_2_1_2_1" rangeCreator="" othersAccessPermission="edit"/>
    <arrUserId title="区域1_3_4_1_2_1_1" rangeCreator="" othersAccessPermission="edit"/>
    <arrUserId title="区域1_3_4_4_1_1_1" rangeCreator="" othersAccessPermission="edit"/>
    <arrUserId title="区域1_3_4_1_1_1_1_1_1" rangeCreator="" othersAccessPermission="edit"/>
    <arrUserId title="区域1_3_4_2_1_1_1_1" rangeCreator="" othersAccessPermission="edit"/>
    <arrUserId title="区域1_3_4_2_3_1_43" rangeCreator="" othersAccessPermission="edit"/>
    <arrUserId title="区域1_1_1_7_1_1_1" rangeCreator="" othersAccessPermission="edit"/>
    <arrUserId title="区域1_1_1_20_1_1_2" rangeCreator="" othersAccessPermission="edit"/>
    <arrUserId title="区域1_3_4_5_1_1_1" rangeCreator="" othersAccessPermission="edit"/>
    <arrUserId title="区域1_3_4_1_3_1_1_1" rangeCreator="" othersAccessPermission="edit"/>
    <arrUserId title="区域1_3_4_2_3_1_1" rangeCreator="" othersAccessPermission="edit"/>
    <arrUserId title="区域1_3_4_1_2_1_1_1" rangeCreator="" othersAccessPermission="edit"/>
    <arrUserId title="区域1_1_1_7_1_1_1_1" rangeCreator="" othersAccessPermission="edit"/>
    <arrUserId title="区域1_1_1_20_1_1_1_1" rangeCreator="" othersAccessPermission="edit"/>
    <arrUserId title="区域1_9_1_3_1_4_2_1_1" rangeCreator="" othersAccessPermission="edit"/>
    <arrUserId title="区域1_13_6_1_3_1_1" rangeCreator="" othersAccessPermission="edit"/>
    <arrUserId title="区域1_3_4" rangeCreator="" othersAccessPermission="edit"/>
    <arrUserId title="区域1_3_4_9" rangeCreator="" othersAccessPermission="edit"/>
    <arrUserId title="区域1_3_4_10" rangeCreator="" othersAccessPermission="edit"/>
    <arrUserId title="区域1_2_5_1_1_1" rangeCreator="" othersAccessPermission="edit"/>
  </rangeList>
  <rangeList sheetStid="12" master=""/>
  <rangeList sheetStid="11" master="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Sheet2</vt:lpstr>
      <vt:lpstr>Sheet6</vt:lpstr>
      <vt:lpstr>Sheet7</vt:lpstr>
      <vt:lpstr>Sheet8</vt:lpstr>
      <vt:lpstr>Sheet9</vt:lpstr>
      <vt:lpstr>Sheet10</vt:lpstr>
      <vt:lpstr>Sheet3</vt:lpstr>
      <vt:lpstr>Sheet5</vt:lpstr>
      <vt:lpstr>预测</vt:lpstr>
      <vt:lpstr>Sheet1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WPS_1673143266</cp:lastModifiedBy>
  <dcterms:created xsi:type="dcterms:W3CDTF">2015-06-06T10:19:00Z</dcterms:created>
  <dcterms:modified xsi:type="dcterms:W3CDTF">2025-07-10T17:01:28Z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2052-6.7.0.8823</vt:lpwstr>
  </property>
  <property fmtid="{D5CDD505-2E9C-101B-9397-08002B2CF9AE}" pid="3" name="ICV">
    <vt:lpwstr>9FBABE43BAEAEEA94A156E68E9D6B056_42</vt:lpwstr>
  </property>
</Properties>
</file>